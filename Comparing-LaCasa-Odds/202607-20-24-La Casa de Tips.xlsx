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3702912A-B03D-4599-8890-4BABB97B4900}" xr6:coauthVersionLast="47" xr6:coauthVersionMax="47" xr10:uidLastSave="{00000000-0000-0000-0000-000000000000}"/>
  <bookViews>
    <workbookView xWindow="-120" yWindow="-120" windowWidth="29040" windowHeight="15840" tabRatio="500" activeTab="5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</sheets>
  <definedNames>
    <definedName name="_xlnm._FilterDatabase" localSheetId="0" hidden="1">'General-lacasa'!$A$3:$AT$545</definedName>
    <definedName name="_xlnm._FilterDatabase" localSheetId="1" hidden="1">'matches-results-oddspedia (old)'!$A$1:$L$92</definedName>
    <definedName name="_xlnm._FilterDatabase" localSheetId="2" hidden="1">'oddspedia-matches'!$A$1:$AD$588</definedName>
    <definedName name="_xlnm._FilterDatabase" localSheetId="4" hidden="1">'Solid-Results'!$A$2:$AT$2</definedName>
    <definedName name="_xlnm._FilterDatabase" localSheetId="3" hidden="1">'Transform table'!$A$1:$B$532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7" i="12" l="1"/>
  <c r="Q57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R56" i="12"/>
  <c r="Q56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R55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50" i="12"/>
  <c r="B51" i="12" s="1"/>
  <c r="A50" i="12"/>
  <c r="B49" i="12"/>
  <c r="A49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P35" i="12"/>
  <c r="Q35" i="12"/>
  <c r="R35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P42" i="12"/>
  <c r="Q42" i="12"/>
  <c r="R42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P43" i="12"/>
  <c r="Q43" i="12"/>
  <c r="R43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C44" i="12"/>
  <c r="C43" i="12"/>
  <c r="C42" i="12"/>
  <c r="C41" i="12"/>
  <c r="C40" i="12"/>
  <c r="C39" i="12"/>
  <c r="C38" i="12"/>
  <c r="C37" i="12"/>
  <c r="C36" i="12"/>
  <c r="C35" i="12"/>
  <c r="B37" i="12"/>
  <c r="B38" i="12" s="1"/>
  <c r="A37" i="12"/>
  <c r="B36" i="12"/>
  <c r="A36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C31" i="12"/>
  <c r="C30" i="12"/>
  <c r="C29" i="12"/>
  <c r="C28" i="12"/>
  <c r="C27" i="12"/>
  <c r="C26" i="12"/>
  <c r="C25" i="12"/>
  <c r="C24" i="12"/>
  <c r="C23" i="12"/>
  <c r="C22" i="12"/>
  <c r="B24" i="12"/>
  <c r="B25" i="12" s="1"/>
  <c r="B26" i="12" s="1"/>
  <c r="B27" i="12" s="1"/>
  <c r="B28" i="12" s="1"/>
  <c r="B29" i="12" s="1"/>
  <c r="B30" i="12" s="1"/>
  <c r="B31" i="12" s="1"/>
  <c r="B23" i="12"/>
  <c r="A24" i="12" s="1"/>
  <c r="A23" i="12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AT1" i="11"/>
  <c r="AS1" i="11"/>
  <c r="AR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L586" i="5"/>
  <c r="L585" i="5"/>
  <c r="L584" i="5"/>
  <c r="L457" i="5"/>
  <c r="L456" i="5"/>
  <c r="A456" i="5" s="1"/>
  <c r="L455" i="5"/>
  <c r="A455" i="5" s="1"/>
  <c r="L454" i="5"/>
  <c r="A454" i="5" s="1"/>
  <c r="L453" i="5"/>
  <c r="L452" i="5"/>
  <c r="L451" i="5"/>
  <c r="L450" i="5"/>
  <c r="A450" i="5" s="1"/>
  <c r="L449" i="5"/>
  <c r="A449" i="5" s="1"/>
  <c r="L448" i="5"/>
  <c r="L447" i="5"/>
  <c r="A447" i="5" s="1"/>
  <c r="L446" i="5"/>
  <c r="A446" i="5" s="1"/>
  <c r="L445" i="5"/>
  <c r="L444" i="5"/>
  <c r="L443" i="5"/>
  <c r="L442" i="5"/>
  <c r="L441" i="5"/>
  <c r="A441" i="5" s="1"/>
  <c r="L440" i="5"/>
  <c r="A440" i="5" s="1"/>
  <c r="L439" i="5"/>
  <c r="L438" i="5"/>
  <c r="A438" i="5" s="1"/>
  <c r="L243" i="5"/>
  <c r="L242" i="5"/>
  <c r="L241" i="5"/>
  <c r="L240" i="5"/>
  <c r="A240" i="5" s="1"/>
  <c r="L239" i="5"/>
  <c r="L62" i="5"/>
  <c r="L513" i="5"/>
  <c r="A513" i="5" s="1"/>
  <c r="L486" i="5"/>
  <c r="A486" i="5" s="1"/>
  <c r="L458" i="5"/>
  <c r="A458" i="5" s="1"/>
  <c r="A443" i="5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42" i="5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2" i="5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AA4" i="1"/>
  <c r="AB4" i="1"/>
  <c r="AA5" i="1"/>
  <c r="AB5" i="1"/>
  <c r="AA6" i="1"/>
  <c r="AB6" i="1"/>
  <c r="AA7" i="1"/>
  <c r="AB7" i="1"/>
  <c r="AA8" i="1"/>
  <c r="AB8" i="1"/>
  <c r="AA9" i="1"/>
  <c r="AB9" i="1"/>
  <c r="AA10" i="1"/>
  <c r="AB10" i="1"/>
  <c r="AA11" i="1"/>
  <c r="AB11" i="1"/>
  <c r="AA12" i="1"/>
  <c r="AB12" i="1"/>
  <c r="AA13" i="1"/>
  <c r="AB13" i="1"/>
  <c r="AA14" i="1"/>
  <c r="AB14" i="1"/>
  <c r="AA15" i="1"/>
  <c r="AB15" i="1"/>
  <c r="AA16" i="1"/>
  <c r="AB16" i="1"/>
  <c r="AA17" i="1"/>
  <c r="AB17" i="1"/>
  <c r="AA18" i="1"/>
  <c r="AB18" i="1"/>
  <c r="AA19" i="1"/>
  <c r="AB19" i="1"/>
  <c r="AA20" i="1"/>
  <c r="AB20" i="1"/>
  <c r="AA21" i="1"/>
  <c r="AB21" i="1"/>
  <c r="AA22" i="1"/>
  <c r="AB22" i="1"/>
  <c r="AA23" i="1"/>
  <c r="AB23" i="1"/>
  <c r="AA24" i="1"/>
  <c r="AB24" i="1"/>
  <c r="AA25" i="1"/>
  <c r="AB25" i="1"/>
  <c r="AA26" i="1"/>
  <c r="AB26" i="1"/>
  <c r="AA27" i="1"/>
  <c r="AB27" i="1"/>
  <c r="AA28" i="1"/>
  <c r="AB28" i="1"/>
  <c r="AA29" i="1"/>
  <c r="AB29" i="1"/>
  <c r="AA30" i="1"/>
  <c r="AB30" i="1"/>
  <c r="AA31" i="1"/>
  <c r="AB31" i="1"/>
  <c r="AA32" i="1"/>
  <c r="AB32" i="1"/>
  <c r="AA33" i="1"/>
  <c r="AB33" i="1"/>
  <c r="AA34" i="1"/>
  <c r="AB34" i="1"/>
  <c r="AA35" i="1"/>
  <c r="AB35" i="1"/>
  <c r="AA36" i="1"/>
  <c r="AB36" i="1"/>
  <c r="AA37" i="1"/>
  <c r="AB37" i="1"/>
  <c r="AA38" i="1"/>
  <c r="AB38" i="1"/>
  <c r="AA39" i="1"/>
  <c r="AB39" i="1"/>
  <c r="AA40" i="1"/>
  <c r="AB40" i="1"/>
  <c r="AA41" i="1"/>
  <c r="AB41" i="1"/>
  <c r="AA42" i="1"/>
  <c r="AB42" i="1"/>
  <c r="AA43" i="1"/>
  <c r="AB43" i="1"/>
  <c r="AA44" i="1"/>
  <c r="AB44" i="1"/>
  <c r="AA45" i="1"/>
  <c r="AB45" i="1"/>
  <c r="AA46" i="1"/>
  <c r="AB46" i="1"/>
  <c r="AA47" i="1"/>
  <c r="AB47" i="1"/>
  <c r="AA48" i="1"/>
  <c r="AB48" i="1"/>
  <c r="AA49" i="1"/>
  <c r="AB49" i="1"/>
  <c r="AA50" i="1"/>
  <c r="AB50" i="1"/>
  <c r="AA51" i="1"/>
  <c r="AB51" i="1"/>
  <c r="AA52" i="1"/>
  <c r="AB52" i="1"/>
  <c r="AA53" i="1"/>
  <c r="AB53" i="1"/>
  <c r="AA54" i="1"/>
  <c r="AB54" i="1"/>
  <c r="AA55" i="1"/>
  <c r="AB55" i="1"/>
  <c r="AA56" i="1"/>
  <c r="AB56" i="1"/>
  <c r="AA57" i="1"/>
  <c r="AB57" i="1"/>
  <c r="AA58" i="1"/>
  <c r="AB58" i="1"/>
  <c r="AA59" i="1"/>
  <c r="AB59" i="1"/>
  <c r="AA60" i="1"/>
  <c r="AB60" i="1"/>
  <c r="AA61" i="1"/>
  <c r="AB61" i="1"/>
  <c r="AA62" i="1"/>
  <c r="AB62" i="1"/>
  <c r="AA63" i="1"/>
  <c r="AB63" i="1"/>
  <c r="AA64" i="1"/>
  <c r="AB64" i="1"/>
  <c r="AA65" i="1"/>
  <c r="AB65" i="1"/>
  <c r="AA66" i="1"/>
  <c r="AB66" i="1"/>
  <c r="AA67" i="1"/>
  <c r="AB67" i="1"/>
  <c r="AA68" i="1"/>
  <c r="AB68" i="1"/>
  <c r="AA69" i="1"/>
  <c r="AB69" i="1"/>
  <c r="AA70" i="1"/>
  <c r="AB70" i="1"/>
  <c r="AA71" i="1"/>
  <c r="AB71" i="1"/>
  <c r="AA72" i="1"/>
  <c r="AB72" i="1"/>
  <c r="AA73" i="1"/>
  <c r="AB73" i="1"/>
  <c r="AA74" i="1"/>
  <c r="AB74" i="1"/>
  <c r="AA75" i="1"/>
  <c r="AB75" i="1"/>
  <c r="AA76" i="1"/>
  <c r="AB76" i="1"/>
  <c r="AA77" i="1"/>
  <c r="AB77" i="1"/>
  <c r="AA78" i="1"/>
  <c r="AB78" i="1"/>
  <c r="AA79" i="1"/>
  <c r="AB79" i="1"/>
  <c r="AA80" i="1"/>
  <c r="AB80" i="1"/>
  <c r="AA81" i="1"/>
  <c r="AB81" i="1"/>
  <c r="AA82" i="1"/>
  <c r="AB82" i="1"/>
  <c r="AA83" i="1"/>
  <c r="AB83" i="1"/>
  <c r="AA84" i="1"/>
  <c r="AB84" i="1"/>
  <c r="AA85" i="1"/>
  <c r="AB85" i="1"/>
  <c r="AA86" i="1"/>
  <c r="AB86" i="1"/>
  <c r="AA87" i="1"/>
  <c r="AB87" i="1"/>
  <c r="AA88" i="1"/>
  <c r="AB88" i="1"/>
  <c r="AA89" i="1"/>
  <c r="AB89" i="1"/>
  <c r="AA90" i="1"/>
  <c r="AB90" i="1"/>
  <c r="AA91" i="1"/>
  <c r="AB91" i="1"/>
  <c r="AA92" i="1"/>
  <c r="AB92" i="1"/>
  <c r="AA93" i="1"/>
  <c r="AB93" i="1"/>
  <c r="AA94" i="1"/>
  <c r="AB94" i="1"/>
  <c r="AA95" i="1"/>
  <c r="AB95" i="1"/>
  <c r="AA96" i="1"/>
  <c r="AB96" i="1"/>
  <c r="AA97" i="1"/>
  <c r="AB97" i="1"/>
  <c r="AA98" i="1"/>
  <c r="AB98" i="1"/>
  <c r="AA99" i="1"/>
  <c r="AB99" i="1"/>
  <c r="AA100" i="1"/>
  <c r="AB100" i="1"/>
  <c r="AA101" i="1"/>
  <c r="AB101" i="1"/>
  <c r="AA102" i="1"/>
  <c r="AB102" i="1"/>
  <c r="AA103" i="1"/>
  <c r="AB103" i="1"/>
  <c r="AA104" i="1"/>
  <c r="AB104" i="1"/>
  <c r="AA105" i="1"/>
  <c r="AB105" i="1"/>
  <c r="AA106" i="1"/>
  <c r="AB106" i="1"/>
  <c r="AA107" i="1"/>
  <c r="AB107" i="1"/>
  <c r="AA108" i="1"/>
  <c r="AB108" i="1"/>
  <c r="AA109" i="1"/>
  <c r="AB109" i="1"/>
  <c r="AA110" i="1"/>
  <c r="AB110" i="1"/>
  <c r="AA111" i="1"/>
  <c r="AB111" i="1"/>
  <c r="AA112" i="1"/>
  <c r="AB112" i="1"/>
  <c r="AA113" i="1"/>
  <c r="AB113" i="1"/>
  <c r="AA114" i="1"/>
  <c r="AB114" i="1"/>
  <c r="AA115" i="1"/>
  <c r="AB115" i="1"/>
  <c r="AA116" i="1"/>
  <c r="AB116" i="1"/>
  <c r="AA117" i="1"/>
  <c r="AB117" i="1"/>
  <c r="AA118" i="1"/>
  <c r="AB118" i="1"/>
  <c r="AA119" i="1"/>
  <c r="AB119" i="1"/>
  <c r="AA120" i="1"/>
  <c r="AB120" i="1"/>
  <c r="AA121" i="1"/>
  <c r="AB121" i="1"/>
  <c r="AA122" i="1"/>
  <c r="AB122" i="1"/>
  <c r="AA123" i="1"/>
  <c r="AB123" i="1"/>
  <c r="AA124" i="1"/>
  <c r="AB124" i="1"/>
  <c r="AA125" i="1"/>
  <c r="AB125" i="1"/>
  <c r="AA126" i="1"/>
  <c r="AB126" i="1"/>
  <c r="AA127" i="1"/>
  <c r="AB127" i="1"/>
  <c r="AA128" i="1"/>
  <c r="AB128" i="1"/>
  <c r="AA129" i="1"/>
  <c r="AB129" i="1"/>
  <c r="AA130" i="1"/>
  <c r="AB130" i="1"/>
  <c r="AA131" i="1"/>
  <c r="AB131" i="1"/>
  <c r="AA132" i="1"/>
  <c r="AB132" i="1"/>
  <c r="AA133" i="1"/>
  <c r="AB133" i="1"/>
  <c r="AA134" i="1"/>
  <c r="AB134" i="1"/>
  <c r="AA135" i="1"/>
  <c r="AB135" i="1"/>
  <c r="AA136" i="1"/>
  <c r="AB136" i="1"/>
  <c r="AA137" i="1"/>
  <c r="AB137" i="1"/>
  <c r="AA138" i="1"/>
  <c r="AB138" i="1"/>
  <c r="AA139" i="1"/>
  <c r="AB139" i="1"/>
  <c r="AA140" i="1"/>
  <c r="AB140" i="1"/>
  <c r="AA141" i="1"/>
  <c r="AB141" i="1"/>
  <c r="AA142" i="1"/>
  <c r="AB142" i="1"/>
  <c r="AA143" i="1"/>
  <c r="AB143" i="1"/>
  <c r="AA144" i="1"/>
  <c r="AB144" i="1"/>
  <c r="AA145" i="1"/>
  <c r="AB145" i="1"/>
  <c r="AA146" i="1"/>
  <c r="AB146" i="1"/>
  <c r="AA147" i="1"/>
  <c r="AB147" i="1"/>
  <c r="AA148" i="1"/>
  <c r="AB148" i="1"/>
  <c r="AA149" i="1"/>
  <c r="AB149" i="1"/>
  <c r="AA150" i="1"/>
  <c r="AB150" i="1"/>
  <c r="AA151" i="1"/>
  <c r="AB151" i="1"/>
  <c r="AA152" i="1"/>
  <c r="AB152" i="1"/>
  <c r="AA153" i="1"/>
  <c r="AB153" i="1"/>
  <c r="AA154" i="1"/>
  <c r="AB154" i="1"/>
  <c r="AA155" i="1"/>
  <c r="AB155" i="1"/>
  <c r="AA156" i="1"/>
  <c r="AB156" i="1"/>
  <c r="AA157" i="1"/>
  <c r="AB157" i="1"/>
  <c r="AA158" i="1"/>
  <c r="AB158" i="1"/>
  <c r="AA159" i="1"/>
  <c r="AB159" i="1"/>
  <c r="AA160" i="1"/>
  <c r="AB160" i="1"/>
  <c r="AA161" i="1"/>
  <c r="AB161" i="1"/>
  <c r="AA162" i="1"/>
  <c r="AB162" i="1"/>
  <c r="AA163" i="1"/>
  <c r="AB163" i="1"/>
  <c r="AA164" i="1"/>
  <c r="AB164" i="1"/>
  <c r="AA165" i="1"/>
  <c r="AB165" i="1"/>
  <c r="AA166" i="1"/>
  <c r="AB166" i="1"/>
  <c r="AA167" i="1"/>
  <c r="AB167" i="1"/>
  <c r="AA168" i="1"/>
  <c r="AB168" i="1"/>
  <c r="AA169" i="1"/>
  <c r="AB169" i="1"/>
  <c r="AA170" i="1"/>
  <c r="AB170" i="1"/>
  <c r="AA171" i="1"/>
  <c r="AB171" i="1"/>
  <c r="AA172" i="1"/>
  <c r="AB172" i="1"/>
  <c r="AA173" i="1"/>
  <c r="AB173" i="1"/>
  <c r="AA174" i="1"/>
  <c r="AB174" i="1"/>
  <c r="AA175" i="1"/>
  <c r="AB175" i="1"/>
  <c r="AA176" i="1"/>
  <c r="AB176" i="1"/>
  <c r="AA177" i="1"/>
  <c r="AB177" i="1"/>
  <c r="AA178" i="1"/>
  <c r="AB178" i="1"/>
  <c r="AA179" i="1"/>
  <c r="AB179" i="1"/>
  <c r="AA180" i="1"/>
  <c r="AB180" i="1"/>
  <c r="AA181" i="1"/>
  <c r="AB181" i="1"/>
  <c r="AA182" i="1"/>
  <c r="AB182" i="1"/>
  <c r="AA183" i="1"/>
  <c r="AB183" i="1"/>
  <c r="AA184" i="1"/>
  <c r="AB184" i="1"/>
  <c r="AA185" i="1"/>
  <c r="AB185" i="1"/>
  <c r="AA186" i="1"/>
  <c r="AB186" i="1"/>
  <c r="AA187" i="1"/>
  <c r="AB187" i="1"/>
  <c r="AA188" i="1"/>
  <c r="AB188" i="1"/>
  <c r="AA189" i="1"/>
  <c r="AB189" i="1"/>
  <c r="AA190" i="1"/>
  <c r="AB190" i="1"/>
  <c r="AA191" i="1"/>
  <c r="AB191" i="1"/>
  <c r="AA192" i="1"/>
  <c r="AB192" i="1"/>
  <c r="AA193" i="1"/>
  <c r="AB193" i="1"/>
  <c r="AA194" i="1"/>
  <c r="AB194" i="1"/>
  <c r="AA195" i="1"/>
  <c r="AB195" i="1"/>
  <c r="AA196" i="1"/>
  <c r="AB196" i="1"/>
  <c r="AA197" i="1"/>
  <c r="AB197" i="1"/>
  <c r="AA198" i="1"/>
  <c r="AB198" i="1"/>
  <c r="AA199" i="1"/>
  <c r="AB199" i="1"/>
  <c r="AA200" i="1"/>
  <c r="AB200" i="1"/>
  <c r="AA201" i="1"/>
  <c r="AB201" i="1"/>
  <c r="AA202" i="1"/>
  <c r="AB202" i="1"/>
  <c r="AA203" i="1"/>
  <c r="AB203" i="1"/>
  <c r="AA204" i="1"/>
  <c r="AB204" i="1"/>
  <c r="AA205" i="1"/>
  <c r="AB205" i="1"/>
  <c r="AA206" i="1"/>
  <c r="AB206" i="1"/>
  <c r="AA207" i="1"/>
  <c r="AB207" i="1"/>
  <c r="AA208" i="1"/>
  <c r="AB208" i="1"/>
  <c r="AA209" i="1"/>
  <c r="AB209" i="1"/>
  <c r="AA210" i="1"/>
  <c r="AB210" i="1"/>
  <c r="AA211" i="1"/>
  <c r="AB211" i="1"/>
  <c r="AA212" i="1"/>
  <c r="AB212" i="1"/>
  <c r="AA213" i="1"/>
  <c r="AB213" i="1"/>
  <c r="AA214" i="1"/>
  <c r="AB214" i="1"/>
  <c r="AA215" i="1"/>
  <c r="AB215" i="1"/>
  <c r="AA216" i="1"/>
  <c r="AB216" i="1"/>
  <c r="AA217" i="1"/>
  <c r="AB217" i="1"/>
  <c r="AA218" i="1"/>
  <c r="AB218" i="1"/>
  <c r="AA219" i="1"/>
  <c r="AB219" i="1"/>
  <c r="AA220" i="1"/>
  <c r="AB220" i="1"/>
  <c r="AA221" i="1"/>
  <c r="AB221" i="1"/>
  <c r="AA222" i="1"/>
  <c r="AB222" i="1"/>
  <c r="AA223" i="1"/>
  <c r="AB223" i="1"/>
  <c r="AA224" i="1"/>
  <c r="AB224" i="1"/>
  <c r="AA225" i="1"/>
  <c r="AB225" i="1"/>
  <c r="AA226" i="1"/>
  <c r="AB226" i="1"/>
  <c r="AA227" i="1"/>
  <c r="AB227" i="1"/>
  <c r="AA228" i="1"/>
  <c r="AB228" i="1"/>
  <c r="AA229" i="1"/>
  <c r="AB229" i="1"/>
  <c r="AA230" i="1"/>
  <c r="AB230" i="1"/>
  <c r="AA231" i="1"/>
  <c r="AB231" i="1"/>
  <c r="AA232" i="1"/>
  <c r="AB232" i="1"/>
  <c r="AA233" i="1"/>
  <c r="AB233" i="1"/>
  <c r="AA234" i="1"/>
  <c r="AB234" i="1"/>
  <c r="AA235" i="1"/>
  <c r="AB235" i="1"/>
  <c r="AA236" i="1"/>
  <c r="AB236" i="1"/>
  <c r="AA237" i="1"/>
  <c r="AB237" i="1"/>
  <c r="AA238" i="1"/>
  <c r="AB238" i="1"/>
  <c r="AA239" i="1"/>
  <c r="AB239" i="1"/>
  <c r="AA240" i="1"/>
  <c r="AB240" i="1"/>
  <c r="AA241" i="1"/>
  <c r="AB241" i="1"/>
  <c r="AA242" i="1"/>
  <c r="AB242" i="1"/>
  <c r="AA243" i="1"/>
  <c r="AB243" i="1"/>
  <c r="AA244" i="1"/>
  <c r="AB244" i="1"/>
  <c r="AA245" i="1"/>
  <c r="AB245" i="1"/>
  <c r="AA246" i="1"/>
  <c r="AB246" i="1"/>
  <c r="AA247" i="1"/>
  <c r="AB247" i="1"/>
  <c r="AA248" i="1"/>
  <c r="AB248" i="1"/>
  <c r="AA249" i="1"/>
  <c r="AB249" i="1"/>
  <c r="AA250" i="1"/>
  <c r="AB250" i="1"/>
  <c r="AA251" i="1"/>
  <c r="AB251" i="1"/>
  <c r="AA252" i="1"/>
  <c r="AB252" i="1"/>
  <c r="AA253" i="1"/>
  <c r="AB253" i="1"/>
  <c r="AA254" i="1"/>
  <c r="AB254" i="1"/>
  <c r="AA255" i="1"/>
  <c r="AB255" i="1"/>
  <c r="AA256" i="1"/>
  <c r="AB256" i="1"/>
  <c r="AA257" i="1"/>
  <c r="AB257" i="1"/>
  <c r="AA258" i="1"/>
  <c r="AB258" i="1"/>
  <c r="AA259" i="1"/>
  <c r="AB259" i="1"/>
  <c r="AA260" i="1"/>
  <c r="AB260" i="1"/>
  <c r="AA261" i="1"/>
  <c r="AB261" i="1"/>
  <c r="AA262" i="1"/>
  <c r="AB262" i="1"/>
  <c r="AA263" i="1"/>
  <c r="AB263" i="1"/>
  <c r="AA264" i="1"/>
  <c r="AB264" i="1"/>
  <c r="AA265" i="1"/>
  <c r="AB265" i="1"/>
  <c r="AA266" i="1"/>
  <c r="AB266" i="1"/>
  <c r="AA267" i="1"/>
  <c r="AB267" i="1"/>
  <c r="AA268" i="1"/>
  <c r="AB268" i="1"/>
  <c r="AA269" i="1"/>
  <c r="AB269" i="1"/>
  <c r="AA270" i="1"/>
  <c r="AB270" i="1"/>
  <c r="AA271" i="1"/>
  <c r="AB271" i="1"/>
  <c r="AA272" i="1"/>
  <c r="AB272" i="1"/>
  <c r="AA273" i="1"/>
  <c r="AB273" i="1"/>
  <c r="AA274" i="1"/>
  <c r="AB274" i="1"/>
  <c r="AA275" i="1"/>
  <c r="AB275" i="1"/>
  <c r="AA276" i="1"/>
  <c r="AB276" i="1"/>
  <c r="AA277" i="1"/>
  <c r="AB277" i="1"/>
  <c r="AA278" i="1"/>
  <c r="AB278" i="1"/>
  <c r="AA279" i="1"/>
  <c r="AB279" i="1"/>
  <c r="AA280" i="1"/>
  <c r="AB280" i="1"/>
  <c r="AA281" i="1"/>
  <c r="AB281" i="1"/>
  <c r="AA282" i="1"/>
  <c r="AB282" i="1"/>
  <c r="AA283" i="1"/>
  <c r="AB283" i="1"/>
  <c r="AA284" i="1"/>
  <c r="AB284" i="1"/>
  <c r="AA285" i="1"/>
  <c r="AB285" i="1"/>
  <c r="AA286" i="1"/>
  <c r="AB286" i="1"/>
  <c r="AA287" i="1"/>
  <c r="AB287" i="1"/>
  <c r="AA288" i="1"/>
  <c r="AB288" i="1"/>
  <c r="AA289" i="1"/>
  <c r="AB289" i="1"/>
  <c r="AA290" i="1"/>
  <c r="AB290" i="1"/>
  <c r="AA291" i="1"/>
  <c r="AB291" i="1"/>
  <c r="AA292" i="1"/>
  <c r="AB292" i="1"/>
  <c r="AA293" i="1"/>
  <c r="AB293" i="1"/>
  <c r="AA294" i="1"/>
  <c r="AB294" i="1"/>
  <c r="AA295" i="1"/>
  <c r="AB295" i="1"/>
  <c r="AA296" i="1"/>
  <c r="AB296" i="1"/>
  <c r="AA297" i="1"/>
  <c r="AB297" i="1"/>
  <c r="AA298" i="1"/>
  <c r="AB298" i="1"/>
  <c r="AA299" i="1"/>
  <c r="AB299" i="1"/>
  <c r="AA300" i="1"/>
  <c r="AB300" i="1"/>
  <c r="AA301" i="1"/>
  <c r="AB301" i="1"/>
  <c r="AA302" i="1"/>
  <c r="AB302" i="1"/>
  <c r="AA303" i="1"/>
  <c r="AB303" i="1"/>
  <c r="AA304" i="1"/>
  <c r="AB304" i="1"/>
  <c r="AA305" i="1"/>
  <c r="AB305" i="1"/>
  <c r="AA306" i="1"/>
  <c r="AB306" i="1"/>
  <c r="AA307" i="1"/>
  <c r="AB307" i="1"/>
  <c r="AA308" i="1"/>
  <c r="AB308" i="1"/>
  <c r="AA309" i="1"/>
  <c r="AB309" i="1"/>
  <c r="AA310" i="1"/>
  <c r="AB310" i="1"/>
  <c r="AA311" i="1"/>
  <c r="AB311" i="1"/>
  <c r="AA312" i="1"/>
  <c r="AB312" i="1"/>
  <c r="AA313" i="1"/>
  <c r="AB313" i="1"/>
  <c r="AA314" i="1"/>
  <c r="AB314" i="1"/>
  <c r="AA315" i="1"/>
  <c r="AB315" i="1"/>
  <c r="AA316" i="1"/>
  <c r="AB316" i="1"/>
  <c r="AA317" i="1"/>
  <c r="AB317" i="1"/>
  <c r="AA318" i="1"/>
  <c r="AB318" i="1"/>
  <c r="AA319" i="1"/>
  <c r="AB319" i="1"/>
  <c r="AA320" i="1"/>
  <c r="AB320" i="1"/>
  <c r="AA321" i="1"/>
  <c r="AB321" i="1"/>
  <c r="AA322" i="1"/>
  <c r="AB322" i="1"/>
  <c r="AA323" i="1"/>
  <c r="AB323" i="1"/>
  <c r="AA324" i="1"/>
  <c r="AB324" i="1"/>
  <c r="AA325" i="1"/>
  <c r="AB325" i="1"/>
  <c r="AA326" i="1"/>
  <c r="AB326" i="1"/>
  <c r="AA327" i="1"/>
  <c r="AB327" i="1"/>
  <c r="AA328" i="1"/>
  <c r="AB328" i="1"/>
  <c r="AA329" i="1"/>
  <c r="AB329" i="1"/>
  <c r="AA330" i="1"/>
  <c r="AB330" i="1"/>
  <c r="AA331" i="1"/>
  <c r="AB331" i="1"/>
  <c r="AA332" i="1"/>
  <c r="AB332" i="1"/>
  <c r="AA333" i="1"/>
  <c r="AB333" i="1"/>
  <c r="AA334" i="1"/>
  <c r="AB334" i="1"/>
  <c r="AA335" i="1"/>
  <c r="AB335" i="1"/>
  <c r="AA336" i="1"/>
  <c r="AB336" i="1"/>
  <c r="AA337" i="1"/>
  <c r="AB337" i="1"/>
  <c r="AA338" i="1"/>
  <c r="AB338" i="1"/>
  <c r="AA339" i="1"/>
  <c r="AB339" i="1"/>
  <c r="AA340" i="1"/>
  <c r="AB340" i="1"/>
  <c r="AA341" i="1"/>
  <c r="AB341" i="1"/>
  <c r="AA342" i="1"/>
  <c r="AB342" i="1"/>
  <c r="AA343" i="1"/>
  <c r="AB343" i="1"/>
  <c r="AA344" i="1"/>
  <c r="AB344" i="1"/>
  <c r="AA345" i="1"/>
  <c r="AB345" i="1"/>
  <c r="AA346" i="1"/>
  <c r="AB346" i="1"/>
  <c r="AA347" i="1"/>
  <c r="AB347" i="1"/>
  <c r="AA348" i="1"/>
  <c r="AB348" i="1"/>
  <c r="AA349" i="1"/>
  <c r="AB349" i="1"/>
  <c r="AA350" i="1"/>
  <c r="AB350" i="1"/>
  <c r="AA351" i="1"/>
  <c r="AB351" i="1"/>
  <c r="AA352" i="1"/>
  <c r="AB352" i="1"/>
  <c r="AA353" i="1"/>
  <c r="AB353" i="1"/>
  <c r="AA354" i="1"/>
  <c r="AB354" i="1"/>
  <c r="AA355" i="1"/>
  <c r="AB355" i="1"/>
  <c r="AA356" i="1"/>
  <c r="AB356" i="1"/>
  <c r="AA357" i="1"/>
  <c r="AB357" i="1"/>
  <c r="AA358" i="1"/>
  <c r="AB358" i="1"/>
  <c r="AA359" i="1"/>
  <c r="AB359" i="1"/>
  <c r="AA360" i="1"/>
  <c r="AB360" i="1"/>
  <c r="AA361" i="1"/>
  <c r="AB361" i="1"/>
  <c r="AA362" i="1"/>
  <c r="AB362" i="1"/>
  <c r="AA363" i="1"/>
  <c r="AB363" i="1"/>
  <c r="AA364" i="1"/>
  <c r="AB364" i="1"/>
  <c r="AA365" i="1"/>
  <c r="AB365" i="1"/>
  <c r="AA366" i="1"/>
  <c r="AB366" i="1"/>
  <c r="AA367" i="1"/>
  <c r="AB367" i="1"/>
  <c r="AA368" i="1"/>
  <c r="AB368" i="1"/>
  <c r="AA369" i="1"/>
  <c r="AB369" i="1"/>
  <c r="AA370" i="1"/>
  <c r="AB370" i="1"/>
  <c r="AA371" i="1"/>
  <c r="AB371" i="1"/>
  <c r="AA372" i="1"/>
  <c r="AB372" i="1"/>
  <c r="AA373" i="1"/>
  <c r="AB373" i="1"/>
  <c r="AA374" i="1"/>
  <c r="AB374" i="1"/>
  <c r="AA375" i="1"/>
  <c r="AB375" i="1"/>
  <c r="AA376" i="1"/>
  <c r="AB376" i="1"/>
  <c r="AA377" i="1"/>
  <c r="AB377" i="1"/>
  <c r="AA378" i="1"/>
  <c r="AB378" i="1"/>
  <c r="AA379" i="1"/>
  <c r="AB379" i="1"/>
  <c r="AA380" i="1"/>
  <c r="AB380" i="1"/>
  <c r="AA381" i="1"/>
  <c r="AB381" i="1"/>
  <c r="AA382" i="1"/>
  <c r="AB382" i="1"/>
  <c r="AA383" i="1"/>
  <c r="AB383" i="1"/>
  <c r="AA384" i="1"/>
  <c r="AB384" i="1"/>
  <c r="AA385" i="1"/>
  <c r="AB385" i="1"/>
  <c r="AA386" i="1"/>
  <c r="AB386" i="1"/>
  <c r="AA387" i="1"/>
  <c r="AB387" i="1"/>
  <c r="AA388" i="1"/>
  <c r="AB388" i="1"/>
  <c r="AA389" i="1"/>
  <c r="AB389" i="1"/>
  <c r="AA390" i="1"/>
  <c r="AB390" i="1"/>
  <c r="AA391" i="1"/>
  <c r="AB391" i="1"/>
  <c r="AA392" i="1"/>
  <c r="AB392" i="1"/>
  <c r="AA393" i="1"/>
  <c r="AB393" i="1"/>
  <c r="AA394" i="1"/>
  <c r="AB394" i="1"/>
  <c r="AA395" i="1"/>
  <c r="AB395" i="1"/>
  <c r="AA396" i="1"/>
  <c r="AB396" i="1"/>
  <c r="AA397" i="1"/>
  <c r="AB397" i="1"/>
  <c r="AA398" i="1"/>
  <c r="AB398" i="1"/>
  <c r="AA399" i="1"/>
  <c r="AB399" i="1"/>
  <c r="AA400" i="1"/>
  <c r="AB400" i="1"/>
  <c r="AA401" i="1"/>
  <c r="AB401" i="1"/>
  <c r="AA402" i="1"/>
  <c r="AB402" i="1"/>
  <c r="AA403" i="1"/>
  <c r="AB403" i="1"/>
  <c r="AA404" i="1"/>
  <c r="AB404" i="1"/>
  <c r="AA405" i="1"/>
  <c r="AB405" i="1"/>
  <c r="AA406" i="1"/>
  <c r="AB406" i="1"/>
  <c r="AA407" i="1"/>
  <c r="AB407" i="1"/>
  <c r="AA408" i="1"/>
  <c r="AB408" i="1"/>
  <c r="AA409" i="1"/>
  <c r="AB409" i="1"/>
  <c r="AA410" i="1"/>
  <c r="AB410" i="1"/>
  <c r="AA411" i="1"/>
  <c r="AB411" i="1"/>
  <c r="AA412" i="1"/>
  <c r="AB412" i="1"/>
  <c r="AA413" i="1"/>
  <c r="AB413" i="1"/>
  <c r="AA414" i="1"/>
  <c r="AB414" i="1"/>
  <c r="AA415" i="1"/>
  <c r="AB415" i="1"/>
  <c r="AA416" i="1"/>
  <c r="AB416" i="1"/>
  <c r="AA417" i="1"/>
  <c r="AB417" i="1"/>
  <c r="AA418" i="1"/>
  <c r="AB418" i="1"/>
  <c r="AA419" i="1"/>
  <c r="AB419" i="1"/>
  <c r="AA420" i="1"/>
  <c r="AB420" i="1"/>
  <c r="AA421" i="1"/>
  <c r="AB421" i="1"/>
  <c r="AA422" i="1"/>
  <c r="AB422" i="1"/>
  <c r="AA423" i="1"/>
  <c r="AB423" i="1"/>
  <c r="AA424" i="1"/>
  <c r="AB424" i="1"/>
  <c r="AA425" i="1"/>
  <c r="AB425" i="1"/>
  <c r="AA426" i="1"/>
  <c r="AB426" i="1"/>
  <c r="AA427" i="1"/>
  <c r="AB427" i="1"/>
  <c r="AA428" i="1"/>
  <c r="AB428" i="1"/>
  <c r="AA429" i="1"/>
  <c r="AB429" i="1"/>
  <c r="AA430" i="1"/>
  <c r="AB430" i="1"/>
  <c r="AA431" i="1"/>
  <c r="AB431" i="1"/>
  <c r="AA432" i="1"/>
  <c r="AB432" i="1"/>
  <c r="AA433" i="1"/>
  <c r="AB433" i="1"/>
  <c r="AA434" i="1"/>
  <c r="AB434" i="1"/>
  <c r="AA435" i="1"/>
  <c r="AB435" i="1"/>
  <c r="AA436" i="1"/>
  <c r="AB436" i="1"/>
  <c r="AA437" i="1"/>
  <c r="AB437" i="1"/>
  <c r="AA438" i="1"/>
  <c r="AB438" i="1"/>
  <c r="AA439" i="1"/>
  <c r="AB439" i="1"/>
  <c r="AA440" i="1"/>
  <c r="AB440" i="1"/>
  <c r="AA441" i="1"/>
  <c r="AB441" i="1"/>
  <c r="AA442" i="1"/>
  <c r="AB442" i="1"/>
  <c r="AA443" i="1"/>
  <c r="AB443" i="1"/>
  <c r="AA444" i="1"/>
  <c r="AB444" i="1"/>
  <c r="AA445" i="1"/>
  <c r="AB445" i="1"/>
  <c r="AA446" i="1"/>
  <c r="AB446" i="1"/>
  <c r="AA447" i="1"/>
  <c r="AB447" i="1"/>
  <c r="AA448" i="1"/>
  <c r="AB448" i="1"/>
  <c r="AA449" i="1"/>
  <c r="AB449" i="1"/>
  <c r="AA450" i="1"/>
  <c r="AB450" i="1"/>
  <c r="AA451" i="1"/>
  <c r="AB451" i="1"/>
  <c r="AA452" i="1"/>
  <c r="AB452" i="1"/>
  <c r="AA453" i="1"/>
  <c r="AB453" i="1"/>
  <c r="AA454" i="1"/>
  <c r="AB454" i="1"/>
  <c r="AA455" i="1"/>
  <c r="AB455" i="1"/>
  <c r="AA456" i="1"/>
  <c r="AB456" i="1"/>
  <c r="AA457" i="1"/>
  <c r="AB457" i="1"/>
  <c r="AA458" i="1"/>
  <c r="AB458" i="1"/>
  <c r="AA459" i="1"/>
  <c r="AB459" i="1"/>
  <c r="AA460" i="1"/>
  <c r="AB460" i="1"/>
  <c r="AA461" i="1"/>
  <c r="AB461" i="1"/>
  <c r="AA462" i="1"/>
  <c r="AB462" i="1"/>
  <c r="AA463" i="1"/>
  <c r="AB463" i="1"/>
  <c r="AA464" i="1"/>
  <c r="AB464" i="1"/>
  <c r="AA465" i="1"/>
  <c r="AB465" i="1"/>
  <c r="AA466" i="1"/>
  <c r="AB466" i="1"/>
  <c r="AA467" i="1"/>
  <c r="AB467" i="1"/>
  <c r="AA468" i="1"/>
  <c r="AB468" i="1"/>
  <c r="AA469" i="1"/>
  <c r="AB469" i="1"/>
  <c r="AA470" i="1"/>
  <c r="AB470" i="1"/>
  <c r="AA471" i="1"/>
  <c r="AB471" i="1"/>
  <c r="AA472" i="1"/>
  <c r="AB472" i="1"/>
  <c r="AA473" i="1"/>
  <c r="AB473" i="1"/>
  <c r="AA474" i="1"/>
  <c r="AB474" i="1"/>
  <c r="AA475" i="1"/>
  <c r="AB475" i="1"/>
  <c r="AA476" i="1"/>
  <c r="AB476" i="1"/>
  <c r="AA477" i="1"/>
  <c r="AB477" i="1"/>
  <c r="AA478" i="1"/>
  <c r="AB478" i="1"/>
  <c r="AA479" i="1"/>
  <c r="AB479" i="1"/>
  <c r="AA480" i="1"/>
  <c r="AB480" i="1"/>
  <c r="AA481" i="1"/>
  <c r="AB481" i="1"/>
  <c r="AA482" i="1"/>
  <c r="AB482" i="1"/>
  <c r="AA483" i="1"/>
  <c r="AB483" i="1"/>
  <c r="AA484" i="1"/>
  <c r="AB484" i="1"/>
  <c r="AA485" i="1"/>
  <c r="AB485" i="1"/>
  <c r="AA486" i="1"/>
  <c r="AB486" i="1"/>
  <c r="AA487" i="1"/>
  <c r="AB487" i="1"/>
  <c r="AA488" i="1"/>
  <c r="AB488" i="1"/>
  <c r="AA489" i="1"/>
  <c r="AB489" i="1"/>
  <c r="AA490" i="1"/>
  <c r="AB490" i="1"/>
  <c r="AA491" i="1"/>
  <c r="AB491" i="1"/>
  <c r="AA492" i="1"/>
  <c r="AB492" i="1"/>
  <c r="AA493" i="1"/>
  <c r="AB493" i="1"/>
  <c r="AA494" i="1"/>
  <c r="AB494" i="1"/>
  <c r="AA495" i="1"/>
  <c r="AB495" i="1"/>
  <c r="AA496" i="1"/>
  <c r="AB496" i="1"/>
  <c r="AA497" i="1"/>
  <c r="AB497" i="1"/>
  <c r="AA498" i="1"/>
  <c r="AB498" i="1"/>
  <c r="AA499" i="1"/>
  <c r="AB499" i="1"/>
  <c r="AA500" i="1"/>
  <c r="AB500" i="1"/>
  <c r="AA501" i="1"/>
  <c r="AB501" i="1"/>
  <c r="AA502" i="1"/>
  <c r="AB502" i="1"/>
  <c r="AA503" i="1"/>
  <c r="AB503" i="1"/>
  <c r="AA504" i="1"/>
  <c r="AB504" i="1"/>
  <c r="AA505" i="1"/>
  <c r="AB505" i="1"/>
  <c r="AA506" i="1"/>
  <c r="AB506" i="1"/>
  <c r="AA507" i="1"/>
  <c r="AB507" i="1"/>
  <c r="AA508" i="1"/>
  <c r="AB508" i="1"/>
  <c r="AA509" i="1"/>
  <c r="AB509" i="1"/>
  <c r="AA510" i="1"/>
  <c r="AB510" i="1"/>
  <c r="AA511" i="1"/>
  <c r="AB511" i="1"/>
  <c r="AA512" i="1"/>
  <c r="AB512" i="1"/>
  <c r="AA513" i="1"/>
  <c r="AB513" i="1"/>
  <c r="AA514" i="1"/>
  <c r="AB514" i="1"/>
  <c r="AA515" i="1"/>
  <c r="AB515" i="1"/>
  <c r="AA516" i="1"/>
  <c r="AB516" i="1"/>
  <c r="AA517" i="1"/>
  <c r="AB517" i="1"/>
  <c r="AA518" i="1"/>
  <c r="AB518" i="1"/>
  <c r="AA519" i="1"/>
  <c r="AB519" i="1"/>
  <c r="AA520" i="1"/>
  <c r="AB520" i="1"/>
  <c r="AA521" i="1"/>
  <c r="AB521" i="1"/>
  <c r="AA522" i="1"/>
  <c r="AB522" i="1"/>
  <c r="AA523" i="1"/>
  <c r="AB523" i="1"/>
  <c r="AA524" i="1"/>
  <c r="AB524" i="1"/>
  <c r="AA525" i="1"/>
  <c r="AB525" i="1"/>
  <c r="AA526" i="1"/>
  <c r="AB526" i="1"/>
  <c r="AA527" i="1"/>
  <c r="AB527" i="1"/>
  <c r="AA528" i="1"/>
  <c r="AB528" i="1"/>
  <c r="AA529" i="1"/>
  <c r="AB529" i="1"/>
  <c r="AA530" i="1"/>
  <c r="AB530" i="1"/>
  <c r="AA531" i="1"/>
  <c r="AB531" i="1"/>
  <c r="AA532" i="1"/>
  <c r="AB532" i="1"/>
  <c r="AA533" i="1"/>
  <c r="AB533" i="1"/>
  <c r="AA534" i="1"/>
  <c r="AB534" i="1"/>
  <c r="AA535" i="1"/>
  <c r="AB535" i="1"/>
  <c r="AA536" i="1"/>
  <c r="AB536" i="1"/>
  <c r="AA537" i="1"/>
  <c r="AB537" i="1"/>
  <c r="AA538" i="1"/>
  <c r="AB538" i="1"/>
  <c r="AA539" i="1"/>
  <c r="AB539" i="1"/>
  <c r="AA540" i="1"/>
  <c r="AB540" i="1"/>
  <c r="AA541" i="1"/>
  <c r="AB541" i="1"/>
  <c r="AA542" i="1"/>
  <c r="AB542" i="1"/>
  <c r="AA543" i="1"/>
  <c r="AB543" i="1"/>
  <c r="AA544" i="1"/>
  <c r="AB544" i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AC4" i="1"/>
  <c r="AB545" i="1"/>
  <c r="AA545" i="1"/>
  <c r="A587" i="5"/>
  <c r="A586" i="5"/>
  <c r="A585" i="5"/>
  <c r="A584" i="5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57" i="5"/>
  <c r="A453" i="5"/>
  <c r="A452" i="5"/>
  <c r="A451" i="5"/>
  <c r="A448" i="5"/>
  <c r="A445" i="5"/>
  <c r="A444" i="5"/>
  <c r="A442" i="5"/>
  <c r="A439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43" i="5"/>
  <c r="A241" i="5"/>
  <c r="A239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B52" i="12" l="1"/>
  <c r="A52" i="12"/>
  <c r="A51" i="12"/>
  <c r="B39" i="12"/>
  <c r="A39" i="12"/>
  <c r="A38" i="12"/>
  <c r="A25" i="12"/>
  <c r="AC32" i="1"/>
  <c r="AO32" i="1" s="1"/>
  <c r="AO4" i="1"/>
  <c r="AC117" i="1"/>
  <c r="AS117" i="1" s="1"/>
  <c r="AC105" i="1"/>
  <c r="AC81" i="1"/>
  <c r="AH81" i="1" s="1"/>
  <c r="AC17" i="1"/>
  <c r="AR17" i="1" s="1"/>
  <c r="AC13" i="1"/>
  <c r="AR13" i="1" s="1"/>
  <c r="AC6" i="1"/>
  <c r="AI6" i="1" s="1"/>
  <c r="AC9" i="1"/>
  <c r="AR9" i="1" s="1"/>
  <c r="AC19" i="1"/>
  <c r="AJ19" i="1" s="1"/>
  <c r="AC15" i="1"/>
  <c r="AN15" i="1" s="1"/>
  <c r="AC11" i="1"/>
  <c r="AI11" i="1" s="1"/>
  <c r="AC7" i="1"/>
  <c r="AO7" i="1" s="1"/>
  <c r="AC5" i="1"/>
  <c r="AR5" i="1" s="1"/>
  <c r="AC16" i="1"/>
  <c r="AP16" i="1" s="1"/>
  <c r="AC12" i="1"/>
  <c r="AK12" i="1" s="1"/>
  <c r="AC8" i="1"/>
  <c r="AH8" i="1" s="1"/>
  <c r="AC10" i="1"/>
  <c r="AJ10" i="1" s="1"/>
  <c r="AC50" i="1"/>
  <c r="AF50" i="1" s="1"/>
  <c r="AC37" i="1"/>
  <c r="AR37" i="1" s="1"/>
  <c r="AC54" i="1"/>
  <c r="AD54" i="1" s="1"/>
  <c r="AC46" i="1"/>
  <c r="AI46" i="1" s="1"/>
  <c r="AC42" i="1"/>
  <c r="AC38" i="1"/>
  <c r="AI38" i="1" s="1"/>
  <c r="AC34" i="1"/>
  <c r="AP34" i="1" s="1"/>
  <c r="AC30" i="1"/>
  <c r="AS30" i="1" s="1"/>
  <c r="AC26" i="1"/>
  <c r="AC22" i="1"/>
  <c r="AL22" i="1" s="1"/>
  <c r="AC18" i="1"/>
  <c r="AI18" i="1" s="1"/>
  <c r="AC14" i="1"/>
  <c r="AI14" i="1" s="1"/>
  <c r="AC65" i="1"/>
  <c r="AN65" i="1" s="1"/>
  <c r="AC61" i="1"/>
  <c r="AF61" i="1" s="1"/>
  <c r="AC57" i="1"/>
  <c r="AE57" i="1" s="1"/>
  <c r="AC49" i="1"/>
  <c r="AC45" i="1"/>
  <c r="AO45" i="1" s="1"/>
  <c r="AC33" i="1"/>
  <c r="AP33" i="1" s="1"/>
  <c r="AC29" i="1"/>
  <c r="AP29" i="1" s="1"/>
  <c r="AC104" i="1"/>
  <c r="AC80" i="1"/>
  <c r="AS80" i="1" s="1"/>
  <c r="AC68" i="1"/>
  <c r="AT68" i="1" s="1"/>
  <c r="AC64" i="1"/>
  <c r="AG64" i="1" s="1"/>
  <c r="AC60" i="1"/>
  <c r="AC56" i="1"/>
  <c r="AC52" i="1"/>
  <c r="AS52" i="1" s="1"/>
  <c r="AC48" i="1"/>
  <c r="AT48" i="1" s="1"/>
  <c r="AC44" i="1"/>
  <c r="AN44" i="1" s="1"/>
  <c r="AC36" i="1"/>
  <c r="AH36" i="1" s="1"/>
  <c r="AC28" i="1"/>
  <c r="AR28" i="1" s="1"/>
  <c r="AC83" i="1"/>
  <c r="AE83" i="1" s="1"/>
  <c r="AC79" i="1"/>
  <c r="AI79" i="1" s="1"/>
  <c r="AC75" i="1"/>
  <c r="AP75" i="1" s="1"/>
  <c r="AC71" i="1"/>
  <c r="AC67" i="1"/>
  <c r="AR67" i="1" s="1"/>
  <c r="AC63" i="1"/>
  <c r="AJ63" i="1" s="1"/>
  <c r="AC59" i="1"/>
  <c r="AR59" i="1" s="1"/>
  <c r="AC51" i="1"/>
  <c r="AQ51" i="1" s="1"/>
  <c r="AC47" i="1"/>
  <c r="AG47" i="1" s="1"/>
  <c r="AC43" i="1"/>
  <c r="AC39" i="1"/>
  <c r="AP39" i="1" s="1"/>
  <c r="AC35" i="1"/>
  <c r="AR35" i="1" s="1"/>
  <c r="AC31" i="1"/>
  <c r="AI31" i="1" s="1"/>
  <c r="AC27" i="1"/>
  <c r="AC23" i="1"/>
  <c r="AP23" i="1" s="1"/>
  <c r="AC41" i="1"/>
  <c r="AO41" i="1" s="1"/>
  <c r="AC25" i="1"/>
  <c r="AS25" i="1" s="1"/>
  <c r="AC21" i="1"/>
  <c r="AC228" i="1"/>
  <c r="AP228" i="1" s="1"/>
  <c r="AC128" i="1"/>
  <c r="AO128" i="1" s="1"/>
  <c r="AC120" i="1"/>
  <c r="AN120" i="1" s="1"/>
  <c r="AC116" i="1"/>
  <c r="AK116" i="1" s="1"/>
  <c r="AC112" i="1"/>
  <c r="AR112" i="1" s="1"/>
  <c r="AC108" i="1"/>
  <c r="AP108" i="1" s="1"/>
  <c r="AC100" i="1"/>
  <c r="AC84" i="1"/>
  <c r="AK84" i="1" s="1"/>
  <c r="AC76" i="1"/>
  <c r="AP76" i="1" s="1"/>
  <c r="AC72" i="1"/>
  <c r="AK72" i="1" s="1"/>
  <c r="AC40" i="1"/>
  <c r="AC24" i="1"/>
  <c r="AC20" i="1"/>
  <c r="AN20" i="1" s="1"/>
  <c r="AC55" i="1"/>
  <c r="AS55" i="1" s="1"/>
  <c r="AC106" i="1"/>
  <c r="AE4" i="1"/>
  <c r="AC545" i="1"/>
  <c r="AC544" i="1"/>
  <c r="AC540" i="1"/>
  <c r="AC536" i="1"/>
  <c r="AL536" i="1" s="1"/>
  <c r="AC532" i="1"/>
  <c r="AT532" i="1" s="1"/>
  <c r="AC528" i="1"/>
  <c r="AT528" i="1" s="1"/>
  <c r="AC524" i="1"/>
  <c r="AQ524" i="1" s="1"/>
  <c r="AC520" i="1"/>
  <c r="AT520" i="1" s="1"/>
  <c r="AC516" i="1"/>
  <c r="AN516" i="1" s="1"/>
  <c r="AC512" i="1"/>
  <c r="AC508" i="1"/>
  <c r="AC504" i="1"/>
  <c r="AH504" i="1" s="1"/>
  <c r="AC500" i="1"/>
  <c r="AN500" i="1" s="1"/>
  <c r="AC496" i="1"/>
  <c r="AN496" i="1" s="1"/>
  <c r="AC492" i="1"/>
  <c r="AD492" i="1" s="1"/>
  <c r="AC488" i="1"/>
  <c r="AP488" i="1" s="1"/>
  <c r="AC484" i="1"/>
  <c r="AC480" i="1"/>
  <c r="AC476" i="1"/>
  <c r="AC472" i="1"/>
  <c r="AK472" i="1" s="1"/>
  <c r="AC468" i="1"/>
  <c r="AC464" i="1"/>
  <c r="AK464" i="1" s="1"/>
  <c r="AC460" i="1"/>
  <c r="AK460" i="1" s="1"/>
  <c r="AC456" i="1"/>
  <c r="AD456" i="1" s="1"/>
  <c r="AC452" i="1"/>
  <c r="AC448" i="1"/>
  <c r="AC444" i="1"/>
  <c r="AC440" i="1"/>
  <c r="AT440" i="1" s="1"/>
  <c r="AC436" i="1"/>
  <c r="AG436" i="1" s="1"/>
  <c r="AC432" i="1"/>
  <c r="AM432" i="1" s="1"/>
  <c r="AC428" i="1"/>
  <c r="AE428" i="1" s="1"/>
  <c r="AC424" i="1"/>
  <c r="AM424" i="1" s="1"/>
  <c r="AC420" i="1"/>
  <c r="AC416" i="1"/>
  <c r="AC412" i="1"/>
  <c r="AC408" i="1"/>
  <c r="AI408" i="1" s="1"/>
  <c r="AC404" i="1"/>
  <c r="AK404" i="1" s="1"/>
  <c r="AC400" i="1"/>
  <c r="AI400" i="1" s="1"/>
  <c r="AC396" i="1"/>
  <c r="AK396" i="1" s="1"/>
  <c r="AC392" i="1"/>
  <c r="AK392" i="1" s="1"/>
  <c r="AC388" i="1"/>
  <c r="AC384" i="1"/>
  <c r="AC380" i="1"/>
  <c r="AC376" i="1"/>
  <c r="AC372" i="1"/>
  <c r="AM372" i="1" s="1"/>
  <c r="AC368" i="1"/>
  <c r="AT368" i="1" s="1"/>
  <c r="AC364" i="1"/>
  <c r="AS364" i="1" s="1"/>
  <c r="AC360" i="1"/>
  <c r="AJ360" i="1" s="1"/>
  <c r="AC356" i="1"/>
  <c r="AC352" i="1"/>
  <c r="AC348" i="1"/>
  <c r="AC344" i="1"/>
  <c r="AG344" i="1" s="1"/>
  <c r="AC340" i="1"/>
  <c r="AH340" i="1" s="1"/>
  <c r="AC336" i="1"/>
  <c r="AG336" i="1" s="1"/>
  <c r="AC332" i="1"/>
  <c r="AE332" i="1" s="1"/>
  <c r="AC328" i="1"/>
  <c r="AE328" i="1" s="1"/>
  <c r="AC324" i="1"/>
  <c r="AC320" i="1"/>
  <c r="AC316" i="1"/>
  <c r="AC312" i="1"/>
  <c r="AJ312" i="1" s="1"/>
  <c r="AC308" i="1"/>
  <c r="AD308" i="1" s="1"/>
  <c r="AC304" i="1"/>
  <c r="AT304" i="1" s="1"/>
  <c r="AC300" i="1"/>
  <c r="AE300" i="1" s="1"/>
  <c r="AC296" i="1"/>
  <c r="AD296" i="1" s="1"/>
  <c r="AC292" i="1"/>
  <c r="AC288" i="1"/>
  <c r="AC284" i="1"/>
  <c r="AJ284" i="1" s="1"/>
  <c r="AC280" i="1"/>
  <c r="AQ280" i="1" s="1"/>
  <c r="AC276" i="1"/>
  <c r="AT276" i="1" s="1"/>
  <c r="AC272" i="1"/>
  <c r="AN272" i="1" s="1"/>
  <c r="AC268" i="1"/>
  <c r="AR268" i="1" s="1"/>
  <c r="AC264" i="1"/>
  <c r="AL264" i="1" s="1"/>
  <c r="AC260" i="1"/>
  <c r="AC256" i="1"/>
  <c r="AC252" i="1"/>
  <c r="AC248" i="1"/>
  <c r="AC244" i="1"/>
  <c r="AM244" i="1" s="1"/>
  <c r="AC240" i="1"/>
  <c r="AC236" i="1"/>
  <c r="AR236" i="1" s="1"/>
  <c r="AC232" i="1"/>
  <c r="AF232" i="1" s="1"/>
  <c r="AC224" i="1"/>
  <c r="AC220" i="1"/>
  <c r="AC216" i="1"/>
  <c r="AC212" i="1"/>
  <c r="AO212" i="1" s="1"/>
  <c r="AC208" i="1"/>
  <c r="AH208" i="1" s="1"/>
  <c r="AC204" i="1"/>
  <c r="AE204" i="1" s="1"/>
  <c r="AC200" i="1"/>
  <c r="AG200" i="1" s="1"/>
  <c r="AC196" i="1"/>
  <c r="AI196" i="1" s="1"/>
  <c r="AC192" i="1"/>
  <c r="AC188" i="1"/>
  <c r="AC184" i="1"/>
  <c r="AH184" i="1" s="1"/>
  <c r="AC180" i="1"/>
  <c r="AK180" i="1" s="1"/>
  <c r="AC176" i="1"/>
  <c r="AK176" i="1" s="1"/>
  <c r="AC172" i="1"/>
  <c r="AK172" i="1" s="1"/>
  <c r="AC168" i="1"/>
  <c r="AK168" i="1" s="1"/>
  <c r="AC164" i="1"/>
  <c r="AC160" i="1"/>
  <c r="AC156" i="1"/>
  <c r="AK156" i="1" s="1"/>
  <c r="AC152" i="1"/>
  <c r="AC148" i="1"/>
  <c r="AK148" i="1" s="1"/>
  <c r="AC144" i="1"/>
  <c r="AK144" i="1" s="1"/>
  <c r="AC140" i="1"/>
  <c r="AK140" i="1" s="1"/>
  <c r="AC136" i="1"/>
  <c r="AK136" i="1" s="1"/>
  <c r="AC132" i="1"/>
  <c r="AC124" i="1"/>
  <c r="AC96" i="1"/>
  <c r="AC92" i="1"/>
  <c r="AC88" i="1"/>
  <c r="AK88" i="1" s="1"/>
  <c r="AQ32" i="1"/>
  <c r="AG4" i="1"/>
  <c r="AM4" i="1"/>
  <c r="AC543" i="1"/>
  <c r="AC539" i="1"/>
  <c r="AK539" i="1" s="1"/>
  <c r="AC535" i="1"/>
  <c r="AC531" i="1"/>
  <c r="AC527" i="1"/>
  <c r="AK527" i="1" s="1"/>
  <c r="AC523" i="1"/>
  <c r="AK523" i="1" s="1"/>
  <c r="AC519" i="1"/>
  <c r="AK519" i="1" s="1"/>
  <c r="AC515" i="1"/>
  <c r="AF515" i="1" s="1"/>
  <c r="AC511" i="1"/>
  <c r="AC507" i="1"/>
  <c r="AN507" i="1" s="1"/>
  <c r="AC503" i="1"/>
  <c r="AC499" i="1"/>
  <c r="AC495" i="1"/>
  <c r="AF495" i="1" s="1"/>
  <c r="AC491" i="1"/>
  <c r="AN491" i="1" s="1"/>
  <c r="AC487" i="1"/>
  <c r="AJ487" i="1" s="1"/>
  <c r="AC483" i="1"/>
  <c r="AT483" i="1" s="1"/>
  <c r="AC479" i="1"/>
  <c r="AC475" i="1"/>
  <c r="AC471" i="1"/>
  <c r="AP471" i="1" s="1"/>
  <c r="AC467" i="1"/>
  <c r="AC463" i="1"/>
  <c r="AR463" i="1" s="1"/>
  <c r="AC459" i="1"/>
  <c r="AG459" i="1" s="1"/>
  <c r="AC455" i="1"/>
  <c r="AF455" i="1" s="1"/>
  <c r="AC451" i="1"/>
  <c r="AO451" i="1" s="1"/>
  <c r="AC447" i="1"/>
  <c r="AC443" i="1"/>
  <c r="AH443" i="1" s="1"/>
  <c r="AC439" i="1"/>
  <c r="AC435" i="1"/>
  <c r="AC431" i="1"/>
  <c r="AK431" i="1" s="1"/>
  <c r="AC427" i="1"/>
  <c r="AK427" i="1" s="1"/>
  <c r="AC423" i="1"/>
  <c r="AK423" i="1" s="1"/>
  <c r="AC419" i="1"/>
  <c r="AK419" i="1" s="1"/>
  <c r="AC415" i="1"/>
  <c r="AC411" i="1"/>
  <c r="AK411" i="1" s="1"/>
  <c r="AC407" i="1"/>
  <c r="AC403" i="1"/>
  <c r="AC399" i="1"/>
  <c r="AK399" i="1" s="1"/>
  <c r="AC395" i="1"/>
  <c r="AC391" i="1"/>
  <c r="AK391" i="1" s="1"/>
  <c r="AC387" i="1"/>
  <c r="AK387" i="1" s="1"/>
  <c r="AC383" i="1"/>
  <c r="AC379" i="1"/>
  <c r="AJ379" i="1" s="1"/>
  <c r="AC375" i="1"/>
  <c r="AJ375" i="1" s="1"/>
  <c r="AC371" i="1"/>
  <c r="AC367" i="1"/>
  <c r="AR367" i="1" s="1"/>
  <c r="AC363" i="1"/>
  <c r="AK363" i="1" s="1"/>
  <c r="AC359" i="1"/>
  <c r="AK359" i="1" s="1"/>
  <c r="AC355" i="1"/>
  <c r="AC351" i="1"/>
  <c r="AC347" i="1"/>
  <c r="AR347" i="1" s="1"/>
  <c r="AC343" i="1"/>
  <c r="AP343" i="1" s="1"/>
  <c r="AC339" i="1"/>
  <c r="AC335" i="1"/>
  <c r="AO335" i="1" s="1"/>
  <c r="AC331" i="1"/>
  <c r="AC327" i="1"/>
  <c r="AR327" i="1" s="1"/>
  <c r="AC323" i="1"/>
  <c r="AC319" i="1"/>
  <c r="AC315" i="1"/>
  <c r="AK315" i="1" s="1"/>
  <c r="AC311" i="1"/>
  <c r="AC307" i="1"/>
  <c r="AC303" i="1"/>
  <c r="AO303" i="1" s="1"/>
  <c r="AC299" i="1"/>
  <c r="AC295" i="1"/>
  <c r="AN295" i="1" s="1"/>
  <c r="AC291" i="1"/>
  <c r="AT291" i="1" s="1"/>
  <c r="AC287" i="1"/>
  <c r="AC283" i="1"/>
  <c r="AG283" i="1" s="1"/>
  <c r="AC279" i="1"/>
  <c r="AC275" i="1"/>
  <c r="AC271" i="1"/>
  <c r="AJ271" i="1" s="1"/>
  <c r="AC267" i="1"/>
  <c r="AC263" i="1"/>
  <c r="AP263" i="1" s="1"/>
  <c r="AC259" i="1"/>
  <c r="AJ259" i="1" s="1"/>
  <c r="AC255" i="1"/>
  <c r="AC251" i="1"/>
  <c r="AR251" i="1" s="1"/>
  <c r="AC247" i="1"/>
  <c r="AC243" i="1"/>
  <c r="AC239" i="1"/>
  <c r="AP239" i="1" s="1"/>
  <c r="AC235" i="1"/>
  <c r="AC231" i="1"/>
  <c r="AH231" i="1" s="1"/>
  <c r="AC227" i="1"/>
  <c r="AC223" i="1"/>
  <c r="AC219" i="1"/>
  <c r="AC215" i="1"/>
  <c r="AQ215" i="1" s="1"/>
  <c r="AC211" i="1"/>
  <c r="AC207" i="1"/>
  <c r="AR207" i="1" s="1"/>
  <c r="AC203" i="1"/>
  <c r="AT203" i="1" s="1"/>
  <c r="AC199" i="1"/>
  <c r="AK199" i="1" s="1"/>
  <c r="AC195" i="1"/>
  <c r="AC191" i="1"/>
  <c r="AC187" i="1"/>
  <c r="AS187" i="1" s="1"/>
  <c r="AC183" i="1"/>
  <c r="AC179" i="1"/>
  <c r="AC175" i="1"/>
  <c r="AS175" i="1" s="1"/>
  <c r="AC171" i="1"/>
  <c r="AC167" i="1"/>
  <c r="AK167" i="1" s="1"/>
  <c r="AC163" i="1"/>
  <c r="AC159" i="1"/>
  <c r="AC155" i="1"/>
  <c r="AK155" i="1" s="1"/>
  <c r="AC151" i="1"/>
  <c r="AS151" i="1" s="1"/>
  <c r="AC147" i="1"/>
  <c r="AE147" i="1" s="1"/>
  <c r="AC143" i="1"/>
  <c r="AK143" i="1" s="1"/>
  <c r="AC139" i="1"/>
  <c r="AC135" i="1"/>
  <c r="AK135" i="1" s="1"/>
  <c r="AC131" i="1"/>
  <c r="AE131" i="1" s="1"/>
  <c r="AC127" i="1"/>
  <c r="AC123" i="1"/>
  <c r="AE123" i="1" s="1"/>
  <c r="AC119" i="1"/>
  <c r="AK119" i="1" s="1"/>
  <c r="AC115" i="1"/>
  <c r="AE115" i="1" s="1"/>
  <c r="AC111" i="1"/>
  <c r="AS111" i="1" s="1"/>
  <c r="AC107" i="1"/>
  <c r="AK107" i="1" s="1"/>
  <c r="AC103" i="1"/>
  <c r="AK103" i="1" s="1"/>
  <c r="AC99" i="1"/>
  <c r="AS99" i="1" s="1"/>
  <c r="AC95" i="1"/>
  <c r="AC91" i="1"/>
  <c r="AS91" i="1" s="1"/>
  <c r="AC87" i="1"/>
  <c r="AT4" i="1"/>
  <c r="AL4" i="1"/>
  <c r="AD4" i="1"/>
  <c r="AS4" i="1"/>
  <c r="AK4" i="1"/>
  <c r="AR4" i="1"/>
  <c r="AJ4" i="1"/>
  <c r="AQ4" i="1"/>
  <c r="AI4" i="1"/>
  <c r="AP4" i="1"/>
  <c r="AH4" i="1"/>
  <c r="AN4" i="1"/>
  <c r="AF4" i="1"/>
  <c r="AC542" i="1"/>
  <c r="AI542" i="1" s="1"/>
  <c r="AC538" i="1"/>
  <c r="AK538" i="1" s="1"/>
  <c r="AC534" i="1"/>
  <c r="AE534" i="1" s="1"/>
  <c r="AC530" i="1"/>
  <c r="AI530" i="1" s="1"/>
  <c r="AC526" i="1"/>
  <c r="AQ526" i="1" s="1"/>
  <c r="AC522" i="1"/>
  <c r="AP522" i="1" s="1"/>
  <c r="AC518" i="1"/>
  <c r="AD518" i="1" s="1"/>
  <c r="AC514" i="1"/>
  <c r="AH514" i="1" s="1"/>
  <c r="AC510" i="1"/>
  <c r="AD510" i="1" s="1"/>
  <c r="AC506" i="1"/>
  <c r="AC502" i="1"/>
  <c r="AN502" i="1" s="1"/>
  <c r="AC498" i="1"/>
  <c r="AH498" i="1" s="1"/>
  <c r="AC494" i="1"/>
  <c r="AD494" i="1" s="1"/>
  <c r="AC490" i="1"/>
  <c r="AP490" i="1" s="1"/>
  <c r="AC486" i="1"/>
  <c r="AD486" i="1" s="1"/>
  <c r="AC482" i="1"/>
  <c r="AR482" i="1" s="1"/>
  <c r="AC478" i="1"/>
  <c r="AJ478" i="1" s="1"/>
  <c r="AC474" i="1"/>
  <c r="AC470" i="1"/>
  <c r="AT470" i="1" s="1"/>
  <c r="AC466" i="1"/>
  <c r="AF466" i="1" s="1"/>
  <c r="AC462" i="1"/>
  <c r="AH462" i="1" s="1"/>
  <c r="AC458" i="1"/>
  <c r="AP458" i="1" s="1"/>
  <c r="AC454" i="1"/>
  <c r="AT454" i="1" s="1"/>
  <c r="AC450" i="1"/>
  <c r="AR450" i="1" s="1"/>
  <c r="AC446" i="1"/>
  <c r="AT446" i="1" s="1"/>
  <c r="AC442" i="1"/>
  <c r="AO442" i="1" s="1"/>
  <c r="AC438" i="1"/>
  <c r="AG438" i="1" s="1"/>
  <c r="AC434" i="1"/>
  <c r="AD434" i="1" s="1"/>
  <c r="AC430" i="1"/>
  <c r="AS430" i="1" s="1"/>
  <c r="AC426" i="1"/>
  <c r="AC422" i="1"/>
  <c r="AK422" i="1" s="1"/>
  <c r="AC418" i="1"/>
  <c r="AS418" i="1" s="1"/>
  <c r="AC414" i="1"/>
  <c r="AE414" i="1" s="1"/>
  <c r="AC410" i="1"/>
  <c r="AC406" i="1"/>
  <c r="AC402" i="1"/>
  <c r="AC398" i="1"/>
  <c r="AM398" i="1" s="1"/>
  <c r="AC394" i="1"/>
  <c r="AK394" i="1" s="1"/>
  <c r="AC390" i="1"/>
  <c r="AM390" i="1" s="1"/>
  <c r="AC386" i="1"/>
  <c r="AC382" i="1"/>
  <c r="AC378" i="1"/>
  <c r="AS378" i="1" s="1"/>
  <c r="AC182" i="1"/>
  <c r="AF182" i="1" s="1"/>
  <c r="AC170" i="1"/>
  <c r="AC142" i="1"/>
  <c r="AN142" i="1" s="1"/>
  <c r="AC122" i="1"/>
  <c r="AC118" i="1"/>
  <c r="AQ118" i="1" s="1"/>
  <c r="AC102" i="1"/>
  <c r="AO102" i="1" s="1"/>
  <c r="AC98" i="1"/>
  <c r="AC94" i="1"/>
  <c r="AR94" i="1" s="1"/>
  <c r="AC78" i="1"/>
  <c r="AP78" i="1" s="1"/>
  <c r="AP14" i="1"/>
  <c r="AS105" i="1"/>
  <c r="AR105" i="1"/>
  <c r="AM105" i="1"/>
  <c r="AK105" i="1"/>
  <c r="AJ105" i="1"/>
  <c r="AE105" i="1"/>
  <c r="AS81" i="1"/>
  <c r="AP81" i="1"/>
  <c r="AE81" i="1"/>
  <c r="AC541" i="1"/>
  <c r="AE541" i="1" s="1"/>
  <c r="AC537" i="1"/>
  <c r="AO537" i="1" s="1"/>
  <c r="AC533" i="1"/>
  <c r="AC529" i="1"/>
  <c r="AG529" i="1" s="1"/>
  <c r="AC525" i="1"/>
  <c r="AP525" i="1" s="1"/>
  <c r="AC521" i="1"/>
  <c r="AR521" i="1" s="1"/>
  <c r="AC517" i="1"/>
  <c r="AM517" i="1" s="1"/>
  <c r="AC513" i="1"/>
  <c r="AR513" i="1" s="1"/>
  <c r="AC509" i="1"/>
  <c r="AL509" i="1" s="1"/>
  <c r="AC505" i="1"/>
  <c r="AO505" i="1" s="1"/>
  <c r="AC501" i="1"/>
  <c r="AJ501" i="1" s="1"/>
  <c r="AC497" i="1"/>
  <c r="AL497" i="1" s="1"/>
  <c r="AC493" i="1"/>
  <c r="AS493" i="1" s="1"/>
  <c r="AC489" i="1"/>
  <c r="AJ489" i="1" s="1"/>
  <c r="AC485" i="1"/>
  <c r="AC481" i="1"/>
  <c r="AR481" i="1" s="1"/>
  <c r="AC477" i="1"/>
  <c r="AQ477" i="1" s="1"/>
  <c r="AC473" i="1"/>
  <c r="AT473" i="1" s="1"/>
  <c r="AC469" i="1"/>
  <c r="AC465" i="1"/>
  <c r="AK465" i="1" s="1"/>
  <c r="AC461" i="1"/>
  <c r="AM461" i="1" s="1"/>
  <c r="AC457" i="1"/>
  <c r="AQ457" i="1" s="1"/>
  <c r="AC453" i="1"/>
  <c r="AJ453" i="1" s="1"/>
  <c r="AC449" i="1"/>
  <c r="AT449" i="1" s="1"/>
  <c r="AC445" i="1"/>
  <c r="AM445" i="1" s="1"/>
  <c r="AC441" i="1"/>
  <c r="AC437" i="1"/>
  <c r="AC433" i="1"/>
  <c r="AK433" i="1" s="1"/>
  <c r="AC429" i="1"/>
  <c r="AG429" i="1" s="1"/>
  <c r="AC425" i="1"/>
  <c r="AL425" i="1" s="1"/>
  <c r="AC421" i="1"/>
  <c r="AC417" i="1"/>
  <c r="AC413" i="1"/>
  <c r="AC409" i="1"/>
  <c r="AC405" i="1"/>
  <c r="AO405" i="1" s="1"/>
  <c r="AC401" i="1"/>
  <c r="AC397" i="1"/>
  <c r="AL397" i="1" s="1"/>
  <c r="AC393" i="1"/>
  <c r="AO393" i="1" s="1"/>
  <c r="AC389" i="1"/>
  <c r="AO389" i="1" s="1"/>
  <c r="AC385" i="1"/>
  <c r="AC381" i="1"/>
  <c r="AC377" i="1"/>
  <c r="AC373" i="1"/>
  <c r="AE373" i="1" s="1"/>
  <c r="AC337" i="1"/>
  <c r="AL337" i="1" s="1"/>
  <c r="AC257" i="1"/>
  <c r="AC133" i="1"/>
  <c r="AF133" i="1" s="1"/>
  <c r="AC129" i="1"/>
  <c r="AG129" i="1" s="1"/>
  <c r="AC93" i="1"/>
  <c r="AC89" i="1"/>
  <c r="AE89" i="1" s="1"/>
  <c r="AC85" i="1"/>
  <c r="AL85" i="1" s="1"/>
  <c r="AP50" i="1"/>
  <c r="AC374" i="1"/>
  <c r="AC370" i="1"/>
  <c r="AF370" i="1" s="1"/>
  <c r="AC366" i="1"/>
  <c r="AE366" i="1" s="1"/>
  <c r="AC362" i="1"/>
  <c r="AM362" i="1" s="1"/>
  <c r="AC358" i="1"/>
  <c r="AT358" i="1" s="1"/>
  <c r="AC354" i="1"/>
  <c r="AN354" i="1" s="1"/>
  <c r="AC350" i="1"/>
  <c r="AC346" i="1"/>
  <c r="AE346" i="1" s="1"/>
  <c r="AC342" i="1"/>
  <c r="AC338" i="1"/>
  <c r="AK338" i="1" s="1"/>
  <c r="AC334" i="1"/>
  <c r="AQ334" i="1" s="1"/>
  <c r="AC330" i="1"/>
  <c r="AT330" i="1" s="1"/>
  <c r="AC326" i="1"/>
  <c r="AR326" i="1" s="1"/>
  <c r="AC322" i="1"/>
  <c r="AN322" i="1" s="1"/>
  <c r="AC318" i="1"/>
  <c r="AM318" i="1" s="1"/>
  <c r="AC314" i="1"/>
  <c r="AO314" i="1" s="1"/>
  <c r="AC310" i="1"/>
  <c r="AP310" i="1" s="1"/>
  <c r="AC306" i="1"/>
  <c r="AD306" i="1" s="1"/>
  <c r="AC302" i="1"/>
  <c r="AC298" i="1"/>
  <c r="AH298" i="1" s="1"/>
  <c r="AC294" i="1"/>
  <c r="AC290" i="1"/>
  <c r="AQ290" i="1" s="1"/>
  <c r="AC286" i="1"/>
  <c r="AO286" i="1" s="1"/>
  <c r="AC282" i="1"/>
  <c r="AE282" i="1" s="1"/>
  <c r="AC278" i="1"/>
  <c r="AE278" i="1" s="1"/>
  <c r="AC274" i="1"/>
  <c r="AI274" i="1" s="1"/>
  <c r="AC270" i="1"/>
  <c r="AC266" i="1"/>
  <c r="AQ266" i="1" s="1"/>
  <c r="AC262" i="1"/>
  <c r="AC258" i="1"/>
  <c r="AC254" i="1"/>
  <c r="AR254" i="1" s="1"/>
  <c r="AC250" i="1"/>
  <c r="AO250" i="1" s="1"/>
  <c r="AC246" i="1"/>
  <c r="AC242" i="1"/>
  <c r="AG242" i="1" s="1"/>
  <c r="AC238" i="1"/>
  <c r="AR238" i="1" s="1"/>
  <c r="AC234" i="1"/>
  <c r="AD234" i="1" s="1"/>
  <c r="AC230" i="1"/>
  <c r="AC226" i="1"/>
  <c r="AO226" i="1" s="1"/>
  <c r="AC222" i="1"/>
  <c r="AC218" i="1"/>
  <c r="AL218" i="1" s="1"/>
  <c r="AC214" i="1"/>
  <c r="AT214" i="1" s="1"/>
  <c r="AC210" i="1"/>
  <c r="AI210" i="1" s="1"/>
  <c r="AC206" i="1"/>
  <c r="AQ206" i="1" s="1"/>
  <c r="AC202" i="1"/>
  <c r="AJ202" i="1" s="1"/>
  <c r="AC198" i="1"/>
  <c r="AC194" i="1"/>
  <c r="AC190" i="1"/>
  <c r="AD190" i="1" s="1"/>
  <c r="AC186" i="1"/>
  <c r="AL186" i="1" s="1"/>
  <c r="AC178" i="1"/>
  <c r="AC174" i="1"/>
  <c r="AP174" i="1" s="1"/>
  <c r="AC166" i="1"/>
  <c r="AL166" i="1" s="1"/>
  <c r="AC162" i="1"/>
  <c r="AH162" i="1" s="1"/>
  <c r="AC158" i="1"/>
  <c r="AC154" i="1"/>
  <c r="AH154" i="1" s="1"/>
  <c r="AC150" i="1"/>
  <c r="AF150" i="1" s="1"/>
  <c r="AC146" i="1"/>
  <c r="AL146" i="1" s="1"/>
  <c r="AC138" i="1"/>
  <c r="AD138" i="1" s="1"/>
  <c r="AC134" i="1"/>
  <c r="AF134" i="1" s="1"/>
  <c r="AC130" i="1"/>
  <c r="AT130" i="1" s="1"/>
  <c r="AC126" i="1"/>
  <c r="AQ126" i="1" s="1"/>
  <c r="AC114" i="1"/>
  <c r="AC110" i="1"/>
  <c r="AC90" i="1"/>
  <c r="AS90" i="1" s="1"/>
  <c r="AC86" i="1"/>
  <c r="AS86" i="1" s="1"/>
  <c r="AC82" i="1"/>
  <c r="AC74" i="1"/>
  <c r="AC70" i="1"/>
  <c r="AO70" i="1" s="1"/>
  <c r="AC66" i="1"/>
  <c r="AL66" i="1" s="1"/>
  <c r="AC62" i="1"/>
  <c r="AJ62" i="1" s="1"/>
  <c r="AC58" i="1"/>
  <c r="AG58" i="1" s="1"/>
  <c r="AR50" i="1"/>
  <c r="AC369" i="1"/>
  <c r="AO369" i="1" s="1"/>
  <c r="AC365" i="1"/>
  <c r="AG365" i="1" s="1"/>
  <c r="AC361" i="1"/>
  <c r="AJ361" i="1" s="1"/>
  <c r="AC357" i="1"/>
  <c r="AN357" i="1" s="1"/>
  <c r="AC353" i="1"/>
  <c r="AG353" i="1" s="1"/>
  <c r="AC349" i="1"/>
  <c r="AE349" i="1" s="1"/>
  <c r="AC345" i="1"/>
  <c r="AP345" i="1" s="1"/>
  <c r="AC341" i="1"/>
  <c r="AL341" i="1" s="1"/>
  <c r="AC333" i="1"/>
  <c r="AS333" i="1" s="1"/>
  <c r="AC329" i="1"/>
  <c r="AK329" i="1" s="1"/>
  <c r="AC325" i="1"/>
  <c r="AK325" i="1" s="1"/>
  <c r="AC321" i="1"/>
  <c r="AH321" i="1" s="1"/>
  <c r="AC317" i="1"/>
  <c r="AC313" i="1"/>
  <c r="AK313" i="1" s="1"/>
  <c r="AC309" i="1"/>
  <c r="AC305" i="1"/>
  <c r="AP305" i="1" s="1"/>
  <c r="AC301" i="1"/>
  <c r="AC297" i="1"/>
  <c r="AK297" i="1" s="1"/>
  <c r="AC293" i="1"/>
  <c r="AK293" i="1" s="1"/>
  <c r="AC289" i="1"/>
  <c r="AH289" i="1" s="1"/>
  <c r="AC285" i="1"/>
  <c r="AC281" i="1"/>
  <c r="AK281" i="1" s="1"/>
  <c r="AC277" i="1"/>
  <c r="AC273" i="1"/>
  <c r="AP273" i="1" s="1"/>
  <c r="AC269" i="1"/>
  <c r="AH269" i="1" s="1"/>
  <c r="AC265" i="1"/>
  <c r="AH265" i="1" s="1"/>
  <c r="AC261" i="1"/>
  <c r="AC253" i="1"/>
  <c r="AS253" i="1" s="1"/>
  <c r="AC249" i="1"/>
  <c r="AH249" i="1" s="1"/>
  <c r="AC245" i="1"/>
  <c r="AC241" i="1"/>
  <c r="AD241" i="1" s="1"/>
  <c r="AC237" i="1"/>
  <c r="AQ237" i="1" s="1"/>
  <c r="AC233" i="1"/>
  <c r="AJ233" i="1" s="1"/>
  <c r="AC229" i="1"/>
  <c r="AR229" i="1" s="1"/>
  <c r="AC225" i="1"/>
  <c r="AT225" i="1" s="1"/>
  <c r="AC221" i="1"/>
  <c r="AC217" i="1"/>
  <c r="AO217" i="1" s="1"/>
  <c r="AC213" i="1"/>
  <c r="AC209" i="1"/>
  <c r="AK209" i="1" s="1"/>
  <c r="AC205" i="1"/>
  <c r="AS205" i="1" s="1"/>
  <c r="AC201" i="1"/>
  <c r="AH201" i="1" s="1"/>
  <c r="AC197" i="1"/>
  <c r="AP197" i="1" s="1"/>
  <c r="AC193" i="1"/>
  <c r="AH193" i="1" s="1"/>
  <c r="AC189" i="1"/>
  <c r="AC185" i="1"/>
  <c r="AP185" i="1" s="1"/>
  <c r="AC181" i="1"/>
  <c r="AC177" i="1"/>
  <c r="AM177" i="1" s="1"/>
  <c r="AC173" i="1"/>
  <c r="AK173" i="1" s="1"/>
  <c r="AC169" i="1"/>
  <c r="AC165" i="1"/>
  <c r="AN165" i="1" s="1"/>
  <c r="AC161" i="1"/>
  <c r="AM161" i="1" s="1"/>
  <c r="AC157" i="1"/>
  <c r="AE157" i="1" s="1"/>
  <c r="AC153" i="1"/>
  <c r="AI153" i="1" s="1"/>
  <c r="AC149" i="1"/>
  <c r="AC145" i="1"/>
  <c r="AG145" i="1" s="1"/>
  <c r="AC141" i="1"/>
  <c r="AC137" i="1"/>
  <c r="AP137" i="1" s="1"/>
  <c r="AC125" i="1"/>
  <c r="AT125" i="1" s="1"/>
  <c r="AC121" i="1"/>
  <c r="AT121" i="1" s="1"/>
  <c r="AC113" i="1"/>
  <c r="AH113" i="1" s="1"/>
  <c r="AC109" i="1"/>
  <c r="AC101" i="1"/>
  <c r="AC97" i="1"/>
  <c r="AT97" i="1" s="1"/>
  <c r="AC77" i="1"/>
  <c r="AM77" i="1" s="1"/>
  <c r="AC73" i="1"/>
  <c r="AQ73" i="1" s="1"/>
  <c r="AC69" i="1"/>
  <c r="AI69" i="1" s="1"/>
  <c r="AC53" i="1"/>
  <c r="AQ53" i="1" s="1"/>
  <c r="AL5" i="1"/>
  <c r="AT5" i="1"/>
  <c r="AT9" i="1"/>
  <c r="AH11" i="1"/>
  <c r="AJ14" i="1"/>
  <c r="AH15" i="1"/>
  <c r="AP15" i="1"/>
  <c r="AD17" i="1"/>
  <c r="AL17" i="1"/>
  <c r="AT17" i="1"/>
  <c r="AH31" i="1"/>
  <c r="AP31" i="1"/>
  <c r="AJ34" i="1"/>
  <c r="AR34" i="1"/>
  <c r="AD37" i="1"/>
  <c r="AL37" i="1"/>
  <c r="AT37" i="1"/>
  <c r="AQ81" i="1"/>
  <c r="AI81" i="1"/>
  <c r="AO81" i="1"/>
  <c r="AG81" i="1"/>
  <c r="AN81" i="1"/>
  <c r="AT81" i="1"/>
  <c r="AL81" i="1"/>
  <c r="AD81" i="1"/>
  <c r="AR81" i="1"/>
  <c r="AN256" i="1"/>
  <c r="AQ256" i="1"/>
  <c r="AK13" i="1"/>
  <c r="AS13" i="1"/>
  <c r="AE5" i="1"/>
  <c r="AM5" i="1"/>
  <c r="AE9" i="1"/>
  <c r="AM9" i="1"/>
  <c r="AE13" i="1"/>
  <c r="AM13" i="1"/>
  <c r="AK14" i="1"/>
  <c r="AS14" i="1"/>
  <c r="AE17" i="1"/>
  <c r="AM17" i="1"/>
  <c r="AK34" i="1"/>
  <c r="AS34" i="1"/>
  <c r="AE37" i="1"/>
  <c r="AM37" i="1"/>
  <c r="AK38" i="1"/>
  <c r="AQ117" i="1"/>
  <c r="AI117" i="1"/>
  <c r="AP117" i="1"/>
  <c r="AH117" i="1"/>
  <c r="AO117" i="1"/>
  <c r="AG117" i="1"/>
  <c r="AN117" i="1"/>
  <c r="AF117" i="1"/>
  <c r="AT117" i="1"/>
  <c r="AL117" i="1"/>
  <c r="AD117" i="1"/>
  <c r="AK9" i="1"/>
  <c r="AS9" i="1"/>
  <c r="AS17" i="1"/>
  <c r="AK37" i="1"/>
  <c r="AF5" i="1"/>
  <c r="AN5" i="1"/>
  <c r="AF9" i="1"/>
  <c r="AN9" i="1"/>
  <c r="AJ11" i="1"/>
  <c r="AR11" i="1"/>
  <c r="AF13" i="1"/>
  <c r="AN13" i="1"/>
  <c r="AD14" i="1"/>
  <c r="AL14" i="1"/>
  <c r="AT14" i="1"/>
  <c r="AJ15" i="1"/>
  <c r="AR15" i="1"/>
  <c r="AF17" i="1"/>
  <c r="AN17" i="1"/>
  <c r="AH20" i="1"/>
  <c r="AJ31" i="1"/>
  <c r="AR31" i="1"/>
  <c r="AH32" i="1"/>
  <c r="AD34" i="1"/>
  <c r="AL34" i="1"/>
  <c r="AT34" i="1"/>
  <c r="AF37" i="1"/>
  <c r="AN37" i="1"/>
  <c r="AJ46" i="1"/>
  <c r="AJ50" i="1"/>
  <c r="AJ57" i="1"/>
  <c r="AJ67" i="1"/>
  <c r="AF81" i="1"/>
  <c r="AE117" i="1"/>
  <c r="AK5" i="1"/>
  <c r="AS5" i="1"/>
  <c r="AG5" i="1"/>
  <c r="AO5" i="1"/>
  <c r="AM6" i="1"/>
  <c r="AG9" i="1"/>
  <c r="AO9" i="1"/>
  <c r="AK11" i="1"/>
  <c r="AS11" i="1"/>
  <c r="AG13" i="1"/>
  <c r="AO13" i="1"/>
  <c r="AE14" i="1"/>
  <c r="AM14" i="1"/>
  <c r="AK15" i="1"/>
  <c r="AS15" i="1"/>
  <c r="AG17" i="1"/>
  <c r="AO17" i="1"/>
  <c r="AS27" i="1"/>
  <c r="AK31" i="1"/>
  <c r="AS31" i="1"/>
  <c r="AE34" i="1"/>
  <c r="AM34" i="1"/>
  <c r="AG37" i="1"/>
  <c r="AO37" i="1"/>
  <c r="AJ117" i="1"/>
  <c r="AI180" i="1"/>
  <c r="AH5" i="1"/>
  <c r="AP5" i="1"/>
  <c r="AH9" i="1"/>
  <c r="AP9" i="1"/>
  <c r="AD11" i="1"/>
  <c r="AL11" i="1"/>
  <c r="AT11" i="1"/>
  <c r="AH13" i="1"/>
  <c r="AP13" i="1"/>
  <c r="AF14" i="1"/>
  <c r="AN14" i="1"/>
  <c r="AD15" i="1"/>
  <c r="AL15" i="1"/>
  <c r="AT15" i="1"/>
  <c r="AH17" i="1"/>
  <c r="AP17" i="1"/>
  <c r="AF26" i="1"/>
  <c r="AD31" i="1"/>
  <c r="AL31" i="1"/>
  <c r="AT31" i="1"/>
  <c r="AF34" i="1"/>
  <c r="AN34" i="1"/>
  <c r="AH37" i="1"/>
  <c r="AP37" i="1"/>
  <c r="AL41" i="1"/>
  <c r="AI45" i="1"/>
  <c r="AO46" i="1"/>
  <c r="AG46" i="1"/>
  <c r="AL46" i="1"/>
  <c r="AO50" i="1"/>
  <c r="AG50" i="1"/>
  <c r="AL50" i="1"/>
  <c r="AM51" i="1"/>
  <c r="AE51" i="1"/>
  <c r="AQ57" i="1"/>
  <c r="AI57" i="1"/>
  <c r="AL57" i="1"/>
  <c r="AM67" i="1"/>
  <c r="AE67" i="1"/>
  <c r="AL67" i="1"/>
  <c r="AJ81" i="1"/>
  <c r="AK117" i="1"/>
  <c r="AS37" i="1"/>
  <c r="AI5" i="1"/>
  <c r="AQ5" i="1"/>
  <c r="AI9" i="1"/>
  <c r="AQ9" i="1"/>
  <c r="AE11" i="1"/>
  <c r="AM11" i="1"/>
  <c r="AI13" i="1"/>
  <c r="AQ13" i="1"/>
  <c r="AO14" i="1"/>
  <c r="AE15" i="1"/>
  <c r="AM15" i="1"/>
  <c r="AI17" i="1"/>
  <c r="AQ17" i="1"/>
  <c r="AG26" i="1"/>
  <c r="AM27" i="1"/>
  <c r="AM31" i="1"/>
  <c r="AK32" i="1"/>
  <c r="AG34" i="1"/>
  <c r="AO34" i="1"/>
  <c r="AI37" i="1"/>
  <c r="AQ37" i="1"/>
  <c r="AD46" i="1"/>
  <c r="AM46" i="1"/>
  <c r="AD50" i="1"/>
  <c r="AM50" i="1"/>
  <c r="AD57" i="1"/>
  <c r="AM57" i="1"/>
  <c r="AN59" i="1"/>
  <c r="AN67" i="1"/>
  <c r="AK81" i="1"/>
  <c r="AQ105" i="1"/>
  <c r="AI105" i="1"/>
  <c r="AP105" i="1"/>
  <c r="AH105" i="1"/>
  <c r="AO105" i="1"/>
  <c r="AG105" i="1"/>
  <c r="AN105" i="1"/>
  <c r="AF105" i="1"/>
  <c r="AT105" i="1"/>
  <c r="AL105" i="1"/>
  <c r="AD105" i="1"/>
  <c r="AM117" i="1"/>
  <c r="AJ5" i="1"/>
  <c r="AJ9" i="1"/>
  <c r="AF11" i="1"/>
  <c r="AJ13" i="1"/>
  <c r="AH14" i="1"/>
  <c r="AF15" i="1"/>
  <c r="AJ17" i="1"/>
  <c r="AF31" i="1"/>
  <c r="AH34" i="1"/>
  <c r="AJ37" i="1"/>
  <c r="AM81" i="1"/>
  <c r="AR117" i="1"/>
  <c r="AH191" i="1"/>
  <c r="AS191" i="1"/>
  <c r="AD211" i="1"/>
  <c r="AR211" i="1"/>
  <c r="AG211" i="1"/>
  <c r="AP211" i="1"/>
  <c r="AP243" i="1"/>
  <c r="AM243" i="1"/>
  <c r="AD243" i="1"/>
  <c r="AK243" i="1"/>
  <c r="AJ243" i="1"/>
  <c r="AR192" i="1"/>
  <c r="AJ192" i="1"/>
  <c r="AP192" i="1"/>
  <c r="AH192" i="1"/>
  <c r="AM192" i="1"/>
  <c r="AP223" i="1"/>
  <c r="AH223" i="1"/>
  <c r="AS223" i="1"/>
  <c r="AJ223" i="1"/>
  <c r="AQ223" i="1"/>
  <c r="AG223" i="1"/>
  <c r="AN223" i="1"/>
  <c r="AM223" i="1"/>
  <c r="AD223" i="1"/>
  <c r="AN224" i="1"/>
  <c r="AF224" i="1"/>
  <c r="AS224" i="1"/>
  <c r="AJ224" i="1"/>
  <c r="AQ224" i="1"/>
  <c r="AH224" i="1"/>
  <c r="AO224" i="1"/>
  <c r="AE224" i="1"/>
  <c r="AM224" i="1"/>
  <c r="AD224" i="1"/>
  <c r="AT179" i="1"/>
  <c r="AK191" i="1"/>
  <c r="AD192" i="1"/>
  <c r="AN192" i="1"/>
  <c r="AF211" i="1"/>
  <c r="AF223" i="1"/>
  <c r="AG224" i="1"/>
  <c r="AI243" i="1"/>
  <c r="AS87" i="1"/>
  <c r="AK95" i="1"/>
  <c r="AS95" i="1"/>
  <c r="AS107" i="1"/>
  <c r="AS115" i="1"/>
  <c r="AK127" i="1"/>
  <c r="AS127" i="1"/>
  <c r="AS147" i="1"/>
  <c r="AK159" i="1"/>
  <c r="AS159" i="1"/>
  <c r="AH188" i="1"/>
  <c r="AE192" i="1"/>
  <c r="AO192" i="1"/>
  <c r="AH211" i="1"/>
  <c r="AM212" i="1"/>
  <c r="AI223" i="1"/>
  <c r="AI224" i="1"/>
  <c r="AL243" i="1"/>
  <c r="AT191" i="1"/>
  <c r="AL191" i="1"/>
  <c r="AD191" i="1"/>
  <c r="AJ191" i="1"/>
  <c r="AN191" i="1"/>
  <c r="AF192" i="1"/>
  <c r="AQ192" i="1"/>
  <c r="AK223" i="1"/>
  <c r="AK224" i="1"/>
  <c r="AK40" i="1"/>
  <c r="AK44" i="1"/>
  <c r="AK64" i="1"/>
  <c r="AK92" i="1"/>
  <c r="AE95" i="1"/>
  <c r="AK96" i="1"/>
  <c r="AK104" i="1"/>
  <c r="AK120" i="1"/>
  <c r="AK124" i="1"/>
  <c r="AE127" i="1"/>
  <c r="AK152" i="1"/>
  <c r="AE159" i="1"/>
  <c r="AK160" i="1"/>
  <c r="AG179" i="1"/>
  <c r="AI183" i="1"/>
  <c r="AR184" i="1"/>
  <c r="AJ184" i="1"/>
  <c r="AP184" i="1"/>
  <c r="AM184" i="1"/>
  <c r="AE191" i="1"/>
  <c r="AO191" i="1"/>
  <c r="AG192" i="1"/>
  <c r="AS192" i="1"/>
  <c r="AE203" i="1"/>
  <c r="AM208" i="1"/>
  <c r="AL223" i="1"/>
  <c r="AL224" i="1"/>
  <c r="AR243" i="1"/>
  <c r="AT187" i="1"/>
  <c r="AI192" i="1"/>
  <c r="AT192" i="1"/>
  <c r="AO223" i="1"/>
  <c r="AP224" i="1"/>
  <c r="AE244" i="1"/>
  <c r="AK215" i="1"/>
  <c r="AK216" i="1"/>
  <c r="AK247" i="1"/>
  <c r="AN252" i="1"/>
  <c r="AF252" i="1"/>
  <c r="AM252" i="1"/>
  <c r="AE252" i="1"/>
  <c r="AJ260" i="1"/>
  <c r="AO287" i="1"/>
  <c r="AG287" i="1"/>
  <c r="AT287" i="1"/>
  <c r="AL287" i="1"/>
  <c r="AD287" i="1"/>
  <c r="AM287" i="1"/>
  <c r="AK287" i="1"/>
  <c r="AJ287" i="1"/>
  <c r="AR287" i="1"/>
  <c r="AH287" i="1"/>
  <c r="AQ287" i="1"/>
  <c r="AF287" i="1"/>
  <c r="AP287" i="1"/>
  <c r="AE287" i="1"/>
  <c r="AH215" i="1"/>
  <c r="AN216" i="1"/>
  <c r="AF216" i="1"/>
  <c r="AL216" i="1"/>
  <c r="AL248" i="1"/>
  <c r="AP255" i="1"/>
  <c r="AH255" i="1"/>
  <c r="AO255" i="1"/>
  <c r="AG255" i="1"/>
  <c r="AM255" i="1"/>
  <c r="AK260" i="1"/>
  <c r="AH315" i="1"/>
  <c r="AN215" i="1"/>
  <c r="AE216" i="1"/>
  <c r="AO216" i="1"/>
  <c r="AH252" i="1"/>
  <c r="AE255" i="1"/>
  <c r="AQ255" i="1"/>
  <c r="AS287" i="1"/>
  <c r="AN260" i="1"/>
  <c r="AF260" i="1"/>
  <c r="AM260" i="1"/>
  <c r="AE260" i="1"/>
  <c r="AQ260" i="1"/>
  <c r="AI260" i="1"/>
  <c r="AP260" i="1"/>
  <c r="AH216" i="1"/>
  <c r="AQ216" i="1"/>
  <c r="AI220" i="1"/>
  <c r="AQ247" i="1"/>
  <c r="AI251" i="1"/>
  <c r="AJ252" i="1"/>
  <c r="AT252" i="1"/>
  <c r="AI255" i="1"/>
  <c r="AS255" i="1"/>
  <c r="AD260" i="1"/>
  <c r="AR260" i="1"/>
  <c r="AG276" i="1"/>
  <c r="AI280" i="1"/>
  <c r="AJ272" i="1"/>
  <c r="AK275" i="1"/>
  <c r="AO283" i="1"/>
  <c r="AM292" i="1"/>
  <c r="AE292" i="1"/>
  <c r="AT292" i="1"/>
  <c r="AL292" i="1"/>
  <c r="AD292" i="1"/>
  <c r="AR292" i="1"/>
  <c r="AJ292" i="1"/>
  <c r="AP292" i="1"/>
  <c r="AP307" i="1"/>
  <c r="AO319" i="1"/>
  <c r="AG319" i="1"/>
  <c r="AN319" i="1"/>
  <c r="AF319" i="1"/>
  <c r="AM319" i="1"/>
  <c r="AE319" i="1"/>
  <c r="AT319" i="1"/>
  <c r="AL319" i="1"/>
  <c r="AD319" i="1"/>
  <c r="AS319" i="1"/>
  <c r="AO275" i="1"/>
  <c r="AG275" i="1"/>
  <c r="AT275" i="1"/>
  <c r="AL275" i="1"/>
  <c r="AD275" i="1"/>
  <c r="AH319" i="1"/>
  <c r="AG307" i="1"/>
  <c r="AN307" i="1"/>
  <c r="AM307" i="1"/>
  <c r="AE307" i="1"/>
  <c r="AT307" i="1"/>
  <c r="AQ420" i="1"/>
  <c r="AI420" i="1"/>
  <c r="AO420" i="1"/>
  <c r="AG420" i="1"/>
  <c r="AP420" i="1"/>
  <c r="AE420" i="1"/>
  <c r="AN420" i="1"/>
  <c r="AD420" i="1"/>
  <c r="AK420" i="1"/>
  <c r="AJ420" i="1"/>
  <c r="AH420" i="1"/>
  <c r="AT420" i="1"/>
  <c r="AF420" i="1"/>
  <c r="AS420" i="1"/>
  <c r="AR420" i="1"/>
  <c r="AM420" i="1"/>
  <c r="AL420" i="1"/>
  <c r="AF275" i="1"/>
  <c r="AR288" i="1"/>
  <c r="AI292" i="1"/>
  <c r="AJ319" i="1"/>
  <c r="AH331" i="1"/>
  <c r="AO331" i="1"/>
  <c r="AP267" i="1"/>
  <c r="AI279" i="1"/>
  <c r="AM284" i="1"/>
  <c r="AE284" i="1"/>
  <c r="AR284" i="1"/>
  <c r="AN284" i="1"/>
  <c r="AD288" i="1"/>
  <c r="AK292" i="1"/>
  <c r="AO299" i="1"/>
  <c r="AG299" i="1"/>
  <c r="AI307" i="1"/>
  <c r="AG311" i="1"/>
  <c r="AK319" i="1"/>
  <c r="AP319" i="1"/>
  <c r="AR308" i="1"/>
  <c r="AJ316" i="1"/>
  <c r="AR316" i="1"/>
  <c r="AJ320" i="1"/>
  <c r="AJ324" i="1"/>
  <c r="AR324" i="1"/>
  <c r="AL339" i="1"/>
  <c r="AN452" i="1"/>
  <c r="AF452" i="1"/>
  <c r="AT452" i="1"/>
  <c r="AL452" i="1"/>
  <c r="AD452" i="1"/>
  <c r="AR452" i="1"/>
  <c r="AH452" i="1"/>
  <c r="AP452" i="1"/>
  <c r="AE452" i="1"/>
  <c r="AM452" i="1"/>
  <c r="AS452" i="1"/>
  <c r="AQ452" i="1"/>
  <c r="AO452" i="1"/>
  <c r="AK452" i="1"/>
  <c r="AJ452" i="1"/>
  <c r="AI452" i="1"/>
  <c r="AG452" i="1"/>
  <c r="AO466" i="1"/>
  <c r="AK316" i="1"/>
  <c r="AS316" i="1"/>
  <c r="AS320" i="1"/>
  <c r="AK324" i="1"/>
  <c r="AS324" i="1"/>
  <c r="AD316" i="1"/>
  <c r="AL316" i="1"/>
  <c r="AT316" i="1"/>
  <c r="AL320" i="1"/>
  <c r="AD324" i="1"/>
  <c r="AL324" i="1"/>
  <c r="AT324" i="1"/>
  <c r="AE316" i="1"/>
  <c r="AE320" i="1"/>
  <c r="AE324" i="1"/>
  <c r="AJ339" i="1"/>
  <c r="AQ339" i="1"/>
  <c r="AI339" i="1"/>
  <c r="AP339" i="1"/>
  <c r="AO339" i="1"/>
  <c r="AG339" i="1"/>
  <c r="AQ340" i="1"/>
  <c r="AR343" i="1"/>
  <c r="AQ343" i="1"/>
  <c r="AH343" i="1"/>
  <c r="AQ356" i="1"/>
  <c r="AI356" i="1"/>
  <c r="AP356" i="1"/>
  <c r="AH356" i="1"/>
  <c r="AS356" i="1"/>
  <c r="AG356" i="1"/>
  <c r="AR356" i="1"/>
  <c r="AF356" i="1"/>
  <c r="AO356" i="1"/>
  <c r="AE356" i="1"/>
  <c r="AN356" i="1"/>
  <c r="AD356" i="1"/>
  <c r="AO336" i="1"/>
  <c r="AN336" i="1"/>
  <c r="AF340" i="1"/>
  <c r="AQ344" i="1"/>
  <c r="AP436" i="1"/>
  <c r="AN443" i="1"/>
  <c r="AP447" i="1"/>
  <c r="AH447" i="1"/>
  <c r="AN447" i="1"/>
  <c r="AF447" i="1"/>
  <c r="AL447" i="1"/>
  <c r="AT447" i="1"/>
  <c r="AJ447" i="1"/>
  <c r="AR447" i="1"/>
  <c r="AG447" i="1"/>
  <c r="AM447" i="1"/>
  <c r="AK447" i="1"/>
  <c r="AI447" i="1"/>
  <c r="AE447" i="1"/>
  <c r="AD447" i="1"/>
  <c r="AQ352" i="1"/>
  <c r="AI352" i="1"/>
  <c r="AP352" i="1"/>
  <c r="AN435" i="1"/>
  <c r="AP435" i="1"/>
  <c r="AD435" i="1"/>
  <c r="AT435" i="1"/>
  <c r="AK435" i="1"/>
  <c r="AO435" i="1"/>
  <c r="AJ435" i="1"/>
  <c r="AI348" i="1"/>
  <c r="AP348" i="1"/>
  <c r="AH348" i="1"/>
  <c r="AM348" i="1"/>
  <c r="AD352" i="1"/>
  <c r="AN352" i="1"/>
  <c r="AE435" i="1"/>
  <c r="AI376" i="1"/>
  <c r="AO348" i="1"/>
  <c r="AQ372" i="1"/>
  <c r="AP446" i="1"/>
  <c r="AF448" i="1"/>
  <c r="AT448" i="1"/>
  <c r="AL448" i="1"/>
  <c r="AD448" i="1"/>
  <c r="AS448" i="1"/>
  <c r="AG448" i="1"/>
  <c r="AM459" i="1"/>
  <c r="AE459" i="1"/>
  <c r="AR459" i="1"/>
  <c r="AM471" i="1"/>
  <c r="AK471" i="1"/>
  <c r="AG471" i="1"/>
  <c r="AH471" i="1"/>
  <c r="AF500" i="1"/>
  <c r="AR500" i="1"/>
  <c r="AJ351" i="1"/>
  <c r="AR351" i="1"/>
  <c r="AJ371" i="1"/>
  <c r="AR371" i="1"/>
  <c r="AR375" i="1"/>
  <c r="AK380" i="1"/>
  <c r="AK384" i="1"/>
  <c r="AK388" i="1"/>
  <c r="AK412" i="1"/>
  <c r="AK416" i="1"/>
  <c r="AH448" i="1"/>
  <c r="AK351" i="1"/>
  <c r="AK371" i="1"/>
  <c r="AQ380" i="1"/>
  <c r="AI380" i="1"/>
  <c r="AL380" i="1"/>
  <c r="AQ384" i="1"/>
  <c r="AQ388" i="1"/>
  <c r="AI388" i="1"/>
  <c r="AL388" i="1"/>
  <c r="AI404" i="1"/>
  <c r="AQ412" i="1"/>
  <c r="AI412" i="1"/>
  <c r="AL412" i="1"/>
  <c r="AL414" i="1"/>
  <c r="AG424" i="1"/>
  <c r="AT444" i="1"/>
  <c r="AL444" i="1"/>
  <c r="AD444" i="1"/>
  <c r="AR444" i="1"/>
  <c r="AI444" i="1"/>
  <c r="AP444" i="1"/>
  <c r="AG444" i="1"/>
  <c r="AN444" i="1"/>
  <c r="AE444" i="1"/>
  <c r="AS444" i="1"/>
  <c r="AF471" i="1"/>
  <c r="AL438" i="1"/>
  <c r="AF439" i="1"/>
  <c r="AL439" i="1"/>
  <c r="AM475" i="1"/>
  <c r="AM467" i="1"/>
  <c r="AE467" i="1"/>
  <c r="AT467" i="1"/>
  <c r="AJ467" i="1"/>
  <c r="AP467" i="1"/>
  <c r="AD467" i="1"/>
  <c r="AN467" i="1"/>
  <c r="AR467" i="1"/>
  <c r="AQ478" i="1"/>
  <c r="AK383" i="1"/>
  <c r="AK395" i="1"/>
  <c r="AK403" i="1"/>
  <c r="AK407" i="1"/>
  <c r="AK415" i="1"/>
  <c r="AQ438" i="1"/>
  <c r="AQ439" i="1"/>
  <c r="AG470" i="1"/>
  <c r="AD470" i="1"/>
  <c r="AR470" i="1"/>
  <c r="AH480" i="1"/>
  <c r="AQ480" i="1"/>
  <c r="AG480" i="1"/>
  <c r="AR480" i="1"/>
  <c r="AF480" i="1"/>
  <c r="AT480" i="1"/>
  <c r="AJ483" i="1"/>
  <c r="AH483" i="1"/>
  <c r="AN503" i="1"/>
  <c r="AF503" i="1"/>
  <c r="AH503" i="1"/>
  <c r="AP503" i="1"/>
  <c r="AG503" i="1"/>
  <c r="AJ503" i="1"/>
  <c r="AL503" i="1"/>
  <c r="AI503" i="1"/>
  <c r="AT503" i="1"/>
  <c r="AE503" i="1"/>
  <c r="AS503" i="1"/>
  <c r="AD503" i="1"/>
  <c r="AR503" i="1"/>
  <c r="AP484" i="1"/>
  <c r="AH484" i="1"/>
  <c r="AR484" i="1"/>
  <c r="AI484" i="1"/>
  <c r="AM484" i="1"/>
  <c r="AD507" i="1"/>
  <c r="AT516" i="1"/>
  <c r="AL516" i="1"/>
  <c r="AD516" i="1"/>
  <c r="AQ516" i="1"/>
  <c r="AI516" i="1"/>
  <c r="AS516" i="1"/>
  <c r="AH516" i="1"/>
  <c r="AR516" i="1"/>
  <c r="AF516" i="1"/>
  <c r="AP516" i="1"/>
  <c r="AE516" i="1"/>
  <c r="AK516" i="1"/>
  <c r="AO516" i="1"/>
  <c r="AT508" i="1"/>
  <c r="AL508" i="1"/>
  <c r="AM508" i="1"/>
  <c r="AD508" i="1"/>
  <c r="AS508" i="1"/>
  <c r="AI508" i="1"/>
  <c r="AR508" i="1"/>
  <c r="AH508" i="1"/>
  <c r="AQ508" i="1"/>
  <c r="AE508" i="1"/>
  <c r="AG516" i="1"/>
  <c r="AR479" i="1"/>
  <c r="AJ479" i="1"/>
  <c r="AP479" i="1"/>
  <c r="AG479" i="1"/>
  <c r="AM479" i="1"/>
  <c r="AF484" i="1"/>
  <c r="AQ484" i="1"/>
  <c r="AN499" i="1"/>
  <c r="AF499" i="1"/>
  <c r="AP499" i="1"/>
  <c r="AG499" i="1"/>
  <c r="AO499" i="1"/>
  <c r="AE499" i="1"/>
  <c r="AR499" i="1"/>
  <c r="AF508" i="1"/>
  <c r="AJ516" i="1"/>
  <c r="AD479" i="1"/>
  <c r="AN479" i="1"/>
  <c r="AG484" i="1"/>
  <c r="AS484" i="1"/>
  <c r="AE496" i="1"/>
  <c r="AM496" i="1"/>
  <c r="AD499" i="1"/>
  <c r="AS499" i="1"/>
  <c r="AG508" i="1"/>
  <c r="AM516" i="1"/>
  <c r="AF536" i="1"/>
  <c r="AK468" i="1"/>
  <c r="AK476" i="1"/>
  <c r="AG502" i="1"/>
  <c r="AF502" i="1"/>
  <c r="AG504" i="1"/>
  <c r="AT512" i="1"/>
  <c r="AL512" i="1"/>
  <c r="AD512" i="1"/>
  <c r="AG512" i="1"/>
  <c r="AK512" i="1"/>
  <c r="AJ512" i="1"/>
  <c r="AS512" i="1"/>
  <c r="AI520" i="1"/>
  <c r="AP534" i="1"/>
  <c r="AM534" i="1"/>
  <c r="AG534" i="1"/>
  <c r="AF534" i="1"/>
  <c r="AM544" i="1"/>
  <c r="AE544" i="1"/>
  <c r="AQ544" i="1"/>
  <c r="AI544" i="1"/>
  <c r="AP544" i="1"/>
  <c r="AT540" i="1"/>
  <c r="AL540" i="1"/>
  <c r="AD540" i="1"/>
  <c r="AQ540" i="1"/>
  <c r="AI540" i="1"/>
  <c r="AN540" i="1"/>
  <c r="AF544" i="1"/>
  <c r="AR544" i="1"/>
  <c r="AF540" i="1"/>
  <c r="AP540" i="1"/>
  <c r="AM542" i="1"/>
  <c r="AJ544" i="1"/>
  <c r="AD542" i="1"/>
  <c r="AK544" i="1"/>
  <c r="AK511" i="1"/>
  <c r="AS511" i="1"/>
  <c r="AK531" i="1"/>
  <c r="AS531" i="1"/>
  <c r="AK535" i="1"/>
  <c r="AS535" i="1"/>
  <c r="AK543" i="1"/>
  <c r="AS543" i="1"/>
  <c r="AG545" i="1"/>
  <c r="AO545" i="1"/>
  <c r="AF511" i="1"/>
  <c r="AF531" i="1"/>
  <c r="AF535" i="1"/>
  <c r="AF543" i="1"/>
  <c r="AJ545" i="1"/>
  <c r="AR545" i="1"/>
  <c r="AK545" i="1"/>
  <c r="B53" i="12" l="1"/>
  <c r="A53" i="12"/>
  <c r="B40" i="12"/>
  <c r="A40" i="12"/>
  <c r="A26" i="12"/>
  <c r="AL455" i="1"/>
  <c r="AL368" i="1"/>
  <c r="AO6" i="1"/>
  <c r="AI41" i="1"/>
  <c r="AJ55" i="1"/>
  <c r="AQ41" i="1"/>
  <c r="AJ51" i="1"/>
  <c r="AP528" i="1"/>
  <c r="AL336" i="1"/>
  <c r="AN55" i="1"/>
  <c r="AM41" i="1"/>
  <c r="AK28" i="1"/>
  <c r="AS204" i="1"/>
  <c r="AR528" i="1"/>
  <c r="AQ432" i="1"/>
  <c r="AD368" i="1"/>
  <c r="AJ304" i="1"/>
  <c r="AD55" i="1"/>
  <c r="AD41" i="1"/>
  <c r="AP204" i="1"/>
  <c r="AR304" i="1"/>
  <c r="AN51" i="1"/>
  <c r="AL55" i="1"/>
  <c r="AJ41" i="1"/>
  <c r="AD51" i="1"/>
  <c r="AE55" i="1"/>
  <c r="AH28" i="1"/>
  <c r="AI432" i="1"/>
  <c r="AL400" i="1"/>
  <c r="AO455" i="1"/>
  <c r="AK368" i="1"/>
  <c r="AM55" i="1"/>
  <c r="AP28" i="1"/>
  <c r="AL6" i="1"/>
  <c r="AH204" i="1"/>
  <c r="AD5" i="1"/>
  <c r="AR14" i="1"/>
  <c r="AK17" i="1"/>
  <c r="AR46" i="1"/>
  <c r="AL522" i="1"/>
  <c r="AP482" i="1"/>
  <c r="AS450" i="1"/>
  <c r="AQ482" i="1"/>
  <c r="AP505" i="1"/>
  <c r="AD482" i="1"/>
  <c r="AF450" i="1"/>
  <c r="AE514" i="1"/>
  <c r="AL450" i="1"/>
  <c r="AM514" i="1"/>
  <c r="AN514" i="1"/>
  <c r="AK505" i="1"/>
  <c r="AK482" i="1"/>
  <c r="AM102" i="1"/>
  <c r="AN522" i="1"/>
  <c r="AK108" i="1"/>
  <c r="AL51" i="1"/>
  <c r="AT38" i="1"/>
  <c r="AF204" i="1"/>
  <c r="AE68" i="1"/>
  <c r="AH23" i="1"/>
  <c r="AT13" i="1"/>
  <c r="AL9" i="1"/>
  <c r="AD9" i="1"/>
  <c r="AM541" i="1"/>
  <c r="AQ404" i="1"/>
  <c r="AD436" i="1"/>
  <c r="AE6" i="1"/>
  <c r="AL38" i="1"/>
  <c r="AG244" i="1"/>
  <c r="AE23" i="1"/>
  <c r="AM38" i="1"/>
  <c r="AH12" i="1"/>
  <c r="AJ436" i="1"/>
  <c r="AO340" i="1"/>
  <c r="AL340" i="1"/>
  <c r="AJ244" i="1"/>
  <c r="AP244" i="1"/>
  <c r="AR208" i="1"/>
  <c r="AH38" i="1"/>
  <c r="AK23" i="1"/>
  <c r="AO500" i="1"/>
  <c r="AJ308" i="1"/>
  <c r="AQ276" i="1"/>
  <c r="AO244" i="1"/>
  <c r="AP208" i="1"/>
  <c r="AD59" i="1"/>
  <c r="AD6" i="1"/>
  <c r="AN532" i="1"/>
  <c r="AH500" i="1"/>
  <c r="AT436" i="1"/>
  <c r="AI276" i="1"/>
  <c r="AJ208" i="1"/>
  <c r="AL61" i="1"/>
  <c r="AI532" i="1"/>
  <c r="AD500" i="1"/>
  <c r="AM23" i="1"/>
  <c r="AG6" i="1"/>
  <c r="AJ59" i="1"/>
  <c r="AG500" i="1"/>
  <c r="AO436" i="1"/>
  <c r="AH436" i="1"/>
  <c r="AG340" i="1"/>
  <c r="AE308" i="1"/>
  <c r="AN38" i="1"/>
  <c r="AS23" i="1"/>
  <c r="AD38" i="1"/>
  <c r="AI500" i="1"/>
  <c r="AK276" i="1"/>
  <c r="AK20" i="1"/>
  <c r="AI61" i="1"/>
  <c r="AF38" i="1"/>
  <c r="AQ532" i="1"/>
  <c r="AK500" i="1"/>
  <c r="AL500" i="1"/>
  <c r="AM436" i="1"/>
  <c r="AK436" i="1"/>
  <c r="AP340" i="1"/>
  <c r="AT308" i="1"/>
  <c r="AD276" i="1"/>
  <c r="AJ276" i="1"/>
  <c r="AS244" i="1"/>
  <c r="AF244" i="1"/>
  <c r="AQ244" i="1"/>
  <c r="AQ61" i="1"/>
  <c r="AT23" i="1"/>
  <c r="AN6" i="1"/>
  <c r="AD532" i="1"/>
  <c r="AM500" i="1"/>
  <c r="AT500" i="1"/>
  <c r="AH372" i="1"/>
  <c r="AE436" i="1"/>
  <c r="AS340" i="1"/>
  <c r="AL308" i="1"/>
  <c r="AS308" i="1"/>
  <c r="AO276" i="1"/>
  <c r="AR276" i="1"/>
  <c r="AK244" i="1"/>
  <c r="AN244" i="1"/>
  <c r="AK68" i="1"/>
  <c r="AI244" i="1"/>
  <c r="AE59" i="1"/>
  <c r="AD23" i="1"/>
  <c r="AF6" i="1"/>
  <c r="AR23" i="1"/>
  <c r="AS6" i="1"/>
  <c r="AS500" i="1"/>
  <c r="AJ340" i="1"/>
  <c r="AT372" i="1"/>
  <c r="AE340" i="1"/>
  <c r="AK308" i="1"/>
  <c r="AE276" i="1"/>
  <c r="AH6" i="1"/>
  <c r="AM61" i="1"/>
  <c r="AO38" i="1"/>
  <c r="AM59" i="1"/>
  <c r="AJ23" i="1"/>
  <c r="AK6" i="1"/>
  <c r="AN340" i="1"/>
  <c r="AL532" i="1"/>
  <c r="AQ500" i="1"/>
  <c r="AP372" i="1"/>
  <c r="AF436" i="1"/>
  <c r="AN436" i="1"/>
  <c r="AF276" i="1"/>
  <c r="AT244" i="1"/>
  <c r="AO208" i="1"/>
  <c r="AL404" i="1"/>
  <c r="AE500" i="1"/>
  <c r="AI372" i="1"/>
  <c r="AJ372" i="1"/>
  <c r="AM340" i="1"/>
  <c r="AK340" i="1"/>
  <c r="AP276" i="1"/>
  <c r="AM276" i="1"/>
  <c r="AD244" i="1"/>
  <c r="AE208" i="1"/>
  <c r="AK112" i="1"/>
  <c r="AF23" i="1"/>
  <c r="AD61" i="1"/>
  <c r="AG38" i="1"/>
  <c r="AP20" i="1"/>
  <c r="AT6" i="1"/>
  <c r="AS38" i="1"/>
  <c r="AR38" i="1"/>
  <c r="AG20" i="1"/>
  <c r="AR6" i="1"/>
  <c r="AJ6" i="1"/>
  <c r="AT61" i="1"/>
  <c r="AQ513" i="1"/>
  <c r="AL13" i="1"/>
  <c r="AK393" i="1"/>
  <c r="AD13" i="1"/>
  <c r="AQ50" i="1"/>
  <c r="AE50" i="1"/>
  <c r="AE394" i="1"/>
  <c r="AT50" i="1"/>
  <c r="AK57" i="1"/>
  <c r="AK46" i="1"/>
  <c r="AP19" i="1"/>
  <c r="AL487" i="1"/>
  <c r="AR364" i="1"/>
  <c r="AE487" i="1"/>
  <c r="AR455" i="1"/>
  <c r="AQ295" i="1"/>
  <c r="AO487" i="1"/>
  <c r="AD295" i="1"/>
  <c r="AD455" i="1"/>
  <c r="AI327" i="1"/>
  <c r="AL295" i="1"/>
  <c r="AN57" i="1"/>
  <c r="AI59" i="1"/>
  <c r="AF487" i="1"/>
  <c r="AT455" i="1"/>
  <c r="AH455" i="1"/>
  <c r="AF428" i="1"/>
  <c r="AM327" i="1"/>
  <c r="AT295" i="1"/>
  <c r="AG487" i="1"/>
  <c r="AR487" i="1"/>
  <c r="AR359" i="1"/>
  <c r="AQ455" i="1"/>
  <c r="AD364" i="1"/>
  <c r="AI428" i="1"/>
  <c r="AH327" i="1"/>
  <c r="AJ359" i="1"/>
  <c r="AN455" i="1"/>
  <c r="AP327" i="1"/>
  <c r="AH524" i="1"/>
  <c r="AM455" i="1"/>
  <c r="AQ200" i="1"/>
  <c r="AI32" i="1"/>
  <c r="AE455" i="1"/>
  <c r="AP455" i="1"/>
  <c r="AJ327" i="1"/>
  <c r="AG295" i="1"/>
  <c r="AQ487" i="1"/>
  <c r="AI487" i="1"/>
  <c r="AI455" i="1"/>
  <c r="AG455" i="1"/>
  <c r="AO295" i="1"/>
  <c r="AK263" i="1"/>
  <c r="AG51" i="1"/>
  <c r="AH50" i="1"/>
  <c r="AF519" i="1"/>
  <c r="AL492" i="1"/>
  <c r="AP487" i="1"/>
  <c r="AS519" i="1"/>
  <c r="AD487" i="1"/>
  <c r="AS487" i="1"/>
  <c r="AJ455" i="1"/>
  <c r="AS455" i="1"/>
  <c r="AQ263" i="1"/>
  <c r="AG263" i="1"/>
  <c r="AL263" i="1"/>
  <c r="AG199" i="1"/>
  <c r="AL10" i="1"/>
  <c r="AK487" i="1"/>
  <c r="AK455" i="1"/>
  <c r="AH263" i="1"/>
  <c r="AO199" i="1"/>
  <c r="AK50" i="1"/>
  <c r="AS50" i="1"/>
  <c r="AR20" i="1"/>
  <c r="AH59" i="1"/>
  <c r="AN32" i="1"/>
  <c r="AG61" i="1"/>
  <c r="AG393" i="1"/>
  <c r="AH61" i="1"/>
  <c r="AQ38" i="1"/>
  <c r="AP38" i="1"/>
  <c r="AT378" i="1"/>
  <c r="AK41" i="1"/>
  <c r="AP41" i="1"/>
  <c r="AR41" i="1"/>
  <c r="AG57" i="1"/>
  <c r="AJ268" i="1"/>
  <c r="AS268" i="1"/>
  <c r="AK268" i="1"/>
  <c r="AH268" i="1"/>
  <c r="AQ106" i="1"/>
  <c r="AG106" i="1"/>
  <c r="AR106" i="1"/>
  <c r="AN106" i="1"/>
  <c r="AJ106" i="1"/>
  <c r="AF106" i="1"/>
  <c r="AM106" i="1"/>
  <c r="AH106" i="1"/>
  <c r="AK49" i="1"/>
  <c r="AG49" i="1"/>
  <c r="AI49" i="1"/>
  <c r="AD49" i="1"/>
  <c r="AL49" i="1"/>
  <c r="AM49" i="1"/>
  <c r="AS49" i="1"/>
  <c r="AT49" i="1"/>
  <c r="AR49" i="1"/>
  <c r="AP49" i="1"/>
  <c r="AG364" i="1"/>
  <c r="AE268" i="1"/>
  <c r="AL30" i="1"/>
  <c r="AL460" i="1"/>
  <c r="AJ428" i="1"/>
  <c r="AQ332" i="1"/>
  <c r="AM268" i="1"/>
  <c r="AS200" i="1"/>
  <c r="AK83" i="1"/>
  <c r="AP200" i="1"/>
  <c r="AD47" i="1"/>
  <c r="AQ25" i="1"/>
  <c r="AD106" i="1"/>
  <c r="AF10" i="1"/>
  <c r="AM30" i="1"/>
  <c r="AJ49" i="1"/>
  <c r="AD30" i="1"/>
  <c r="AJ83" i="1"/>
  <c r="AL179" i="1"/>
  <c r="AD179" i="1"/>
  <c r="AO179" i="1"/>
  <c r="AS211" i="1"/>
  <c r="AK211" i="1"/>
  <c r="AL211" i="1"/>
  <c r="AT243" i="1"/>
  <c r="AO243" i="1"/>
  <c r="AF243" i="1"/>
  <c r="AN243" i="1"/>
  <c r="AQ275" i="1"/>
  <c r="AN275" i="1"/>
  <c r="AH275" i="1"/>
  <c r="AR275" i="1"/>
  <c r="AQ307" i="1"/>
  <c r="AL307" i="1"/>
  <c r="AD307" i="1"/>
  <c r="AH307" i="1"/>
  <c r="AO307" i="1"/>
  <c r="AS307" i="1"/>
  <c r="AH339" i="1"/>
  <c r="AS339" i="1"/>
  <c r="AR339" i="1"/>
  <c r="AG435" i="1"/>
  <c r="AH435" i="1"/>
  <c r="AM435" i="1"/>
  <c r="AI435" i="1"/>
  <c r="AK467" i="1"/>
  <c r="AG467" i="1"/>
  <c r="AS467" i="1"/>
  <c r="AT499" i="1"/>
  <c r="AI499" i="1"/>
  <c r="AM236" i="1"/>
  <c r="AN236" i="1"/>
  <c r="AF236" i="1"/>
  <c r="AH236" i="1"/>
  <c r="AH364" i="1"/>
  <c r="AK364" i="1"/>
  <c r="AK524" i="1"/>
  <c r="AJ524" i="1"/>
  <c r="AM524" i="1"/>
  <c r="AG19" i="1"/>
  <c r="AD19" i="1"/>
  <c r="AH19" i="1"/>
  <c r="AL19" i="1"/>
  <c r="AI524" i="1"/>
  <c r="AH25" i="1"/>
  <c r="AD10" i="1"/>
  <c r="AD524" i="1"/>
  <c r="AD460" i="1"/>
  <c r="AJ364" i="1"/>
  <c r="AL428" i="1"/>
  <c r="AF268" i="1"/>
  <c r="AI236" i="1"/>
  <c r="AF200" i="1"/>
  <c r="AJ200" i="1"/>
  <c r="AL106" i="1"/>
  <c r="AJ47" i="1"/>
  <c r="AN332" i="1"/>
  <c r="AT332" i="1"/>
  <c r="AF332" i="1"/>
  <c r="AR100" i="1"/>
  <c r="AK100" i="1"/>
  <c r="AQ30" i="1"/>
  <c r="AT30" i="1"/>
  <c r="AG30" i="1"/>
  <c r="AO30" i="1"/>
  <c r="AJ30" i="1"/>
  <c r="AF30" i="1"/>
  <c r="AK30" i="1"/>
  <c r="AE30" i="1"/>
  <c r="AN30" i="1"/>
  <c r="AP30" i="1"/>
  <c r="AH30" i="1"/>
  <c r="AR30" i="1"/>
  <c r="AI30" i="1"/>
  <c r="AL524" i="1"/>
  <c r="AS460" i="1"/>
  <c r="AL396" i="1"/>
  <c r="AD428" i="1"/>
  <c r="AT364" i="1"/>
  <c r="AN364" i="1"/>
  <c r="AM332" i="1"/>
  <c r="AT268" i="1"/>
  <c r="AQ236" i="1"/>
  <c r="AT200" i="1"/>
  <c r="AR200" i="1"/>
  <c r="AT106" i="1"/>
  <c r="AQ49" i="1"/>
  <c r="AT19" i="1"/>
  <c r="AR10" i="1"/>
  <c r="AH49" i="1"/>
  <c r="AL300" i="1"/>
  <c r="AI300" i="1"/>
  <c r="AD300" i="1"/>
  <c r="AK300" i="1"/>
  <c r="AR300" i="1"/>
  <c r="AK428" i="1"/>
  <c r="AQ428" i="1"/>
  <c r="AN428" i="1"/>
  <c r="AQ60" i="1"/>
  <c r="AK60" i="1"/>
  <c r="AM300" i="1"/>
  <c r="AT524" i="1"/>
  <c r="AI396" i="1"/>
  <c r="AP364" i="1"/>
  <c r="AM428" i="1"/>
  <c r="AH332" i="1"/>
  <c r="AP300" i="1"/>
  <c r="AD236" i="1"/>
  <c r="AL268" i="1"/>
  <c r="AF19" i="1"/>
  <c r="AE106" i="1"/>
  <c r="AL47" i="1"/>
  <c r="AD25" i="1"/>
  <c r="AN49" i="1"/>
  <c r="AD83" i="1"/>
  <c r="AT83" i="1"/>
  <c r="AH428" i="1"/>
  <c r="AM492" i="1"/>
  <c r="AL489" i="1"/>
  <c r="AQ396" i="1"/>
  <c r="AI364" i="1"/>
  <c r="AG428" i="1"/>
  <c r="AP332" i="1"/>
  <c r="AJ300" i="1"/>
  <c r="AG268" i="1"/>
  <c r="AM19" i="1"/>
  <c r="AO106" i="1"/>
  <c r="AE47" i="1"/>
  <c r="AS19" i="1"/>
  <c r="AH200" i="1"/>
  <c r="AM200" i="1"/>
  <c r="AE200" i="1"/>
  <c r="AK200" i="1"/>
  <c r="AI200" i="1"/>
  <c r="AR25" i="1"/>
  <c r="AL25" i="1"/>
  <c r="AG25" i="1"/>
  <c r="AP25" i="1"/>
  <c r="AT25" i="1"/>
  <c r="AE25" i="1"/>
  <c r="AO25" i="1"/>
  <c r="AJ25" i="1"/>
  <c r="AK25" i="1"/>
  <c r="AM25" i="1"/>
  <c r="AF25" i="1"/>
  <c r="AN25" i="1"/>
  <c r="AI25" i="1"/>
  <c r="AQ10" i="1"/>
  <c r="AE10" i="1"/>
  <c r="AK10" i="1"/>
  <c r="AM10" i="1"/>
  <c r="AH10" i="1"/>
  <c r="AS10" i="1"/>
  <c r="AG10" i="1"/>
  <c r="AO10" i="1"/>
  <c r="AI10" i="1"/>
  <c r="AT492" i="1"/>
  <c r="AL236" i="1"/>
  <c r="AS83" i="1"/>
  <c r="AD200" i="1"/>
  <c r="AO200" i="1"/>
  <c r="AN47" i="1"/>
  <c r="AN10" i="1"/>
  <c r="AR19" i="1"/>
  <c r="AR524" i="1"/>
  <c r="AS489" i="1"/>
  <c r="AF364" i="1"/>
  <c r="AQ364" i="1"/>
  <c r="AO428" i="1"/>
  <c r="AM364" i="1"/>
  <c r="AT300" i="1"/>
  <c r="AK236" i="1"/>
  <c r="AQ268" i="1"/>
  <c r="AE19" i="1"/>
  <c r="AM47" i="1"/>
  <c r="AK19" i="1"/>
  <c r="AT10" i="1"/>
  <c r="AF41" i="1"/>
  <c r="AO57" i="1"/>
  <c r="AN61" i="1"/>
  <c r="AT59" i="1"/>
  <c r="AT41" i="1"/>
  <c r="AE61" i="1"/>
  <c r="AS61" i="1"/>
  <c r="AG28" i="1"/>
  <c r="AO59" i="1"/>
  <c r="AH41" i="1"/>
  <c r="AO61" i="1"/>
  <c r="AP59" i="1"/>
  <c r="AK55" i="1"/>
  <c r="AF57" i="1"/>
  <c r="AP61" i="1"/>
  <c r="AQ34" i="1"/>
  <c r="AF51" i="1"/>
  <c r="AF59" i="1"/>
  <c r="AM20" i="1"/>
  <c r="AQ6" i="1"/>
  <c r="AT32" i="1"/>
  <c r="AR57" i="1"/>
  <c r="AR51" i="1"/>
  <c r="AS59" i="1"/>
  <c r="AO28" i="1"/>
  <c r="AP10" i="1"/>
  <c r="AI19" i="1"/>
  <c r="AO19" i="1"/>
  <c r="AQ19" i="1"/>
  <c r="AF481" i="1"/>
  <c r="AN19" i="1"/>
  <c r="AN513" i="1"/>
  <c r="AL493" i="1"/>
  <c r="AD20" i="1"/>
  <c r="AQ112" i="1"/>
  <c r="AF162" i="1"/>
  <c r="AP462" i="1"/>
  <c r="AR461" i="1"/>
  <c r="AN525" i="1"/>
  <c r="AM32" i="1"/>
  <c r="AJ112" i="1"/>
  <c r="AS337" i="1"/>
  <c r="AQ473" i="1"/>
  <c r="AI112" i="1"/>
  <c r="AR465" i="1"/>
  <c r="AD453" i="1"/>
  <c r="AK501" i="1"/>
  <c r="AS497" i="1"/>
  <c r="AS46" i="1"/>
  <c r="AR44" i="1"/>
  <c r="AI47" i="1"/>
  <c r="AD237" i="1"/>
  <c r="AF46" i="1"/>
  <c r="AF83" i="1"/>
  <c r="AT46" i="1"/>
  <c r="AP83" i="1"/>
  <c r="AL338" i="1"/>
  <c r="AE20" i="1"/>
  <c r="AR32" i="1"/>
  <c r="AE112" i="1"/>
  <c r="AP6" i="1"/>
  <c r="AE473" i="1"/>
  <c r="AS537" i="1"/>
  <c r="AE505" i="1"/>
  <c r="AR457" i="1"/>
  <c r="AN473" i="1"/>
  <c r="AF210" i="1"/>
  <c r="AO20" i="1"/>
  <c r="AN112" i="1"/>
  <c r="AP537" i="1"/>
  <c r="AJ537" i="1"/>
  <c r="AT365" i="1"/>
  <c r="AH346" i="1"/>
  <c r="AK305" i="1"/>
  <c r="AD473" i="1"/>
  <c r="AN274" i="1"/>
  <c r="AK59" i="1"/>
  <c r="AT20" i="1"/>
  <c r="AD32" i="1"/>
  <c r="AH112" i="1"/>
  <c r="AT55" i="1"/>
  <c r="AJ28" i="1"/>
  <c r="AT112" i="1"/>
  <c r="AF341" i="1"/>
  <c r="AO424" i="1"/>
  <c r="AR495" i="1"/>
  <c r="AN488" i="1"/>
  <c r="AI228" i="1"/>
  <c r="AH174" i="1"/>
  <c r="AJ39" i="1"/>
  <c r="AS456" i="1"/>
  <c r="AT360" i="1"/>
  <c r="AQ22" i="1"/>
  <c r="AN495" i="1"/>
  <c r="AQ501" i="1"/>
  <c r="AR338" i="1"/>
  <c r="AJ218" i="1"/>
  <c r="AR242" i="1"/>
  <c r="AI134" i="1"/>
  <c r="AF55" i="1"/>
  <c r="AD488" i="1"/>
  <c r="AF229" i="1"/>
  <c r="AT196" i="1"/>
  <c r="AP271" i="1"/>
  <c r="AD242" i="1"/>
  <c r="AH495" i="1"/>
  <c r="AP370" i="1"/>
  <c r="AT341" i="1"/>
  <c r="AM242" i="1"/>
  <c r="AD39" i="1"/>
  <c r="AT134" i="1"/>
  <c r="AK530" i="1"/>
  <c r="AP264" i="1"/>
  <c r="AG306" i="1"/>
  <c r="AS242" i="1"/>
  <c r="AJ264" i="1"/>
  <c r="AH33" i="1"/>
  <c r="AD125" i="1"/>
  <c r="AP463" i="1"/>
  <c r="AO328" i="1"/>
  <c r="AK456" i="1"/>
  <c r="AE207" i="1"/>
  <c r="AG130" i="1"/>
  <c r="AG193" i="1"/>
  <c r="AP542" i="1"/>
  <c r="AI501" i="1"/>
  <c r="AK414" i="1"/>
  <c r="AS329" i="1"/>
  <c r="AL296" i="1"/>
  <c r="AM22" i="1"/>
  <c r="AO520" i="1"/>
  <c r="AR501" i="1"/>
  <c r="AL405" i="1"/>
  <c r="AQ335" i="1"/>
  <c r="AL306" i="1"/>
  <c r="AR22" i="1"/>
  <c r="AL112" i="1"/>
  <c r="AF527" i="1"/>
  <c r="AJ520" i="1"/>
  <c r="AI466" i="1"/>
  <c r="AD210" i="1"/>
  <c r="AE430" i="1"/>
  <c r="AI424" i="1"/>
  <c r="AL392" i="1"/>
  <c r="AD463" i="1"/>
  <c r="AR335" i="1"/>
  <c r="AM328" i="1"/>
  <c r="AH360" i="1"/>
  <c r="AE296" i="1"/>
  <c r="AD271" i="1"/>
  <c r="AJ232" i="1"/>
  <c r="AG207" i="1"/>
  <c r="AR228" i="1"/>
  <c r="AQ33" i="1"/>
  <c r="AE22" i="1"/>
  <c r="AN33" i="1"/>
  <c r="AK196" i="1"/>
  <c r="AM33" i="1"/>
  <c r="AJ22" i="1"/>
  <c r="AS33" i="1"/>
  <c r="AS22" i="1"/>
  <c r="AS527" i="1"/>
  <c r="AI488" i="1"/>
  <c r="AI392" i="1"/>
  <c r="AT463" i="1"/>
  <c r="AO207" i="1"/>
  <c r="AK228" i="1"/>
  <c r="AO39" i="1"/>
  <c r="AN39" i="1"/>
  <c r="AI33" i="1"/>
  <c r="AD196" i="1"/>
  <c r="AL196" i="1"/>
  <c r="AE33" i="1"/>
  <c r="AI22" i="1"/>
  <c r="AS495" i="1"/>
  <c r="AR488" i="1"/>
  <c r="AD520" i="1"/>
  <c r="AQ328" i="1"/>
  <c r="AN22" i="1"/>
  <c r="AQ520" i="1"/>
  <c r="AT495" i="1"/>
  <c r="AN328" i="1"/>
  <c r="AI360" i="1"/>
  <c r="AM296" i="1"/>
  <c r="AG495" i="1"/>
  <c r="AM495" i="1"/>
  <c r="AR494" i="1"/>
  <c r="AK360" i="1"/>
  <c r="AD328" i="1"/>
  <c r="AH328" i="1"/>
  <c r="AE360" i="1"/>
  <c r="AQ264" i="1"/>
  <c r="AM228" i="1"/>
  <c r="AJ228" i="1"/>
  <c r="AL207" i="1"/>
  <c r="AN196" i="1"/>
  <c r="AP22" i="1"/>
  <c r="AG39" i="1"/>
  <c r="AG75" i="1"/>
  <c r="AD495" i="1"/>
  <c r="AQ424" i="1"/>
  <c r="AG271" i="1"/>
  <c r="AL520" i="1"/>
  <c r="AT488" i="1"/>
  <c r="AQ392" i="1"/>
  <c r="AG463" i="1"/>
  <c r="AL360" i="1"/>
  <c r="AQ360" i="1"/>
  <c r="AI296" i="1"/>
  <c r="AK52" i="1"/>
  <c r="AT228" i="1"/>
  <c r="AF39" i="1"/>
  <c r="AP196" i="1"/>
  <c r="AE52" i="1"/>
  <c r="AK22" i="1"/>
  <c r="AF522" i="1"/>
  <c r="AL456" i="1"/>
  <c r="AL490" i="1"/>
  <c r="AE495" i="1"/>
  <c r="AJ488" i="1"/>
  <c r="AK367" i="1"/>
  <c r="AI346" i="1"/>
  <c r="AQ463" i="1"/>
  <c r="AS335" i="1"/>
  <c r="AF360" i="1"/>
  <c r="AN346" i="1"/>
  <c r="AQ303" i="1"/>
  <c r="AL237" i="1"/>
  <c r="AS75" i="1"/>
  <c r="AH228" i="1"/>
  <c r="AN228" i="1"/>
  <c r="AE196" i="1"/>
  <c r="AR196" i="1"/>
  <c r="AT33" i="1"/>
  <c r="AI495" i="1"/>
  <c r="AO495" i="1"/>
  <c r="AP513" i="1"/>
  <c r="AH488" i="1"/>
  <c r="AJ367" i="1"/>
  <c r="AD329" i="1"/>
  <c r="AS341" i="1"/>
  <c r="AM346" i="1"/>
  <c r="AE463" i="1"/>
  <c r="AD335" i="1"/>
  <c r="AR360" i="1"/>
  <c r="AL303" i="1"/>
  <c r="AR334" i="1"/>
  <c r="AP296" i="1"/>
  <c r="AK75" i="1"/>
  <c r="AO228" i="1"/>
  <c r="AO33" i="1"/>
  <c r="AF196" i="1"/>
  <c r="AO165" i="1"/>
  <c r="AH39" i="1"/>
  <c r="AL33" i="1"/>
  <c r="AM39" i="1"/>
  <c r="AQ75" i="1"/>
  <c r="AM60" i="1"/>
  <c r="AS20" i="1"/>
  <c r="AP112" i="1"/>
  <c r="AM112" i="1"/>
  <c r="AF463" i="1"/>
  <c r="AG335" i="1"/>
  <c r="AS360" i="1"/>
  <c r="AT303" i="1"/>
  <c r="AJ296" i="1"/>
  <c r="AL232" i="1"/>
  <c r="AL239" i="1"/>
  <c r="AG228" i="1"/>
  <c r="AO22" i="1"/>
  <c r="AK33" i="1"/>
  <c r="AT39" i="1"/>
  <c r="AG33" i="1"/>
  <c r="AT22" i="1"/>
  <c r="AQ196" i="1"/>
  <c r="AD33" i="1"/>
  <c r="AO11" i="1"/>
  <c r="AF112" i="1"/>
  <c r="AS112" i="1"/>
  <c r="AN232" i="1"/>
  <c r="AH239" i="1"/>
  <c r="AK76" i="1"/>
  <c r="AO142" i="1"/>
  <c r="AG22" i="1"/>
  <c r="AL39" i="1"/>
  <c r="AK39" i="1"/>
  <c r="AS39" i="1"/>
  <c r="AQ11" i="1"/>
  <c r="AN149" i="1"/>
  <c r="AS149" i="1"/>
  <c r="AD194" i="1"/>
  <c r="AL194" i="1"/>
  <c r="AR421" i="1"/>
  <c r="AH421" i="1"/>
  <c r="AD485" i="1"/>
  <c r="AF485" i="1"/>
  <c r="AH21" i="1"/>
  <c r="AM21" i="1"/>
  <c r="AQ21" i="1"/>
  <c r="AD21" i="1"/>
  <c r="AP21" i="1"/>
  <c r="AT21" i="1"/>
  <c r="AE21" i="1"/>
  <c r="AF21" i="1"/>
  <c r="AG21" i="1"/>
  <c r="AN21" i="1"/>
  <c r="AK21" i="1"/>
  <c r="AO21" i="1"/>
  <c r="AJ21" i="1"/>
  <c r="AR43" i="1"/>
  <c r="AS43" i="1"/>
  <c r="AJ43" i="1"/>
  <c r="AD43" i="1"/>
  <c r="AO43" i="1"/>
  <c r="AM43" i="1"/>
  <c r="AN43" i="1"/>
  <c r="AH43" i="1"/>
  <c r="AE43" i="1"/>
  <c r="AL43" i="1"/>
  <c r="AQ43" i="1"/>
  <c r="AP43" i="1"/>
  <c r="AT79" i="1"/>
  <c r="AQ79" i="1"/>
  <c r="AK79" i="1"/>
  <c r="AG79" i="1"/>
  <c r="AS79" i="1"/>
  <c r="AJ79" i="1"/>
  <c r="AE79" i="1"/>
  <c r="AT56" i="1"/>
  <c r="AK56" i="1"/>
  <c r="AN45" i="1"/>
  <c r="AS45" i="1"/>
  <c r="AK45" i="1"/>
  <c r="AL45" i="1"/>
  <c r="AG45" i="1"/>
  <c r="AH45" i="1"/>
  <c r="AT45" i="1"/>
  <c r="AF45" i="1"/>
  <c r="AJ45" i="1"/>
  <c r="AR45" i="1"/>
  <c r="AD45" i="1"/>
  <c r="AE45" i="1"/>
  <c r="AM45" i="1"/>
  <c r="AP45" i="1"/>
  <c r="AQ45" i="1"/>
  <c r="AP26" i="1"/>
  <c r="AN26" i="1"/>
  <c r="AO26" i="1"/>
  <c r="AI26" i="1"/>
  <c r="AK26" i="1"/>
  <c r="AH26" i="1"/>
  <c r="AQ26" i="1"/>
  <c r="AJ26" i="1"/>
  <c r="AS26" i="1"/>
  <c r="AR26" i="1"/>
  <c r="AD26" i="1"/>
  <c r="AE26" i="1"/>
  <c r="AL26" i="1"/>
  <c r="AM26" i="1"/>
  <c r="AT26" i="1"/>
  <c r="AL410" i="1"/>
  <c r="AM410" i="1"/>
  <c r="AN474" i="1"/>
  <c r="AS474" i="1"/>
  <c r="AQ506" i="1"/>
  <c r="AR506" i="1"/>
  <c r="AJ506" i="1"/>
  <c r="AR188" i="1"/>
  <c r="AO188" i="1"/>
  <c r="AJ188" i="1"/>
  <c r="AM188" i="1"/>
  <c r="AG220" i="1"/>
  <c r="AP220" i="1"/>
  <c r="AR220" i="1"/>
  <c r="AN220" i="1"/>
  <c r="AF220" i="1"/>
  <c r="AL220" i="1"/>
  <c r="AF256" i="1"/>
  <c r="AG256" i="1"/>
  <c r="AM256" i="1"/>
  <c r="AP256" i="1"/>
  <c r="AE256" i="1"/>
  <c r="AD256" i="1"/>
  <c r="AK256" i="1"/>
  <c r="AR256" i="1"/>
  <c r="AT256" i="1"/>
  <c r="AO256" i="1"/>
  <c r="AJ256" i="1"/>
  <c r="AH256" i="1"/>
  <c r="AI256" i="1"/>
  <c r="AM288" i="1"/>
  <c r="AO288" i="1"/>
  <c r="AE288" i="1"/>
  <c r="AJ288" i="1"/>
  <c r="AN288" i="1"/>
  <c r="AT320" i="1"/>
  <c r="AR320" i="1"/>
  <c r="AK320" i="1"/>
  <c r="AD320" i="1"/>
  <c r="AH352" i="1"/>
  <c r="AM352" i="1"/>
  <c r="AF352" i="1"/>
  <c r="AR352" i="1"/>
  <c r="AI384" i="1"/>
  <c r="AL384" i="1"/>
  <c r="AQ416" i="1"/>
  <c r="AI416" i="1"/>
  <c r="AL416" i="1"/>
  <c r="AP448" i="1"/>
  <c r="AE448" i="1"/>
  <c r="AM448" i="1"/>
  <c r="AK448" i="1"/>
  <c r="AJ448" i="1"/>
  <c r="AI448" i="1"/>
  <c r="AN448" i="1"/>
  <c r="AO480" i="1"/>
  <c r="AE480" i="1"/>
  <c r="AP480" i="1"/>
  <c r="AL480" i="1"/>
  <c r="AQ512" i="1"/>
  <c r="AI512" i="1"/>
  <c r="AR512" i="1"/>
  <c r="AT544" i="1"/>
  <c r="AL544" i="1"/>
  <c r="AH544" i="1"/>
  <c r="AD544" i="1"/>
  <c r="AI453" i="1"/>
  <c r="AM7" i="1"/>
  <c r="AN11" i="1"/>
  <c r="AR83" i="1"/>
  <c r="AG83" i="1"/>
  <c r="AE60" i="1"/>
  <c r="AD346" i="1"/>
  <c r="AK273" i="1"/>
  <c r="AF7" i="1"/>
  <c r="AE7" i="1"/>
  <c r="AM165" i="1"/>
  <c r="AR7" i="1"/>
  <c r="AP7" i="1"/>
  <c r="AH482" i="1"/>
  <c r="AL393" i="1"/>
  <c r="AM373" i="1"/>
  <c r="AT346" i="1"/>
  <c r="AE146" i="1"/>
  <c r="AT7" i="1"/>
  <c r="AJ7" i="1"/>
  <c r="AR102" i="1"/>
  <c r="AP11" i="1"/>
  <c r="AH7" i="1"/>
  <c r="AI50" i="1"/>
  <c r="AQ7" i="1"/>
  <c r="AG41" i="1"/>
  <c r="AO49" i="1"/>
  <c r="AP57" i="1"/>
  <c r="AS57" i="1"/>
  <c r="AI34" i="1"/>
  <c r="AT51" i="1"/>
  <c r="AH83" i="1"/>
  <c r="AQ83" i="1"/>
  <c r="AD28" i="1"/>
  <c r="AO60" i="1"/>
  <c r="AG15" i="1"/>
  <c r="AL7" i="1"/>
  <c r="AG7" i="1"/>
  <c r="AH55" i="1"/>
  <c r="AI83" i="1"/>
  <c r="AM83" i="1"/>
  <c r="AM64" i="1"/>
  <c r="AS108" i="1"/>
  <c r="AI15" i="1"/>
  <c r="AD7" i="1"/>
  <c r="AS7" i="1"/>
  <c r="AJ165" i="1"/>
  <c r="AN50" i="1"/>
  <c r="AN41" i="1"/>
  <c r="AS41" i="1"/>
  <c r="AE49" i="1"/>
  <c r="AT57" i="1"/>
  <c r="AN7" i="1"/>
  <c r="AO55" i="1"/>
  <c r="AL83" i="1"/>
  <c r="AO64" i="1"/>
  <c r="AO15" i="1"/>
  <c r="AK7" i="1"/>
  <c r="AG11" i="1"/>
  <c r="AO51" i="1"/>
  <c r="AP55" i="1"/>
  <c r="AN83" i="1"/>
  <c r="AQ64" i="1"/>
  <c r="AQ15" i="1"/>
  <c r="AP100" i="1"/>
  <c r="AE41" i="1"/>
  <c r="AF49" i="1"/>
  <c r="AH57" i="1"/>
  <c r="AI64" i="1"/>
  <c r="AP51" i="1"/>
  <c r="AQ55" i="1"/>
  <c r="AO83" i="1"/>
  <c r="AF219" i="1"/>
  <c r="AI219" i="1"/>
  <c r="AE475" i="1"/>
  <c r="AR475" i="1"/>
  <c r="AT475" i="1"/>
  <c r="AN248" i="1"/>
  <c r="AO248" i="1"/>
  <c r="AF248" i="1"/>
  <c r="AH248" i="1"/>
  <c r="AP536" i="1"/>
  <c r="AP344" i="1"/>
  <c r="AQ248" i="1"/>
  <c r="AJ315" i="1"/>
  <c r="AK187" i="1"/>
  <c r="AT180" i="1"/>
  <c r="AQ504" i="1"/>
  <c r="AH536" i="1"/>
  <c r="AG536" i="1"/>
  <c r="AK507" i="1"/>
  <c r="AP493" i="1"/>
  <c r="AN475" i="1"/>
  <c r="AE443" i="1"/>
  <c r="AT312" i="1"/>
  <c r="AJ283" i="1"/>
  <c r="AG280" i="1"/>
  <c r="AL251" i="1"/>
  <c r="AP212" i="1"/>
  <c r="AE245" i="1"/>
  <c r="AO245" i="1"/>
  <c r="AR315" i="1"/>
  <c r="AQ315" i="1"/>
  <c r="AS315" i="1"/>
  <c r="AQ180" i="1"/>
  <c r="AM180" i="1"/>
  <c r="AR180" i="1"/>
  <c r="AN180" i="1"/>
  <c r="AQ376" i="1"/>
  <c r="AP376" i="1"/>
  <c r="AH376" i="1"/>
  <c r="AI475" i="1"/>
  <c r="AK344" i="1"/>
  <c r="AP280" i="1"/>
  <c r="AH212" i="1"/>
  <c r="AF539" i="1"/>
  <c r="AD504" i="1"/>
  <c r="AJ536" i="1"/>
  <c r="AR536" i="1"/>
  <c r="AH507" i="1"/>
  <c r="AD475" i="1"/>
  <c r="AM440" i="1"/>
  <c r="AK347" i="1"/>
  <c r="AT344" i="1"/>
  <c r="AE312" i="1"/>
  <c r="AL312" i="1"/>
  <c r="AJ344" i="1"/>
  <c r="AL315" i="1"/>
  <c r="AK248" i="1"/>
  <c r="AR212" i="1"/>
  <c r="AL180" i="1"/>
  <c r="AE382" i="1"/>
  <c r="AM382" i="1"/>
  <c r="AI443" i="1"/>
  <c r="AP443" i="1"/>
  <c r="AK280" i="1"/>
  <c r="AE280" i="1"/>
  <c r="AR280" i="1"/>
  <c r="AL504" i="1"/>
  <c r="AQ507" i="1"/>
  <c r="AL379" i="1"/>
  <c r="AK443" i="1"/>
  <c r="AN344" i="1"/>
  <c r="AS539" i="1"/>
  <c r="AO525" i="1"/>
  <c r="AT504" i="1"/>
  <c r="AS536" i="1"/>
  <c r="AG507" i="1"/>
  <c r="AI507" i="1"/>
  <c r="AJ475" i="1"/>
  <c r="AL440" i="1"/>
  <c r="AK379" i="1"/>
  <c r="AL443" i="1"/>
  <c r="AD443" i="1"/>
  <c r="AS312" i="1"/>
  <c r="AD283" i="1"/>
  <c r="AS280" i="1"/>
  <c r="AM315" i="1"/>
  <c r="AF212" i="1"/>
  <c r="AT433" i="1"/>
  <c r="AG433" i="1"/>
  <c r="AL529" i="1"/>
  <c r="AE529" i="1"/>
  <c r="AF344" i="1"/>
  <c r="AR344" i="1"/>
  <c r="AM344" i="1"/>
  <c r="AL344" i="1"/>
  <c r="AE344" i="1"/>
  <c r="AK408" i="1"/>
  <c r="AL408" i="1"/>
  <c r="AD536" i="1"/>
  <c r="AE536" i="1"/>
  <c r="AQ536" i="1"/>
  <c r="AM536" i="1"/>
  <c r="AP504" i="1"/>
  <c r="AN536" i="1"/>
  <c r="AP475" i="1"/>
  <c r="AD440" i="1"/>
  <c r="AQ408" i="1"/>
  <c r="AR312" i="1"/>
  <c r="AO251" i="1"/>
  <c r="AE315" i="1"/>
  <c r="AE180" i="1"/>
  <c r="AH180" i="1"/>
  <c r="AJ525" i="1"/>
  <c r="AK536" i="1"/>
  <c r="AT536" i="1"/>
  <c r="AL507" i="1"/>
  <c r="AQ440" i="1"/>
  <c r="AS475" i="1"/>
  <c r="AS379" i="1"/>
  <c r="AN376" i="1"/>
  <c r="AM443" i="1"/>
  <c r="AO344" i="1"/>
  <c r="AK312" i="1"/>
  <c r="AS283" i="1"/>
  <c r="AL283" i="1"/>
  <c r="AL280" i="1"/>
  <c r="AE248" i="1"/>
  <c r="AN315" i="1"/>
  <c r="AS123" i="1"/>
  <c r="AD180" i="1"/>
  <c r="AK265" i="1"/>
  <c r="AP265" i="1"/>
  <c r="AP297" i="1"/>
  <c r="AH297" i="1"/>
  <c r="AL329" i="1"/>
  <c r="AT329" i="1"/>
  <c r="AF329" i="1"/>
  <c r="AF365" i="1"/>
  <c r="AN365" i="1"/>
  <c r="AG74" i="1"/>
  <c r="AN74" i="1"/>
  <c r="AG134" i="1"/>
  <c r="AD134" i="1"/>
  <c r="AJ174" i="1"/>
  <c r="AM174" i="1"/>
  <c r="AQ306" i="1"/>
  <c r="AK306" i="1"/>
  <c r="AH306" i="1"/>
  <c r="AI338" i="1"/>
  <c r="AJ338" i="1"/>
  <c r="AD338" i="1"/>
  <c r="AM370" i="1"/>
  <c r="AT370" i="1"/>
  <c r="AL370" i="1"/>
  <c r="AR370" i="1"/>
  <c r="AT469" i="1"/>
  <c r="AK469" i="1"/>
  <c r="AM469" i="1"/>
  <c r="AF533" i="1"/>
  <c r="AM533" i="1"/>
  <c r="AT490" i="1"/>
  <c r="AD490" i="1"/>
  <c r="AL187" i="1"/>
  <c r="AP187" i="1"/>
  <c r="AJ187" i="1"/>
  <c r="AF507" i="1"/>
  <c r="AS507" i="1"/>
  <c r="AR507" i="1"/>
  <c r="AP507" i="1"/>
  <c r="AI536" i="1"/>
  <c r="AQ443" i="1"/>
  <c r="AO443" i="1"/>
  <c r="AJ443" i="1"/>
  <c r="AD312" i="1"/>
  <c r="AH280" i="1"/>
  <c r="AH35" i="1"/>
  <c r="AN493" i="1"/>
  <c r="AD493" i="1"/>
  <c r="AR525" i="1"/>
  <c r="AO504" i="1"/>
  <c r="AO536" i="1"/>
  <c r="AJ507" i="1"/>
  <c r="AH440" i="1"/>
  <c r="AK475" i="1"/>
  <c r="AJ347" i="1"/>
  <c r="AD376" i="1"/>
  <c r="AM376" i="1"/>
  <c r="AK376" i="1"/>
  <c r="AF443" i="1"/>
  <c r="AH344" i="1"/>
  <c r="AM280" i="1"/>
  <c r="AG315" i="1"/>
  <c r="AK128" i="1"/>
  <c r="AE212" i="1"/>
  <c r="AK123" i="1"/>
  <c r="AS180" i="1"/>
  <c r="AD85" i="1"/>
  <c r="AS85" i="1"/>
  <c r="AF377" i="1"/>
  <c r="AR377" i="1"/>
  <c r="AG409" i="1"/>
  <c r="AO409" i="1"/>
  <c r="AF441" i="1"/>
  <c r="AQ441" i="1"/>
  <c r="AP441" i="1"/>
  <c r="AP494" i="1"/>
  <c r="AI494" i="1"/>
  <c r="AH526" i="1"/>
  <c r="AP526" i="1"/>
  <c r="AK526" i="1"/>
  <c r="AH75" i="1"/>
  <c r="AR75" i="1"/>
  <c r="AQ346" i="1"/>
  <c r="AO346" i="1"/>
  <c r="AD75" i="1"/>
  <c r="AI75" i="1"/>
  <c r="AF76" i="1"/>
  <c r="AL75" i="1"/>
  <c r="AJ75" i="1"/>
  <c r="AI39" i="1"/>
  <c r="AN75" i="1"/>
  <c r="AM75" i="1"/>
  <c r="AR39" i="1"/>
  <c r="AF75" i="1"/>
  <c r="AP258" i="1"/>
  <c r="AD258" i="1"/>
  <c r="AN453" i="1"/>
  <c r="AE421" i="1"/>
  <c r="AL478" i="1"/>
  <c r="AP478" i="1"/>
  <c r="AE478" i="1"/>
  <c r="AE272" i="1"/>
  <c r="AR272" i="1"/>
  <c r="AL528" i="1"/>
  <c r="AF528" i="1"/>
  <c r="AL474" i="1"/>
  <c r="AG204" i="1"/>
  <c r="AQ461" i="1"/>
  <c r="AJ461" i="1"/>
  <c r="AL386" i="1"/>
  <c r="AE386" i="1"/>
  <c r="AH450" i="1"/>
  <c r="AP450" i="1"/>
  <c r="AP183" i="1"/>
  <c r="AT183" i="1"/>
  <c r="AQ183" i="1"/>
  <c r="AP247" i="1"/>
  <c r="AL247" i="1"/>
  <c r="AH279" i="1"/>
  <c r="AO279" i="1"/>
  <c r="AN311" i="1"/>
  <c r="AS311" i="1"/>
  <c r="AN439" i="1"/>
  <c r="AH439" i="1"/>
  <c r="AQ503" i="1"/>
  <c r="AK503" i="1"/>
  <c r="AK506" i="1"/>
  <c r="AN485" i="1"/>
  <c r="AF489" i="1"/>
  <c r="AK478" i="1"/>
  <c r="AO485" i="1"/>
  <c r="AT474" i="1"/>
  <c r="AH368" i="1"/>
  <c r="AN378" i="1"/>
  <c r="AM414" i="1"/>
  <c r="AQ400" i="1"/>
  <c r="AM386" i="1"/>
  <c r="AK386" i="1"/>
  <c r="AI471" i="1"/>
  <c r="AK446" i="1"/>
  <c r="AF453" i="1"/>
  <c r="AG421" i="1"/>
  <c r="AK442" i="1"/>
  <c r="AE474" i="1"/>
  <c r="AG378" i="1"/>
  <c r="AL354" i="1"/>
  <c r="AP336" i="1"/>
  <c r="AP368" i="1"/>
  <c r="AM368" i="1"/>
  <c r="AJ336" i="1"/>
  <c r="AS272" i="1"/>
  <c r="AN279" i="1"/>
  <c r="AL304" i="1"/>
  <c r="AN183" i="1"/>
  <c r="AT204" i="1"/>
  <c r="AR204" i="1"/>
  <c r="AG102" i="1"/>
  <c r="AF497" i="1"/>
  <c r="AJ497" i="1"/>
  <c r="AR485" i="1"/>
  <c r="AH485" i="1"/>
  <c r="AN538" i="1"/>
  <c r="AM485" i="1"/>
  <c r="AK474" i="1"/>
  <c r="AG538" i="1"/>
  <c r="AL506" i="1"/>
  <c r="AH336" i="1"/>
  <c r="AD304" i="1"/>
  <c r="AM272" i="1"/>
  <c r="AJ204" i="1"/>
  <c r="AK257" i="1"/>
  <c r="AL257" i="1"/>
  <c r="AL517" i="1"/>
  <c r="AE482" i="1"/>
  <c r="AL482" i="1"/>
  <c r="AG478" i="1"/>
  <c r="AN457" i="1"/>
  <c r="AQ450" i="1"/>
  <c r="AP538" i="1"/>
  <c r="AM521" i="1"/>
  <c r="AP514" i="1"/>
  <c r="AM510" i="1"/>
  <c r="AH517" i="1"/>
  <c r="AG517" i="1"/>
  <c r="AD496" i="1"/>
  <c r="AL464" i="1"/>
  <c r="AS464" i="1"/>
  <c r="AE528" i="1"/>
  <c r="AM528" i="1"/>
  <c r="AD506" i="1"/>
  <c r="AJ493" i="1"/>
  <c r="AM503" i="1"/>
  <c r="AR489" i="1"/>
  <c r="AJ482" i="1"/>
  <c r="AT482" i="1"/>
  <c r="AT478" i="1"/>
  <c r="AL471" i="1"/>
  <c r="AD457" i="1"/>
  <c r="AI450" i="1"/>
  <c r="AP432" i="1"/>
  <c r="AK400" i="1"/>
  <c r="AJ471" i="1"/>
  <c r="AE485" i="1"/>
  <c r="AL446" i="1"/>
  <c r="AH453" i="1"/>
  <c r="AO421" i="1"/>
  <c r="AD442" i="1"/>
  <c r="AD474" i="1"/>
  <c r="AQ378" i="1"/>
  <c r="AE354" i="1"/>
  <c r="AS336" i="1"/>
  <c r="AI368" i="1"/>
  <c r="AS343" i="1"/>
  <c r="AO368" i="1"/>
  <c r="AK336" i="1"/>
  <c r="AL311" i="1"/>
  <c r="AT272" i="1"/>
  <c r="AH272" i="1"/>
  <c r="AQ322" i="1"/>
  <c r="AL279" i="1"/>
  <c r="AR183" i="1"/>
  <c r="AI204" i="1"/>
  <c r="AH506" i="1"/>
  <c r="AK389" i="1"/>
  <c r="AL453" i="1"/>
  <c r="AJ290" i="1"/>
  <c r="AN240" i="1"/>
  <c r="AF240" i="1"/>
  <c r="AK517" i="1"/>
  <c r="AO453" i="1"/>
  <c r="AD63" i="1"/>
  <c r="AP221" i="1"/>
  <c r="AR221" i="1"/>
  <c r="AH538" i="1"/>
  <c r="AN510" i="1"/>
  <c r="AO496" i="1"/>
  <c r="AS528" i="1"/>
  <c r="AM506" i="1"/>
  <c r="AE493" i="1"/>
  <c r="AN489" i="1"/>
  <c r="AG521" i="1"/>
  <c r="AD525" i="1"/>
  <c r="AH510" i="1"/>
  <c r="AO517" i="1"/>
  <c r="AL496" i="1"/>
  <c r="AD464" i="1"/>
  <c r="AI528" i="1"/>
  <c r="AO506" i="1"/>
  <c r="AI493" i="1"/>
  <c r="AR493" i="1"/>
  <c r="AO503" i="1"/>
  <c r="AG489" i="1"/>
  <c r="AF482" i="1"/>
  <c r="AE418" i="1"/>
  <c r="AG482" i="1"/>
  <c r="AS478" i="1"/>
  <c r="AP457" i="1"/>
  <c r="AT450" i="1"/>
  <c r="AE432" i="1"/>
  <c r="AL389" i="1"/>
  <c r="AD471" i="1"/>
  <c r="AK397" i="1"/>
  <c r="AK382" i="1"/>
  <c r="AS471" i="1"/>
  <c r="AP485" i="1"/>
  <c r="AG446" i="1"/>
  <c r="AS453" i="1"/>
  <c r="AM442" i="1"/>
  <c r="AH474" i="1"/>
  <c r="AH378" i="1"/>
  <c r="AE336" i="1"/>
  <c r="AG368" i="1"/>
  <c r="AQ368" i="1"/>
  <c r="AG343" i="1"/>
  <c r="AT311" i="1"/>
  <c r="AI272" i="1"/>
  <c r="AT279" i="1"/>
  <c r="AN247" i="1"/>
  <c r="AL183" i="1"/>
  <c r="AJ65" i="1"/>
  <c r="AK204" i="1"/>
  <c r="AM181" i="1"/>
  <c r="AN181" i="1"/>
  <c r="AS538" i="1"/>
  <c r="AE538" i="1"/>
  <c r="AR538" i="1"/>
  <c r="AQ517" i="1"/>
  <c r="AT322" i="1"/>
  <c r="AT542" i="1"/>
  <c r="AH542" i="1"/>
  <c r="AM304" i="1"/>
  <c r="AK304" i="1"/>
  <c r="AE304" i="1"/>
  <c r="AK24" i="1"/>
  <c r="AP24" i="1"/>
  <c r="AM538" i="1"/>
  <c r="AF496" i="1"/>
  <c r="AN528" i="1"/>
  <c r="AI446" i="1"/>
  <c r="AI538" i="1"/>
  <c r="AJ517" i="1"/>
  <c r="AT496" i="1"/>
  <c r="AQ489" i="1"/>
  <c r="AT457" i="1"/>
  <c r="AG432" i="1"/>
  <c r="AG389" i="1"/>
  <c r="AS485" i="1"/>
  <c r="AJ485" i="1"/>
  <c r="AJ446" i="1"/>
  <c r="AH442" i="1"/>
  <c r="AM474" i="1"/>
  <c r="AI378" i="1"/>
  <c r="AM336" i="1"/>
  <c r="AS368" i="1"/>
  <c r="AO378" i="1"/>
  <c r="AH354" i="1"/>
  <c r="AE311" i="1"/>
  <c r="AI304" i="1"/>
  <c r="AL240" i="1"/>
  <c r="AI102" i="1"/>
  <c r="AO86" i="1"/>
  <c r="AG86" i="1"/>
  <c r="AP453" i="1"/>
  <c r="AT453" i="1"/>
  <c r="AQ453" i="1"/>
  <c r="AG506" i="1"/>
  <c r="AT506" i="1"/>
  <c r="AK149" i="1"/>
  <c r="AO149" i="1"/>
  <c r="AN204" i="1"/>
  <c r="AQ204" i="1"/>
  <c r="AO204" i="1"/>
  <c r="AL204" i="1"/>
  <c r="AD204" i="1"/>
  <c r="AO528" i="1"/>
  <c r="AG528" i="1"/>
  <c r="AK457" i="1"/>
  <c r="AM421" i="1"/>
  <c r="AN542" i="1"/>
  <c r="AO521" i="1"/>
  <c r="AP510" i="1"/>
  <c r="AK528" i="1"/>
  <c r="AH528" i="1"/>
  <c r="AQ528" i="1"/>
  <c r="AE506" i="1"/>
  <c r="AF478" i="1"/>
  <c r="AN478" i="1"/>
  <c r="AO542" i="1"/>
  <c r="AE542" i="1"/>
  <c r="AJ521" i="1"/>
  <c r="AJ542" i="1"/>
  <c r="AS542" i="1"/>
  <c r="AG525" i="1"/>
  <c r="AR517" i="1"/>
  <c r="AR496" i="1"/>
  <c r="AJ528" i="1"/>
  <c r="AD528" i="1"/>
  <c r="AF506" i="1"/>
  <c r="AI506" i="1"/>
  <c r="AO493" i="1"/>
  <c r="AK489" i="1"/>
  <c r="AI461" i="1"/>
  <c r="AM482" i="1"/>
  <c r="AD478" i="1"/>
  <c r="AK418" i="1"/>
  <c r="AL457" i="1"/>
  <c r="AJ450" i="1"/>
  <c r="AO432" i="1"/>
  <c r="AL382" i="1"/>
  <c r="AK375" i="1"/>
  <c r="AE471" i="1"/>
  <c r="AK485" i="1"/>
  <c r="AH446" i="1"/>
  <c r="AG442" i="1"/>
  <c r="AR453" i="1"/>
  <c r="AQ421" i="1"/>
  <c r="AP442" i="1"/>
  <c r="AI474" i="1"/>
  <c r="AF336" i="1"/>
  <c r="AJ368" i="1"/>
  <c r="AI343" i="1"/>
  <c r="AN368" i="1"/>
  <c r="AM311" i="1"/>
  <c r="AP304" i="1"/>
  <c r="AM204" i="1"/>
  <c r="AE222" i="1"/>
  <c r="AH222" i="1"/>
  <c r="AI350" i="1"/>
  <c r="AF350" i="1"/>
  <c r="AR449" i="1"/>
  <c r="AD449" i="1"/>
  <c r="AL406" i="1"/>
  <c r="AE406" i="1"/>
  <c r="AO469" i="1"/>
  <c r="AO365" i="1"/>
  <c r="AO370" i="1"/>
  <c r="AE174" i="1"/>
  <c r="AR125" i="1"/>
  <c r="AJ64" i="1"/>
  <c r="AI93" i="1"/>
  <c r="AN93" i="1"/>
  <c r="AJ40" i="1"/>
  <c r="AF40" i="1"/>
  <c r="AR40" i="1"/>
  <c r="AQ31" i="1"/>
  <c r="AN31" i="1"/>
  <c r="AE31" i="1"/>
  <c r="AO31" i="1"/>
  <c r="AO67" i="1"/>
  <c r="AD67" i="1"/>
  <c r="AQ104" i="1"/>
  <c r="AE104" i="1"/>
  <c r="AQ14" i="1"/>
  <c r="AG14" i="1"/>
  <c r="AQ46" i="1"/>
  <c r="AP46" i="1"/>
  <c r="AH46" i="1"/>
  <c r="AN46" i="1"/>
  <c r="AT12" i="1"/>
  <c r="AP12" i="1"/>
  <c r="AH27" i="1"/>
  <c r="AT27" i="1"/>
  <c r="AR42" i="1"/>
  <c r="AI42" i="1"/>
  <c r="AE42" i="1"/>
  <c r="AT518" i="1"/>
  <c r="AE27" i="1"/>
  <c r="AD27" i="1"/>
  <c r="AR27" i="1"/>
  <c r="AG121" i="1"/>
  <c r="AN121" i="1"/>
  <c r="AH302" i="1"/>
  <c r="AQ302" i="1"/>
  <c r="AD366" i="1"/>
  <c r="AL366" i="1"/>
  <c r="AS421" i="1"/>
  <c r="AI421" i="1"/>
  <c r="AF421" i="1"/>
  <c r="AT485" i="1"/>
  <c r="AG485" i="1"/>
  <c r="AQ120" i="1"/>
  <c r="AP180" i="1"/>
  <c r="AF180" i="1"/>
  <c r="AL518" i="1"/>
  <c r="AK80" i="1"/>
  <c r="AQ65" i="1"/>
  <c r="AI229" i="1"/>
  <c r="AH229" i="1"/>
  <c r="AM274" i="1"/>
  <c r="AO274" i="1"/>
  <c r="AO252" i="1"/>
  <c r="AR252" i="1"/>
  <c r="AQ348" i="1"/>
  <c r="AE348" i="1"/>
  <c r="AN486" i="1"/>
  <c r="AI518" i="1"/>
  <c r="AE63" i="1"/>
  <c r="AP36" i="1"/>
  <c r="AI65" i="1"/>
  <c r="AS65" i="1"/>
  <c r="AR486" i="1"/>
  <c r="AO518" i="1"/>
  <c r="AK8" i="1"/>
  <c r="AM63" i="1"/>
  <c r="AD341" i="1"/>
  <c r="AK341" i="1"/>
  <c r="AP282" i="1"/>
  <c r="AQ282" i="1"/>
  <c r="AR346" i="1"/>
  <c r="AJ346" i="1"/>
  <c r="AO65" i="1"/>
  <c r="AS42" i="1"/>
  <c r="AE378" i="1"/>
  <c r="AM378" i="1"/>
  <c r="AI442" i="1"/>
  <c r="AL442" i="1"/>
  <c r="AR474" i="1"/>
  <c r="AG474" i="1"/>
  <c r="AQ474" i="1"/>
  <c r="AN454" i="1"/>
  <c r="AO454" i="1"/>
  <c r="AK27" i="1"/>
  <c r="AH24" i="1"/>
  <c r="AM509" i="1"/>
  <c r="AM518" i="1"/>
  <c r="AM65" i="1"/>
  <c r="AL42" i="1"/>
  <c r="AK65" i="1"/>
  <c r="AN446" i="1"/>
  <c r="AM446" i="1"/>
  <c r="AI27" i="1"/>
  <c r="AN303" i="1"/>
  <c r="AG303" i="1"/>
  <c r="AP335" i="1"/>
  <c r="AJ335" i="1"/>
  <c r="AM463" i="1"/>
  <c r="AL463" i="1"/>
  <c r="AD65" i="1"/>
  <c r="AM42" i="1"/>
  <c r="AG42" i="1"/>
  <c r="AT118" i="1"/>
  <c r="AT40" i="1"/>
  <c r="AN179" i="1"/>
  <c r="AR179" i="1"/>
  <c r="AJ211" i="1"/>
  <c r="AT211" i="1"/>
  <c r="AF307" i="1"/>
  <c r="AJ307" i="1"/>
  <c r="AF435" i="1"/>
  <c r="AL435" i="1"/>
  <c r="AG43" i="1"/>
  <c r="AI51" i="1"/>
  <c r="AH51" i="1"/>
  <c r="AR55" i="1"/>
  <c r="AL79" i="1"/>
  <c r="AH79" i="1"/>
  <c r="AQ20" i="1"/>
  <c r="AF28" i="1"/>
  <c r="AT64" i="1"/>
  <c r="AT43" i="1"/>
  <c r="AK51" i="1"/>
  <c r="AS51" i="1"/>
  <c r="AG55" i="1"/>
  <c r="AN79" i="1"/>
  <c r="AR79" i="1"/>
  <c r="AI20" i="1"/>
  <c r="AI28" i="1"/>
  <c r="AD64" i="1"/>
  <c r="AI7" i="1"/>
  <c r="AI43" i="1"/>
  <c r="AI55" i="1"/>
  <c r="AD79" i="1"/>
  <c r="AM79" i="1"/>
  <c r="AL20" i="1"/>
  <c r="AM28" i="1"/>
  <c r="AF64" i="1"/>
  <c r="AE108" i="1"/>
  <c r="AK43" i="1"/>
  <c r="AF79" i="1"/>
  <c r="AP79" i="1"/>
  <c r="AQ101" i="1"/>
  <c r="AJ101" i="1"/>
  <c r="AK101" i="1"/>
  <c r="AK213" i="1"/>
  <c r="AN213" i="1"/>
  <c r="AO349" i="1"/>
  <c r="AQ349" i="1"/>
  <c r="AE110" i="1"/>
  <c r="AI110" i="1"/>
  <c r="AE154" i="1"/>
  <c r="AO154" i="1"/>
  <c r="AJ154" i="1"/>
  <c r="AK226" i="1"/>
  <c r="AI226" i="1"/>
  <c r="AI290" i="1"/>
  <c r="AT290" i="1"/>
  <c r="AF322" i="1"/>
  <c r="AD322" i="1"/>
  <c r="AJ322" i="1"/>
  <c r="AL401" i="1"/>
  <c r="AG401" i="1"/>
  <c r="AE390" i="1"/>
  <c r="AK390" i="1"/>
  <c r="AH537" i="1"/>
  <c r="AR537" i="1"/>
  <c r="AP529" i="1"/>
  <c r="AT505" i="1"/>
  <c r="AI486" i="1"/>
  <c r="AD526" i="1"/>
  <c r="AJ526" i="1"/>
  <c r="AQ518" i="1"/>
  <c r="AG505" i="1"/>
  <c r="AN518" i="1"/>
  <c r="AE518" i="1"/>
  <c r="AL494" i="1"/>
  <c r="AG497" i="1"/>
  <c r="AR497" i="1"/>
  <c r="AH465" i="1"/>
  <c r="AO401" i="1"/>
  <c r="AL390" i="1"/>
  <c r="AH377" i="1"/>
  <c r="AL441" i="1"/>
  <c r="AR441" i="1"/>
  <c r="AE454" i="1"/>
  <c r="AT354" i="1"/>
  <c r="AI454" i="1"/>
  <c r="AH349" i="1"/>
  <c r="AM473" i="1"/>
  <c r="AL322" i="1"/>
  <c r="AG302" i="1"/>
  <c r="AS322" i="1"/>
  <c r="AP266" i="1"/>
  <c r="AP213" i="1"/>
  <c r="AT194" i="1"/>
  <c r="AH181" i="1"/>
  <c r="AG245" i="1"/>
  <c r="AH258" i="1"/>
  <c r="AE258" i="1"/>
  <c r="AQ226" i="1"/>
  <c r="AR154" i="1"/>
  <c r="AP154" i="1"/>
  <c r="AH142" i="1"/>
  <c r="AH149" i="1"/>
  <c r="AL101" i="1"/>
  <c r="AJ110" i="1"/>
  <c r="AJ458" i="1"/>
  <c r="AL458" i="1"/>
  <c r="AN85" i="1"/>
  <c r="AI85" i="1"/>
  <c r="AM85" i="1"/>
  <c r="AP149" i="1"/>
  <c r="AM354" i="1"/>
  <c r="AD454" i="1"/>
  <c r="AG473" i="1"/>
  <c r="AH245" i="1"/>
  <c r="AG226" i="1"/>
  <c r="AF258" i="1"/>
  <c r="AJ226" i="1"/>
  <c r="AN18" i="1"/>
  <c r="AT85" i="1"/>
  <c r="AT537" i="1"/>
  <c r="AJ529" i="1"/>
  <c r="AL526" i="1"/>
  <c r="AL486" i="1"/>
  <c r="AJ494" i="1"/>
  <c r="AR526" i="1"/>
  <c r="AQ505" i="1"/>
  <c r="AS494" i="1"/>
  <c r="AR518" i="1"/>
  <c r="AP518" i="1"/>
  <c r="AE494" i="1"/>
  <c r="AT497" i="1"/>
  <c r="AK430" i="1"/>
  <c r="AO465" i="1"/>
  <c r="AI430" i="1"/>
  <c r="AF477" i="1"/>
  <c r="AM441" i="1"/>
  <c r="AP377" i="1"/>
  <c r="AM377" i="1"/>
  <c r="AS354" i="1"/>
  <c r="AH454" i="1"/>
  <c r="AS349" i="1"/>
  <c r="AP473" i="1"/>
  <c r="AS473" i="1"/>
  <c r="AP313" i="1"/>
  <c r="AP293" i="1"/>
  <c r="AO322" i="1"/>
  <c r="AM290" i="1"/>
  <c r="AF213" i="1"/>
  <c r="AT258" i="1"/>
  <c r="AS245" i="1"/>
  <c r="AT245" i="1"/>
  <c r="AI258" i="1"/>
  <c r="AR226" i="1"/>
  <c r="AT154" i="1"/>
  <c r="AR142" i="1"/>
  <c r="AS110" i="1"/>
  <c r="AO58" i="1"/>
  <c r="AH29" i="1"/>
  <c r="AR149" i="1"/>
  <c r="AN101" i="1"/>
  <c r="AF85" i="1"/>
  <c r="AT110" i="1"/>
  <c r="AH213" i="1"/>
  <c r="AS258" i="1"/>
  <c r="AF194" i="1"/>
  <c r="AG258" i="1"/>
  <c r="AT101" i="1"/>
  <c r="AD110" i="1"/>
  <c r="AR128" i="1"/>
  <c r="AJ128" i="1"/>
  <c r="AG128" i="1"/>
  <c r="AO71" i="1"/>
  <c r="AP71" i="1"/>
  <c r="AT16" i="1"/>
  <c r="AL16" i="1"/>
  <c r="AH518" i="1"/>
  <c r="AM494" i="1"/>
  <c r="AM497" i="1"/>
  <c r="AK409" i="1"/>
  <c r="AJ142" i="1"/>
  <c r="AF101" i="1"/>
  <c r="AE361" i="1"/>
  <c r="AK361" i="1"/>
  <c r="AQ270" i="1"/>
  <c r="AM270" i="1"/>
  <c r="AD537" i="1"/>
  <c r="AK537" i="1"/>
  <c r="AR529" i="1"/>
  <c r="AT486" i="1"/>
  <c r="AE526" i="1"/>
  <c r="AJ505" i="1"/>
  <c r="AF494" i="1"/>
  <c r="AG518" i="1"/>
  <c r="AN494" i="1"/>
  <c r="AE497" i="1"/>
  <c r="AM462" i="1"/>
  <c r="AE422" i="1"/>
  <c r="AS422" i="1"/>
  <c r="AS465" i="1"/>
  <c r="AL398" i="1"/>
  <c r="AK401" i="1"/>
  <c r="AG441" i="1"/>
  <c r="AD377" i="1"/>
  <c r="AN377" i="1"/>
  <c r="AJ354" i="1"/>
  <c r="AF349" i="1"/>
  <c r="AS330" i="1"/>
  <c r="AR473" i="1"/>
  <c r="AK473" i="1"/>
  <c r="AH313" i="1"/>
  <c r="AP281" i="1"/>
  <c r="AK322" i="1"/>
  <c r="AH290" i="1"/>
  <c r="AD302" i="1"/>
  <c r="AH322" i="1"/>
  <c r="AF290" i="1"/>
  <c r="AK245" i="1"/>
  <c r="AQ258" i="1"/>
  <c r="AE226" i="1"/>
  <c r="AF154" i="1"/>
  <c r="AL142" i="1"/>
  <c r="AR101" i="1"/>
  <c r="AJ85" i="1"/>
  <c r="AD157" i="1"/>
  <c r="AG101" i="1"/>
  <c r="AG85" i="1"/>
  <c r="AM110" i="1"/>
  <c r="AK453" i="1"/>
  <c r="AM453" i="1"/>
  <c r="AQ485" i="1"/>
  <c r="AI485" i="1"/>
  <c r="AL485" i="1"/>
  <c r="AD245" i="1"/>
  <c r="AT226" i="1"/>
  <c r="AD154" i="1"/>
  <c r="AJ357" i="1"/>
  <c r="AK357" i="1"/>
  <c r="AJ441" i="1"/>
  <c r="AN441" i="1"/>
  <c r="AI537" i="1"/>
  <c r="AD465" i="1"/>
  <c r="AQ430" i="1"/>
  <c r="AI330" i="1"/>
  <c r="AG322" i="1"/>
  <c r="AL245" i="1"/>
  <c r="AL154" i="1"/>
  <c r="AK85" i="1"/>
  <c r="AL110" i="1"/>
  <c r="AN537" i="1"/>
  <c r="AQ529" i="1"/>
  <c r="AS505" i="1"/>
  <c r="AF526" i="1"/>
  <c r="AM526" i="1"/>
  <c r="AR505" i="1"/>
  <c r="AS518" i="1"/>
  <c r="AH494" i="1"/>
  <c r="AN497" i="1"/>
  <c r="AG462" i="1"/>
  <c r="AT465" i="1"/>
  <c r="AL409" i="1"/>
  <c r="AE398" i="1"/>
  <c r="AO441" i="1"/>
  <c r="AT337" i="1"/>
  <c r="AG377" i="1"/>
  <c r="AK354" i="1"/>
  <c r="AD349" i="1"/>
  <c r="AN349" i="1"/>
  <c r="AO354" i="1"/>
  <c r="AF473" i="1"/>
  <c r="AH281" i="1"/>
  <c r="AE334" i="1"/>
  <c r="AP322" i="1"/>
  <c r="AN290" i="1"/>
  <c r="AM226" i="1"/>
  <c r="AN245" i="1"/>
  <c r="AK258" i="1"/>
  <c r="AJ258" i="1"/>
  <c r="AN226" i="1"/>
  <c r="AN154" i="1"/>
  <c r="AE142" i="1"/>
  <c r="AQ110" i="1"/>
  <c r="AM58" i="1"/>
  <c r="AE149" i="1"/>
  <c r="AE85" i="1"/>
  <c r="AJ58" i="1"/>
  <c r="AD149" i="1"/>
  <c r="AI101" i="1"/>
  <c r="AQ85" i="1"/>
  <c r="AG110" i="1"/>
  <c r="AN237" i="1"/>
  <c r="AE237" i="1"/>
  <c r="AN314" i="1"/>
  <c r="AH314" i="1"/>
  <c r="AI457" i="1"/>
  <c r="AJ457" i="1"/>
  <c r="AL436" i="1"/>
  <c r="AI436" i="1"/>
  <c r="AQ436" i="1"/>
  <c r="AP500" i="1"/>
  <c r="AJ500" i="1"/>
  <c r="AR349" i="1"/>
  <c r="AS213" i="1"/>
  <c r="AP181" i="1"/>
  <c r="AO258" i="1"/>
  <c r="AO473" i="1"/>
  <c r="AL473" i="1"/>
  <c r="AM72" i="1"/>
  <c r="AF72" i="1"/>
  <c r="AQ72" i="1"/>
  <c r="AF54" i="1"/>
  <c r="AN54" i="1"/>
  <c r="AG54" i="1"/>
  <c r="AO529" i="1"/>
  <c r="AG526" i="1"/>
  <c r="AH505" i="1"/>
  <c r="AF518" i="1"/>
  <c r="AD441" i="1"/>
  <c r="AI354" i="1"/>
  <c r="AI349" i="1"/>
  <c r="AJ473" i="1"/>
  <c r="AN194" i="1"/>
  <c r="AM258" i="1"/>
  <c r="AI149" i="1"/>
  <c r="AG537" i="1"/>
  <c r="AE537" i="1"/>
  <c r="AK494" i="1"/>
  <c r="AD505" i="1"/>
  <c r="AI526" i="1"/>
  <c r="AD497" i="1"/>
  <c r="AO462" i="1"/>
  <c r="AO433" i="1"/>
  <c r="AI465" i="1"/>
  <c r="AK398" i="1"/>
  <c r="AH441" i="1"/>
  <c r="AO377" i="1"/>
  <c r="AF454" i="1"/>
  <c r="AD354" i="1"/>
  <c r="AG454" i="1"/>
  <c r="AP349" i="1"/>
  <c r="AG349" i="1"/>
  <c r="AP354" i="1"/>
  <c r="AH473" i="1"/>
  <c r="AI473" i="1"/>
  <c r="AI322" i="1"/>
  <c r="AP302" i="1"/>
  <c r="AP290" i="1"/>
  <c r="AR234" i="1"/>
  <c r="AO194" i="1"/>
  <c r="AF181" i="1"/>
  <c r="AF245" i="1"/>
  <c r="AL258" i="1"/>
  <c r="AN225" i="1"/>
  <c r="AF226" i="1"/>
  <c r="AG154" i="1"/>
  <c r="AG142" i="1"/>
  <c r="AR130" i="1"/>
  <c r="AK35" i="1"/>
  <c r="AT149" i="1"/>
  <c r="AO397" i="1"/>
  <c r="AG397" i="1"/>
  <c r="AK429" i="1"/>
  <c r="AS429" i="1"/>
  <c r="AL271" i="1"/>
  <c r="AF271" i="1"/>
  <c r="AS463" i="1"/>
  <c r="AK463" i="1"/>
  <c r="AO44" i="1"/>
  <c r="AG67" i="1"/>
  <c r="AS44" i="1"/>
  <c r="AQ67" i="1"/>
  <c r="AG31" i="1"/>
  <c r="AT67" i="1"/>
  <c r="AN12" i="1"/>
  <c r="AP64" i="1"/>
  <c r="AF12" i="1"/>
  <c r="AE118" i="1"/>
  <c r="AR118" i="1"/>
  <c r="AJ118" i="1"/>
  <c r="AL454" i="1"/>
  <c r="AS454" i="1"/>
  <c r="AJ454" i="1"/>
  <c r="AQ454" i="1"/>
  <c r="AI24" i="1"/>
  <c r="AG24" i="1"/>
  <c r="AE24" i="1"/>
  <c r="AD24" i="1"/>
  <c r="AQ24" i="1"/>
  <c r="AS24" i="1"/>
  <c r="AL24" i="1"/>
  <c r="AG27" i="1"/>
  <c r="AJ27" i="1"/>
  <c r="AP27" i="1"/>
  <c r="AN27" i="1"/>
  <c r="AL27" i="1"/>
  <c r="AF27" i="1"/>
  <c r="AS63" i="1"/>
  <c r="AQ63" i="1"/>
  <c r="AK63" i="1"/>
  <c r="AL63" i="1"/>
  <c r="AI63" i="1"/>
  <c r="AR63" i="1"/>
  <c r="AH63" i="1"/>
  <c r="AN63" i="1"/>
  <c r="AM36" i="1"/>
  <c r="AK36" i="1"/>
  <c r="AE36" i="1"/>
  <c r="AN36" i="1"/>
  <c r="AD36" i="1"/>
  <c r="AJ36" i="1"/>
  <c r="AG36" i="1"/>
  <c r="AR80" i="1"/>
  <c r="AJ80" i="1"/>
  <c r="AG80" i="1"/>
  <c r="AF80" i="1"/>
  <c r="AP65" i="1"/>
  <c r="AG65" i="1"/>
  <c r="AT65" i="1"/>
  <c r="AR65" i="1"/>
  <c r="AE65" i="1"/>
  <c r="AL65" i="1"/>
  <c r="AH42" i="1"/>
  <c r="AQ42" i="1"/>
  <c r="AP42" i="1"/>
  <c r="AJ42" i="1"/>
  <c r="AO42" i="1"/>
  <c r="AD42" i="1"/>
  <c r="AK42" i="1"/>
  <c r="AT42" i="1"/>
  <c r="AD8" i="1"/>
  <c r="AF8" i="1"/>
  <c r="AO8" i="1"/>
  <c r="AP8" i="1"/>
  <c r="AS8" i="1"/>
  <c r="AP169" i="1"/>
  <c r="AD169" i="1"/>
  <c r="AL246" i="1"/>
  <c r="AJ246" i="1"/>
  <c r="AL342" i="1"/>
  <c r="AJ342" i="1"/>
  <c r="AK342" i="1"/>
  <c r="AR374" i="1"/>
  <c r="AI374" i="1"/>
  <c r="AN374" i="1"/>
  <c r="AD342" i="1"/>
  <c r="AM118" i="1"/>
  <c r="AP141" i="1"/>
  <c r="AH141" i="1"/>
  <c r="AK205" i="1"/>
  <c r="AN205" i="1"/>
  <c r="AT186" i="1"/>
  <c r="AE186" i="1"/>
  <c r="AL346" i="1"/>
  <c r="AG346" i="1"/>
  <c r="AS346" i="1"/>
  <c r="AO385" i="1"/>
  <c r="AG385" i="1"/>
  <c r="AK417" i="1"/>
  <c r="AL417" i="1"/>
  <c r="AH481" i="1"/>
  <c r="AD481" i="1"/>
  <c r="AL394" i="1"/>
  <c r="AM394" i="1"/>
  <c r="AE426" i="1"/>
  <c r="AS426" i="1"/>
  <c r="AO27" i="1"/>
  <c r="AF63" i="1"/>
  <c r="AQ8" i="1"/>
  <c r="AS342" i="1"/>
  <c r="AK269" i="1"/>
  <c r="AH310" i="1"/>
  <c r="AI118" i="1"/>
  <c r="AF118" i="1"/>
  <c r="AH277" i="1"/>
  <c r="AK277" i="1"/>
  <c r="AN286" i="1"/>
  <c r="AS286" i="1"/>
  <c r="AI286" i="1"/>
  <c r="AT142" i="1"/>
  <c r="AM142" i="1"/>
  <c r="AP142" i="1"/>
  <c r="AD142" i="1"/>
  <c r="AQ27" i="1"/>
  <c r="AK454" i="1"/>
  <c r="AP454" i="1"/>
  <c r="AT138" i="1"/>
  <c r="AF65" i="1"/>
  <c r="AT82" i="1"/>
  <c r="AE82" i="1"/>
  <c r="AM454" i="1"/>
  <c r="AR454" i="1"/>
  <c r="AS118" i="1"/>
  <c r="AL137" i="1"/>
  <c r="AH65" i="1"/>
  <c r="AM493" i="1"/>
  <c r="AH493" i="1"/>
  <c r="AG493" i="1"/>
  <c r="AT24" i="1"/>
  <c r="AE189" i="1"/>
  <c r="AF189" i="1"/>
  <c r="AI298" i="1"/>
  <c r="AD298" i="1"/>
  <c r="AK337" i="1"/>
  <c r="AD337" i="1"/>
  <c r="AF337" i="1"/>
  <c r="AJ465" i="1"/>
  <c r="AQ465" i="1"/>
  <c r="AM465" i="1"/>
  <c r="AH497" i="1"/>
  <c r="AO497" i="1"/>
  <c r="AK497" i="1"/>
  <c r="AJ94" i="1"/>
  <c r="AD94" i="1"/>
  <c r="AI94" i="1"/>
  <c r="AD378" i="1"/>
  <c r="AL378" i="1"/>
  <c r="AR378" i="1"/>
  <c r="AE410" i="1"/>
  <c r="AK410" i="1"/>
  <c r="AR442" i="1"/>
  <c r="AJ442" i="1"/>
  <c r="AE442" i="1"/>
  <c r="AN442" i="1"/>
  <c r="AF442" i="1"/>
  <c r="AJ474" i="1"/>
  <c r="AP474" i="1"/>
  <c r="AO474" i="1"/>
  <c r="AF474" i="1"/>
  <c r="AS506" i="1"/>
  <c r="AP506" i="1"/>
  <c r="AN506" i="1"/>
  <c r="AQ451" i="1"/>
  <c r="AN451" i="1"/>
  <c r="AP118" i="1"/>
  <c r="AP437" i="1"/>
  <c r="AG437" i="1"/>
  <c r="AS469" i="1"/>
  <c r="AI469" i="1"/>
  <c r="AD469" i="1"/>
  <c r="AF42" i="1"/>
  <c r="AL231" i="1"/>
  <c r="AP231" i="1"/>
  <c r="AI342" i="1"/>
  <c r="AS374" i="1"/>
  <c r="AK125" i="1"/>
  <c r="AH125" i="1"/>
  <c r="AT165" i="1"/>
  <c r="AS165" i="1"/>
  <c r="AM197" i="1"/>
  <c r="AH197" i="1"/>
  <c r="AL229" i="1"/>
  <c r="AO229" i="1"/>
  <c r="AM74" i="1"/>
  <c r="AR74" i="1"/>
  <c r="AR174" i="1"/>
  <c r="AL174" i="1"/>
  <c r="AK242" i="1"/>
  <c r="AO242" i="1"/>
  <c r="AN306" i="1"/>
  <c r="AP306" i="1"/>
  <c r="AS306" i="1"/>
  <c r="AS338" i="1"/>
  <c r="AQ338" i="1"/>
  <c r="AE370" i="1"/>
  <c r="AD370" i="1"/>
  <c r="AN42" i="1"/>
  <c r="AS196" i="1"/>
  <c r="AM196" i="1"/>
  <c r="AH196" i="1"/>
  <c r="AO196" i="1"/>
  <c r="AG264" i="1"/>
  <c r="AH264" i="1"/>
  <c r="AR264" i="1"/>
  <c r="AT296" i="1"/>
  <c r="AR296" i="1"/>
  <c r="AK296" i="1"/>
  <c r="AP328" i="1"/>
  <c r="AF328" i="1"/>
  <c r="AR328" i="1"/>
  <c r="AG360" i="1"/>
  <c r="AP360" i="1"/>
  <c r="AO360" i="1"/>
  <c r="AG488" i="1"/>
  <c r="AS488" i="1"/>
  <c r="AO40" i="1"/>
  <c r="AJ12" i="1"/>
  <c r="AN104" i="1"/>
  <c r="AH457" i="1"/>
  <c r="AO182" i="1"/>
  <c r="AF67" i="1"/>
  <c r="AE28" i="1"/>
  <c r="AN28" i="1"/>
  <c r="AG40" i="1"/>
  <c r="AN64" i="1"/>
  <c r="AR72" i="1"/>
  <c r="AT120" i="1"/>
  <c r="AL12" i="1"/>
  <c r="AF104" i="1"/>
  <c r="AT128" i="1"/>
  <c r="AI67" i="1"/>
  <c r="AQ44" i="1"/>
  <c r="AG72" i="1"/>
  <c r="AR120" i="1"/>
  <c r="AS12" i="1"/>
  <c r="AI104" i="1"/>
  <c r="AS128" i="1"/>
  <c r="AK67" i="1"/>
  <c r="AJ44" i="1"/>
  <c r="AH72" i="1"/>
  <c r="AF120" i="1"/>
  <c r="AR104" i="1"/>
  <c r="AP67" i="1"/>
  <c r="AQ40" i="1"/>
  <c r="AT44" i="1"/>
  <c r="AE72" i="1"/>
  <c r="AG120" i="1"/>
  <c r="AS104" i="1"/>
  <c r="AS67" i="1"/>
  <c r="AT28" i="1"/>
  <c r="AI40" i="1"/>
  <c r="AF44" i="1"/>
  <c r="AL64" i="1"/>
  <c r="AH64" i="1"/>
  <c r="AN72" i="1"/>
  <c r="AD12" i="1"/>
  <c r="AF128" i="1"/>
  <c r="AI54" i="1"/>
  <c r="AN35" i="1"/>
  <c r="AN16" i="1"/>
  <c r="AF35" i="1"/>
  <c r="AN71" i="1"/>
  <c r="AG18" i="1"/>
  <c r="AJ93" i="1"/>
  <c r="AM71" i="1"/>
  <c r="AJ71" i="1"/>
  <c r="AJ54" i="1"/>
  <c r="AL534" i="1"/>
  <c r="AQ534" i="1"/>
  <c r="AH534" i="1"/>
  <c r="AO502" i="1"/>
  <c r="AE513" i="1"/>
  <c r="AM470" i="1"/>
  <c r="AO470" i="1"/>
  <c r="AL449" i="1"/>
  <c r="AM406" i="1"/>
  <c r="AL385" i="1"/>
  <c r="AK385" i="1"/>
  <c r="AF362" i="1"/>
  <c r="AE481" i="1"/>
  <c r="AN481" i="1"/>
  <c r="AK362" i="1"/>
  <c r="AF357" i="1"/>
  <c r="AS266" i="1"/>
  <c r="AT162" i="1"/>
  <c r="AD71" i="1"/>
  <c r="AM54" i="1"/>
  <c r="AL54" i="1"/>
  <c r="AS35" i="1"/>
  <c r="AO126" i="1"/>
  <c r="AP35" i="1"/>
  <c r="AS54" i="1"/>
  <c r="AR29" i="1"/>
  <c r="AS29" i="1"/>
  <c r="AQ502" i="1"/>
  <c r="AK513" i="1"/>
  <c r="AK321" i="1"/>
  <c r="AD182" i="1"/>
  <c r="AH18" i="1"/>
  <c r="AT113" i="1"/>
  <c r="AO54" i="1"/>
  <c r="AF18" i="1"/>
  <c r="AN157" i="1"/>
  <c r="AF161" i="1"/>
  <c r="AN161" i="1"/>
  <c r="AE161" i="1"/>
  <c r="AD261" i="1"/>
  <c r="AK261" i="1"/>
  <c r="AT166" i="1"/>
  <c r="AM166" i="1"/>
  <c r="AN334" i="1"/>
  <c r="AF334" i="1"/>
  <c r="AF129" i="1"/>
  <c r="AO129" i="1"/>
  <c r="AQ54" i="1"/>
  <c r="AQ71" i="1"/>
  <c r="AP279" i="1"/>
  <c r="AS279" i="1"/>
  <c r="AI76" i="1"/>
  <c r="AL76" i="1"/>
  <c r="AN76" i="1"/>
  <c r="AT76" i="1"/>
  <c r="AM76" i="1"/>
  <c r="AJ76" i="1"/>
  <c r="AD76" i="1"/>
  <c r="AR76" i="1"/>
  <c r="AQ76" i="1"/>
  <c r="AG76" i="1"/>
  <c r="AS76" i="1"/>
  <c r="AO76" i="1"/>
  <c r="AS228" i="1"/>
  <c r="AF228" i="1"/>
  <c r="AE228" i="1"/>
  <c r="AD228" i="1"/>
  <c r="AN298" i="1"/>
  <c r="AG298" i="1"/>
  <c r="AP470" i="1"/>
  <c r="AH438" i="1"/>
  <c r="AG417" i="1"/>
  <c r="AO481" i="1"/>
  <c r="AK289" i="1"/>
  <c r="AQ330" i="1"/>
  <c r="AQ234" i="1"/>
  <c r="AI202" i="1"/>
  <c r="AG162" i="1"/>
  <c r="AO29" i="1"/>
  <c r="AJ534" i="1"/>
  <c r="AH502" i="1"/>
  <c r="AH513" i="1"/>
  <c r="AG513" i="1"/>
  <c r="AJ470" i="1"/>
  <c r="AS449" i="1"/>
  <c r="AP438" i="1"/>
  <c r="AO417" i="1"/>
  <c r="AI481" i="1"/>
  <c r="AD362" i="1"/>
  <c r="AE357" i="1"/>
  <c r="AH357" i="1"/>
  <c r="AR330" i="1"/>
  <c r="AL253" i="1"/>
  <c r="AF266" i="1"/>
  <c r="AH234" i="1"/>
  <c r="AG234" i="1"/>
  <c r="AS189" i="1"/>
  <c r="AN182" i="1"/>
  <c r="AQ202" i="1"/>
  <c r="AJ29" i="1"/>
  <c r="AG113" i="1"/>
  <c r="AG78" i="1"/>
  <c r="AG29" i="1"/>
  <c r="AE18" i="1"/>
  <c r="AS18" i="1"/>
  <c r="AT29" i="1"/>
  <c r="AE54" i="1"/>
  <c r="AT98" i="1"/>
  <c r="AL98" i="1"/>
  <c r="AK71" i="1"/>
  <c r="AJ180" i="1"/>
  <c r="AG180" i="1"/>
  <c r="AO180" i="1"/>
  <c r="AJ212" i="1"/>
  <c r="AS212" i="1"/>
  <c r="AJ280" i="1"/>
  <c r="AF280" i="1"/>
  <c r="AO35" i="1"/>
  <c r="AI35" i="1"/>
  <c r="AJ35" i="1"/>
  <c r="AM35" i="1"/>
  <c r="AH48" i="1"/>
  <c r="AN48" i="1"/>
  <c r="AI48" i="1"/>
  <c r="AE48" i="1"/>
  <c r="AP48" i="1"/>
  <c r="AK48" i="1"/>
  <c r="AM48" i="1"/>
  <c r="AG48" i="1"/>
  <c r="AD48" i="1"/>
  <c r="AO48" i="1"/>
  <c r="AL48" i="1"/>
  <c r="AF48" i="1"/>
  <c r="AJ48" i="1"/>
  <c r="AQ48" i="1"/>
  <c r="AS48" i="1"/>
  <c r="AR48" i="1"/>
  <c r="AK266" i="1"/>
  <c r="AP189" i="1"/>
  <c r="AE35" i="1"/>
  <c r="AN78" i="1"/>
  <c r="AM18" i="1"/>
  <c r="AT534" i="1"/>
  <c r="AP502" i="1"/>
  <c r="AI513" i="1"/>
  <c r="AO513" i="1"/>
  <c r="AS470" i="1"/>
  <c r="AH449" i="1"/>
  <c r="AN449" i="1"/>
  <c r="AG481" i="1"/>
  <c r="AS481" i="1"/>
  <c r="AL362" i="1"/>
  <c r="AR357" i="1"/>
  <c r="AD330" i="1"/>
  <c r="AP321" i="1"/>
  <c r="AP289" i="1"/>
  <c r="AT298" i="1"/>
  <c r="AI266" i="1"/>
  <c r="AL221" i="1"/>
  <c r="AT189" i="1"/>
  <c r="AT202" i="1"/>
  <c r="AI113" i="1"/>
  <c r="AQ29" i="1"/>
  <c r="AO78" i="1"/>
  <c r="AT35" i="1"/>
  <c r="AT18" i="1"/>
  <c r="AK18" i="1"/>
  <c r="AL29" i="1"/>
  <c r="AR54" i="1"/>
  <c r="AF71" i="1"/>
  <c r="AI71" i="1"/>
  <c r="AH71" i="1"/>
  <c r="AT71" i="1"/>
  <c r="AG71" i="1"/>
  <c r="AR71" i="1"/>
  <c r="AF16" i="1"/>
  <c r="AI16" i="1"/>
  <c r="AR16" i="1"/>
  <c r="AH16" i="1"/>
  <c r="AG16" i="1"/>
  <c r="AS16" i="1"/>
  <c r="AO16" i="1"/>
  <c r="AM16" i="1"/>
  <c r="AE16" i="1"/>
  <c r="AJ16" i="1"/>
  <c r="AD16" i="1"/>
  <c r="AR534" i="1"/>
  <c r="AK534" i="1"/>
  <c r="AM513" i="1"/>
  <c r="AL513" i="1"/>
  <c r="AS513" i="1"/>
  <c r="AJ513" i="1"/>
  <c r="AK470" i="1"/>
  <c r="AJ449" i="1"/>
  <c r="AM481" i="1"/>
  <c r="AT481" i="1"/>
  <c r="AE362" i="1"/>
  <c r="AS357" i="1"/>
  <c r="AL330" i="1"/>
  <c r="AT221" i="1"/>
  <c r="AJ189" i="1"/>
  <c r="AI29" i="1"/>
  <c r="AM157" i="1"/>
  <c r="AL71" i="1"/>
  <c r="AL35" i="1"/>
  <c r="AN29" i="1"/>
  <c r="AL18" i="1"/>
  <c r="AM29" i="1"/>
  <c r="AD29" i="1"/>
  <c r="AR18" i="1"/>
  <c r="AQ18" i="1"/>
  <c r="AG35" i="1"/>
  <c r="AS71" i="1"/>
  <c r="AM66" i="1"/>
  <c r="AD66" i="1"/>
  <c r="AN202" i="1"/>
  <c r="AR202" i="1"/>
  <c r="AK54" i="1"/>
  <c r="AP54" i="1"/>
  <c r="AT54" i="1"/>
  <c r="AK406" i="1"/>
  <c r="AD357" i="1"/>
  <c r="AG357" i="1"/>
  <c r="AK16" i="1"/>
  <c r="AI534" i="1"/>
  <c r="AD513" i="1"/>
  <c r="AK481" i="1"/>
  <c r="AE330" i="1"/>
  <c r="AO298" i="1"/>
  <c r="AL234" i="1"/>
  <c r="AG189" i="1"/>
  <c r="AK29" i="1"/>
  <c r="AO18" i="1"/>
  <c r="AE71" i="1"/>
  <c r="AD35" i="1"/>
  <c r="AF29" i="1"/>
  <c r="AD18" i="1"/>
  <c r="AE29" i="1"/>
  <c r="AJ18" i="1"/>
  <c r="AI345" i="1"/>
  <c r="AJ345" i="1"/>
  <c r="AP18" i="1"/>
  <c r="AH54" i="1"/>
  <c r="AQ16" i="1"/>
  <c r="AQ35" i="1"/>
  <c r="AI120" i="1"/>
  <c r="AO120" i="1"/>
  <c r="AO80" i="1"/>
  <c r="AT80" i="1"/>
  <c r="AE46" i="1"/>
  <c r="AO63" i="1"/>
  <c r="AH67" i="1"/>
  <c r="AO79" i="1"/>
  <c r="AG8" i="1"/>
  <c r="AJ20" i="1"/>
  <c r="AQ28" i="1"/>
  <c r="AS28" i="1"/>
  <c r="AR36" i="1"/>
  <c r="AO36" i="1"/>
  <c r="AL40" i="1"/>
  <c r="AP40" i="1"/>
  <c r="AL44" i="1"/>
  <c r="AN60" i="1"/>
  <c r="AE64" i="1"/>
  <c r="AS64" i="1"/>
  <c r="AJ72" i="1"/>
  <c r="AO72" i="1"/>
  <c r="AO112" i="1"/>
  <c r="AD112" i="1"/>
  <c r="AL120" i="1"/>
  <c r="AP120" i="1"/>
  <c r="AQ12" i="1"/>
  <c r="AD80" i="1"/>
  <c r="AP80" i="1"/>
  <c r="AD104" i="1"/>
  <c r="AO104" i="1"/>
  <c r="AE128" i="1"/>
  <c r="AP128" i="1"/>
  <c r="AT63" i="1"/>
  <c r="AP63" i="1"/>
  <c r="AL8" i="1"/>
  <c r="AR8" i="1"/>
  <c r="AI36" i="1"/>
  <c r="AF36" i="1"/>
  <c r="AD40" i="1"/>
  <c r="AS40" i="1"/>
  <c r="AD44" i="1"/>
  <c r="AT72" i="1"/>
  <c r="AS72" i="1"/>
  <c r="AD120" i="1"/>
  <c r="AS120" i="1"/>
  <c r="AG12" i="1"/>
  <c r="AE80" i="1"/>
  <c r="AH80" i="1"/>
  <c r="AJ104" i="1"/>
  <c r="AG104" i="1"/>
  <c r="AL128" i="1"/>
  <c r="AH128" i="1"/>
  <c r="AI8" i="1"/>
  <c r="AT36" i="1"/>
  <c r="AQ36" i="1"/>
  <c r="AM40" i="1"/>
  <c r="AG44" i="1"/>
  <c r="AM44" i="1"/>
  <c r="AL72" i="1"/>
  <c r="AM120" i="1"/>
  <c r="AO12" i="1"/>
  <c r="AR12" i="1"/>
  <c r="AL80" i="1"/>
  <c r="AQ80" i="1"/>
  <c r="AL104" i="1"/>
  <c r="AP104" i="1"/>
  <c r="AN128" i="1"/>
  <c r="AQ128" i="1"/>
  <c r="AG63" i="1"/>
  <c r="AI44" i="1"/>
  <c r="AM8" i="1"/>
  <c r="AT8" i="1"/>
  <c r="AL36" i="1"/>
  <c r="AS36" i="1"/>
  <c r="AE40" i="1"/>
  <c r="AP44" i="1"/>
  <c r="AE44" i="1"/>
  <c r="AI72" i="1"/>
  <c r="AD72" i="1"/>
  <c r="AH120" i="1"/>
  <c r="AE120" i="1"/>
  <c r="AE12" i="1"/>
  <c r="AI12" i="1"/>
  <c r="AM80" i="1"/>
  <c r="AI80" i="1"/>
  <c r="AM104" i="1"/>
  <c r="AH104" i="1"/>
  <c r="AD128" i="1"/>
  <c r="AI128" i="1"/>
  <c r="AN8" i="1"/>
  <c r="AE8" i="1"/>
  <c r="AJ8" i="1"/>
  <c r="AF20" i="1"/>
  <c r="AL28" i="1"/>
  <c r="AH40" i="1"/>
  <c r="AN40" i="1"/>
  <c r="AH44" i="1"/>
  <c r="AR64" i="1"/>
  <c r="AP72" i="1"/>
  <c r="AG112" i="1"/>
  <c r="AJ120" i="1"/>
  <c r="AM12" i="1"/>
  <c r="AN80" i="1"/>
  <c r="AT104" i="1"/>
  <c r="AM128" i="1"/>
  <c r="AP309" i="1"/>
  <c r="AH309" i="1"/>
  <c r="AS318" i="1"/>
  <c r="AI318" i="1"/>
  <c r="AE350" i="1"/>
  <c r="AM350" i="1"/>
  <c r="AO373" i="1"/>
  <c r="AQ373" i="1"/>
  <c r="AL122" i="1"/>
  <c r="AF122" i="1"/>
  <c r="AH458" i="1"/>
  <c r="AM458" i="1"/>
  <c r="AI323" i="1"/>
  <c r="AM323" i="1"/>
  <c r="AJ323" i="1"/>
  <c r="AP235" i="1"/>
  <c r="AR235" i="1"/>
  <c r="AO267" i="1"/>
  <c r="AE267" i="1"/>
  <c r="AN267" i="1"/>
  <c r="AN299" i="1"/>
  <c r="AQ299" i="1"/>
  <c r="AG331" i="1"/>
  <c r="AP331" i="1"/>
  <c r="AH459" i="1"/>
  <c r="AQ459" i="1"/>
  <c r="AO113" i="1"/>
  <c r="AN113" i="1"/>
  <c r="AR157" i="1"/>
  <c r="AL157" i="1"/>
  <c r="AM189" i="1"/>
  <c r="AR189" i="1"/>
  <c r="AO189" i="1"/>
  <c r="AI189" i="1"/>
  <c r="AH189" i="1"/>
  <c r="AM221" i="1"/>
  <c r="AG221" i="1"/>
  <c r="AI221" i="1"/>
  <c r="AD253" i="1"/>
  <c r="AK253" i="1"/>
  <c r="AO357" i="1"/>
  <c r="AI357" i="1"/>
  <c r="AT357" i="1"/>
  <c r="AN126" i="1"/>
  <c r="AF126" i="1"/>
  <c r="AP126" i="1"/>
  <c r="AP162" i="1"/>
  <c r="AR162" i="1"/>
  <c r="AO162" i="1"/>
  <c r="AE162" i="1"/>
  <c r="AP202" i="1"/>
  <c r="AE202" i="1"/>
  <c r="AK202" i="1"/>
  <c r="AL202" i="1"/>
  <c r="AK234" i="1"/>
  <c r="AP234" i="1"/>
  <c r="AJ234" i="1"/>
  <c r="AM234" i="1"/>
  <c r="AN266" i="1"/>
  <c r="AL266" i="1"/>
  <c r="AE266" i="1"/>
  <c r="AQ298" i="1"/>
  <c r="AP298" i="1"/>
  <c r="AF298" i="1"/>
  <c r="AR298" i="1"/>
  <c r="AJ298" i="1"/>
  <c r="AO330" i="1"/>
  <c r="AP330" i="1"/>
  <c r="AF330" i="1"/>
  <c r="AJ330" i="1"/>
  <c r="AO362" i="1"/>
  <c r="AP362" i="1"/>
  <c r="AT362" i="1"/>
  <c r="AE93" i="1"/>
  <c r="AQ93" i="1"/>
  <c r="AJ481" i="1"/>
  <c r="AP481" i="1"/>
  <c r="AQ481" i="1"/>
  <c r="AL481" i="1"/>
  <c r="AD78" i="1"/>
  <c r="AM78" i="1"/>
  <c r="AQ182" i="1"/>
  <c r="AT182" i="1"/>
  <c r="AS143" i="1"/>
  <c r="AE143" i="1"/>
  <c r="AE175" i="1"/>
  <c r="AK175" i="1"/>
  <c r="AD207" i="1"/>
  <c r="AT207" i="1"/>
  <c r="AJ207" i="1"/>
  <c r="AQ207" i="1"/>
  <c r="AH207" i="1"/>
  <c r="AO271" i="1"/>
  <c r="AE271" i="1"/>
  <c r="AT271" i="1"/>
  <c r="AQ271" i="1"/>
  <c r="AD303" i="1"/>
  <c r="AF303" i="1"/>
  <c r="AN335" i="1"/>
  <c r="AH335" i="1"/>
  <c r="AN463" i="1"/>
  <c r="AJ463" i="1"/>
  <c r="AH463" i="1"/>
  <c r="AI463" i="1"/>
  <c r="AO463" i="1"/>
  <c r="AD162" i="1"/>
  <c r="AO150" i="1"/>
  <c r="AF113" i="1"/>
  <c r="AH93" i="1"/>
  <c r="AJ69" i="1"/>
  <c r="AM69" i="1"/>
  <c r="AQ69" i="1"/>
  <c r="AP125" i="1"/>
  <c r="AQ125" i="1"/>
  <c r="AE125" i="1"/>
  <c r="AG125" i="1"/>
  <c r="AJ125" i="1"/>
  <c r="AI165" i="1"/>
  <c r="AG165" i="1"/>
  <c r="AF165" i="1"/>
  <c r="AR165" i="1"/>
  <c r="AN197" i="1"/>
  <c r="AF197" i="1"/>
  <c r="AT229" i="1"/>
  <c r="AK229" i="1"/>
  <c r="AP229" i="1"/>
  <c r="AJ365" i="1"/>
  <c r="AM365" i="1"/>
  <c r="AO74" i="1"/>
  <c r="AE74" i="1"/>
  <c r="AL134" i="1"/>
  <c r="AE134" i="1"/>
  <c r="AT174" i="1"/>
  <c r="AD174" i="1"/>
  <c r="AO174" i="1"/>
  <c r="AT210" i="1"/>
  <c r="AQ210" i="1"/>
  <c r="AP210" i="1"/>
  <c r="AN210" i="1"/>
  <c r="AN242" i="1"/>
  <c r="AJ242" i="1"/>
  <c r="AE242" i="1"/>
  <c r="AL242" i="1"/>
  <c r="AT242" i="1"/>
  <c r="AF274" i="1"/>
  <c r="AQ274" i="1"/>
  <c r="AD274" i="1"/>
  <c r="AF306" i="1"/>
  <c r="AT306" i="1"/>
  <c r="AJ306" i="1"/>
  <c r="AI306" i="1"/>
  <c r="AO306" i="1"/>
  <c r="AG133" i="1"/>
  <c r="AK133" i="1"/>
  <c r="AR446" i="1"/>
  <c r="AE446" i="1"/>
  <c r="AQ446" i="1"/>
  <c r="AF446" i="1"/>
  <c r="AK87" i="1"/>
  <c r="AE87" i="1"/>
  <c r="AE119" i="1"/>
  <c r="AS119" i="1"/>
  <c r="AE151" i="1"/>
  <c r="AK151" i="1"/>
  <c r="AD183" i="1"/>
  <c r="AG183" i="1"/>
  <c r="AJ183" i="1"/>
  <c r="AF183" i="1"/>
  <c r="AP215" i="1"/>
  <c r="AL215" i="1"/>
  <c r="AE215" i="1"/>
  <c r="AG215" i="1"/>
  <c r="AE247" i="1"/>
  <c r="AG247" i="1"/>
  <c r="AH247" i="1"/>
  <c r="AE279" i="1"/>
  <c r="AG279" i="1"/>
  <c r="AD279" i="1"/>
  <c r="AR279" i="1"/>
  <c r="AF311" i="1"/>
  <c r="AO311" i="1"/>
  <c r="AD311" i="1"/>
  <c r="AL343" i="1"/>
  <c r="AJ343" i="1"/>
  <c r="AO343" i="1"/>
  <c r="AT471" i="1"/>
  <c r="AN471" i="1"/>
  <c r="AR471" i="1"/>
  <c r="AH301" i="1"/>
  <c r="AK301" i="1"/>
  <c r="AO278" i="1"/>
  <c r="AP278" i="1"/>
  <c r="AO310" i="1"/>
  <c r="AL310" i="1"/>
  <c r="AD310" i="1"/>
  <c r="AQ342" i="1"/>
  <c r="AR342" i="1"/>
  <c r="AD257" i="1"/>
  <c r="AS257" i="1"/>
  <c r="AN102" i="1"/>
  <c r="AQ102" i="1"/>
  <c r="AL102" i="1"/>
  <c r="AS102" i="1"/>
  <c r="AE91" i="1"/>
  <c r="AK91" i="1"/>
  <c r="AS155" i="1"/>
  <c r="AE155" i="1"/>
  <c r="AF187" i="1"/>
  <c r="AH187" i="1"/>
  <c r="AR187" i="1"/>
  <c r="AI187" i="1"/>
  <c r="AN187" i="1"/>
  <c r="AL219" i="1"/>
  <c r="AH219" i="1"/>
  <c r="AO219" i="1"/>
  <c r="AR219" i="1"/>
  <c r="AH251" i="1"/>
  <c r="AF251" i="1"/>
  <c r="AN283" i="1"/>
  <c r="AI283" i="1"/>
  <c r="AT283" i="1"/>
  <c r="AT315" i="1"/>
  <c r="AI315" i="1"/>
  <c r="AO315" i="1"/>
  <c r="AD315" i="1"/>
  <c r="AF315" i="1"/>
  <c r="AP315" i="1"/>
  <c r="AS443" i="1"/>
  <c r="AG443" i="1"/>
  <c r="AR443" i="1"/>
  <c r="AT443" i="1"/>
  <c r="AS106" i="1"/>
  <c r="AN56" i="1"/>
  <c r="AO100" i="1"/>
  <c r="AD56" i="1"/>
  <c r="AE100" i="1"/>
  <c r="AG56" i="1"/>
  <c r="AJ100" i="1"/>
  <c r="AP56" i="1"/>
  <c r="AT100" i="1"/>
  <c r="AH56" i="1"/>
  <c r="AS56" i="1"/>
  <c r="AQ228" i="1"/>
  <c r="AO97" i="1"/>
  <c r="AE97" i="1"/>
  <c r="AH97" i="1"/>
  <c r="AL145" i="1"/>
  <c r="AE145" i="1"/>
  <c r="AT177" i="1"/>
  <c r="AK177" i="1"/>
  <c r="AL90" i="1"/>
  <c r="AE90" i="1"/>
  <c r="AS190" i="1"/>
  <c r="AL190" i="1"/>
  <c r="AG222" i="1"/>
  <c r="AL222" i="1"/>
  <c r="AG84" i="1"/>
  <c r="AL84" i="1"/>
  <c r="AO84" i="1"/>
  <c r="AJ84" i="1"/>
  <c r="AF84" i="1"/>
  <c r="AI84" i="1"/>
  <c r="AN84" i="1"/>
  <c r="AT84" i="1"/>
  <c r="AS84" i="1"/>
  <c r="AE84" i="1"/>
  <c r="AQ84" i="1"/>
  <c r="AM84" i="1"/>
  <c r="AH84" i="1"/>
  <c r="AD84" i="1"/>
  <c r="AR21" i="1"/>
  <c r="AL21" i="1"/>
  <c r="AS21" i="1"/>
  <c r="AI21" i="1"/>
  <c r="AQ39" i="1"/>
  <c r="AE39" i="1"/>
  <c r="AT75" i="1"/>
  <c r="AO75" i="1"/>
  <c r="AE75" i="1"/>
  <c r="AL52" i="1"/>
  <c r="AG52" i="1"/>
  <c r="AT52" i="1"/>
  <c r="AO52" i="1"/>
  <c r="AJ52" i="1"/>
  <c r="AN52" i="1"/>
  <c r="AR52" i="1"/>
  <c r="AM52" i="1"/>
  <c r="AI52" i="1"/>
  <c r="AF52" i="1"/>
  <c r="AR33" i="1"/>
  <c r="AF33" i="1"/>
  <c r="AJ33" i="1"/>
  <c r="AD22" i="1"/>
  <c r="AF22" i="1"/>
  <c r="AH22" i="1"/>
  <c r="AK309" i="1"/>
  <c r="AS350" i="1"/>
  <c r="AK345" i="1"/>
  <c r="AG345" i="1"/>
  <c r="AH286" i="1"/>
  <c r="AR286" i="1"/>
  <c r="AT326" i="1"/>
  <c r="AD286" i="1"/>
  <c r="AQ286" i="1"/>
  <c r="AR318" i="1"/>
  <c r="AQ318" i="1"/>
  <c r="AM241" i="1"/>
  <c r="AI235" i="1"/>
  <c r="AO222" i="1"/>
  <c r="AE107" i="1"/>
  <c r="AN222" i="1"/>
  <c r="AP150" i="1"/>
  <c r="AK97" i="1"/>
  <c r="AG122" i="1"/>
  <c r="AJ97" i="1"/>
  <c r="AK161" i="1"/>
  <c r="AR90" i="1"/>
  <c r="AT190" i="1"/>
  <c r="AD165" i="1"/>
  <c r="AL161" i="1"/>
  <c r="AP145" i="1"/>
  <c r="AF125" i="1"/>
  <c r="AI97" i="1"/>
  <c r="AJ350" i="1"/>
  <c r="AO541" i="1"/>
  <c r="AG533" i="1"/>
  <c r="AL491" i="1"/>
  <c r="AQ522" i="1"/>
  <c r="AF501" i="1"/>
  <c r="AK426" i="1"/>
  <c r="AP445" i="1"/>
  <c r="AF469" i="1"/>
  <c r="AQ469" i="1"/>
  <c r="AG405" i="1"/>
  <c r="AT477" i="1"/>
  <c r="AD458" i="1"/>
  <c r="AK405" i="1"/>
  <c r="AT459" i="1"/>
  <c r="AF459" i="1"/>
  <c r="AF373" i="1"/>
  <c r="AK350" i="1"/>
  <c r="AP277" i="1"/>
  <c r="AS345" i="1"/>
  <c r="AH345" i="1"/>
  <c r="AD299" i="1"/>
  <c r="AD291" i="1"/>
  <c r="AI331" i="1"/>
  <c r="AJ331" i="1"/>
  <c r="AD267" i="1"/>
  <c r="AN323" i="1"/>
  <c r="AD235" i="1"/>
  <c r="AT318" i="1"/>
  <c r="AN318" i="1"/>
  <c r="AM254" i="1"/>
  <c r="AL241" i="1"/>
  <c r="AI222" i="1"/>
  <c r="AL150" i="1"/>
  <c r="AI90" i="1"/>
  <c r="AR122" i="1"/>
  <c r="AK145" i="1"/>
  <c r="AT90" i="1"/>
  <c r="AG190" i="1"/>
  <c r="AL177" i="1"/>
  <c r="AJ145" i="1"/>
  <c r="AI206" i="1"/>
  <c r="AJ66" i="1"/>
  <c r="AG66" i="1"/>
  <c r="AM162" i="1"/>
  <c r="AL162" i="1"/>
  <c r="AD202" i="1"/>
  <c r="AS202" i="1"/>
  <c r="AS93" i="1"/>
  <c r="AK93" i="1"/>
  <c r="AL182" i="1"/>
  <c r="AG182" i="1"/>
  <c r="AK111" i="1"/>
  <c r="AE111" i="1"/>
  <c r="AL345" i="1"/>
  <c r="AF318" i="1"/>
  <c r="AS145" i="1"/>
  <c r="AE190" i="1"/>
  <c r="AF523" i="1"/>
  <c r="AS523" i="1"/>
  <c r="AN533" i="1"/>
  <c r="AO533" i="1"/>
  <c r="AF491" i="1"/>
  <c r="AE522" i="1"/>
  <c r="AH501" i="1"/>
  <c r="AS501" i="1"/>
  <c r="AO501" i="1"/>
  <c r="AL437" i="1"/>
  <c r="AK434" i="1"/>
  <c r="AR469" i="1"/>
  <c r="AK459" i="1"/>
  <c r="AN458" i="1"/>
  <c r="AR363" i="1"/>
  <c r="AJ459" i="1"/>
  <c r="AN459" i="1"/>
  <c r="AN373" i="1"/>
  <c r="AD350" i="1"/>
  <c r="AT345" i="1"/>
  <c r="AR345" i="1"/>
  <c r="AL299" i="1"/>
  <c r="AK331" i="1"/>
  <c r="AR331" i="1"/>
  <c r="AL267" i="1"/>
  <c r="AL235" i="1"/>
  <c r="AE318" i="1"/>
  <c r="AG318" i="1"/>
  <c r="AI254" i="1"/>
  <c r="AT241" i="1"/>
  <c r="AK235" i="1"/>
  <c r="AN209" i="1"/>
  <c r="AL217" i="1"/>
  <c r="AK259" i="1"/>
  <c r="AK222" i="1"/>
  <c r="AS222" i="1"/>
  <c r="AT150" i="1"/>
  <c r="AM145" i="1"/>
  <c r="AD122" i="1"/>
  <c r="AM90" i="1"/>
  <c r="AQ190" i="1"/>
  <c r="AG177" i="1"/>
  <c r="AS193" i="1"/>
  <c r="AI193" i="1"/>
  <c r="AL225" i="1"/>
  <c r="AO225" i="1"/>
  <c r="AD70" i="1"/>
  <c r="AL70" i="1"/>
  <c r="AM70" i="1"/>
  <c r="AH243" i="1"/>
  <c r="AS243" i="1"/>
  <c r="AD52" i="1"/>
  <c r="AD318" i="1"/>
  <c r="AP222" i="1"/>
  <c r="AJ150" i="1"/>
  <c r="AO122" i="1"/>
  <c r="AD90" i="1"/>
  <c r="AI145" i="1"/>
  <c r="AJ533" i="1"/>
  <c r="AM522" i="1"/>
  <c r="AO490" i="1"/>
  <c r="AN490" i="1"/>
  <c r="AD501" i="1"/>
  <c r="AG501" i="1"/>
  <c r="AJ437" i="1"/>
  <c r="AM477" i="1"/>
  <c r="AH469" i="1"/>
  <c r="AE458" i="1"/>
  <c r="AI459" i="1"/>
  <c r="AG458" i="1"/>
  <c r="AJ363" i="1"/>
  <c r="AD459" i="1"/>
  <c r="AG373" i="1"/>
  <c r="AL350" i="1"/>
  <c r="AD345" i="1"/>
  <c r="AF345" i="1"/>
  <c r="AD331" i="1"/>
  <c r="AT299" i="1"/>
  <c r="AL331" i="1"/>
  <c r="AH323" i="1"/>
  <c r="AT267" i="1"/>
  <c r="AM286" i="1"/>
  <c r="AH235" i="1"/>
  <c r="AJ318" i="1"/>
  <c r="AO318" i="1"/>
  <c r="AQ254" i="1"/>
  <c r="AF209" i="1"/>
  <c r="AR222" i="1"/>
  <c r="AE150" i="1"/>
  <c r="AT122" i="1"/>
  <c r="AG90" i="1"/>
  <c r="AH190" i="1"/>
  <c r="AP177" i="1"/>
  <c r="AD229" i="1"/>
  <c r="AJ229" i="1"/>
  <c r="AR134" i="1"/>
  <c r="AP134" i="1"/>
  <c r="AQ134" i="1"/>
  <c r="AG174" i="1"/>
  <c r="AN174" i="1"/>
  <c r="AD425" i="1"/>
  <c r="AH425" i="1"/>
  <c r="AP52" i="1"/>
  <c r="AE177" i="1"/>
  <c r="AQ533" i="1"/>
  <c r="AR533" i="1"/>
  <c r="AD530" i="1"/>
  <c r="AH522" i="1"/>
  <c r="AE490" i="1"/>
  <c r="AJ490" i="1"/>
  <c r="AR498" i="1"/>
  <c r="AP501" i="1"/>
  <c r="AR437" i="1"/>
  <c r="AL477" i="1"/>
  <c r="AJ469" i="1"/>
  <c r="AF458" i="1"/>
  <c r="AO458" i="1"/>
  <c r="AP459" i="1"/>
  <c r="AG350" i="1"/>
  <c r="AH350" i="1"/>
  <c r="AT350" i="1"/>
  <c r="AE466" i="1"/>
  <c r="AM345" i="1"/>
  <c r="AN345" i="1"/>
  <c r="AF299" i="1"/>
  <c r="AM331" i="1"/>
  <c r="AG267" i="1"/>
  <c r="AF286" i="1"/>
  <c r="AK318" i="1"/>
  <c r="AH318" i="1"/>
  <c r="AJ254" i="1"/>
  <c r="AF222" i="1"/>
  <c r="AM150" i="1"/>
  <c r="AE122" i="1"/>
  <c r="AR190" i="1"/>
  <c r="AI177" i="1"/>
  <c r="AD145" i="1"/>
  <c r="AG178" i="1"/>
  <c r="AO178" i="1"/>
  <c r="AF102" i="1"/>
  <c r="AJ102" i="1"/>
  <c r="AH52" i="1"/>
  <c r="AR84" i="1"/>
  <c r="AQ345" i="1"/>
  <c r="AG286" i="1"/>
  <c r="AN190" i="1"/>
  <c r="AQ97" i="1"/>
  <c r="AJ522" i="1"/>
  <c r="AS522" i="1"/>
  <c r="AL501" i="1"/>
  <c r="AL459" i="1"/>
  <c r="AT458" i="1"/>
  <c r="AR350" i="1"/>
  <c r="AM466" i="1"/>
  <c r="AE345" i="1"/>
  <c r="AO345" i="1"/>
  <c r="AH209" i="1"/>
  <c r="AL318" i="1"/>
  <c r="AP318" i="1"/>
  <c r="AM222" i="1"/>
  <c r="AN150" i="1"/>
  <c r="AS177" i="1"/>
  <c r="AH122" i="1"/>
  <c r="AM122" i="1"/>
  <c r="AJ190" i="1"/>
  <c r="AQ177" i="1"/>
  <c r="AF145" i="1"/>
  <c r="AD97" i="1"/>
  <c r="AG173" i="1"/>
  <c r="AN173" i="1"/>
  <c r="AN118" i="1"/>
  <c r="AG118" i="1"/>
  <c r="AQ52" i="1"/>
  <c r="AP84" i="1"/>
  <c r="AP188" i="1"/>
  <c r="AE188" i="1"/>
  <c r="AS256" i="1"/>
  <c r="AL256" i="1"/>
  <c r="AE56" i="1"/>
  <c r="AQ56" i="1"/>
  <c r="AF100" i="1"/>
  <c r="AL100" i="1"/>
  <c r="AF43" i="1"/>
  <c r="AL56" i="1"/>
  <c r="AI56" i="1"/>
  <c r="AI60" i="1"/>
  <c r="AG100" i="1"/>
  <c r="AD100" i="1"/>
  <c r="AM56" i="1"/>
  <c r="AR56" i="1"/>
  <c r="AR60" i="1"/>
  <c r="AH76" i="1"/>
  <c r="AH100" i="1"/>
  <c r="AM100" i="1"/>
  <c r="AI106" i="1"/>
  <c r="AF56" i="1"/>
  <c r="AJ56" i="1"/>
  <c r="AQ100" i="1"/>
  <c r="AS100" i="1"/>
  <c r="AK106" i="1"/>
  <c r="AO56" i="1"/>
  <c r="AE76" i="1"/>
  <c r="AI100" i="1"/>
  <c r="AI108" i="1"/>
  <c r="AP106" i="1"/>
  <c r="AQ47" i="1"/>
  <c r="AN100" i="1"/>
  <c r="AD108" i="1"/>
  <c r="AT47" i="1"/>
  <c r="AG326" i="1"/>
  <c r="AN185" i="1"/>
  <c r="AQ185" i="1"/>
  <c r="AS109" i="1"/>
  <c r="AP109" i="1"/>
  <c r="AD109" i="1"/>
  <c r="AJ109" i="1"/>
  <c r="AG109" i="1"/>
  <c r="AN109" i="1"/>
  <c r="AE109" i="1"/>
  <c r="AF109" i="1"/>
  <c r="AM109" i="1"/>
  <c r="AT109" i="1"/>
  <c r="AR109" i="1"/>
  <c r="AQ109" i="1"/>
  <c r="AL109" i="1"/>
  <c r="AI109" i="1"/>
  <c r="AH109" i="1"/>
  <c r="AF185" i="1"/>
  <c r="AM185" i="1"/>
  <c r="AE185" i="1"/>
  <c r="AH185" i="1"/>
  <c r="AD217" i="1"/>
  <c r="AM217" i="1"/>
  <c r="AH217" i="1"/>
  <c r="AQ217" i="1"/>
  <c r="AF217" i="1"/>
  <c r="AT217" i="1"/>
  <c r="AH285" i="1"/>
  <c r="AP285" i="1"/>
  <c r="AK285" i="1"/>
  <c r="AH317" i="1"/>
  <c r="AP317" i="1"/>
  <c r="AK317" i="1"/>
  <c r="AT353" i="1"/>
  <c r="AP353" i="1"/>
  <c r="AJ353" i="1"/>
  <c r="AM353" i="1"/>
  <c r="AS353" i="1"/>
  <c r="AL353" i="1"/>
  <c r="AI353" i="1"/>
  <c r="AK353" i="1"/>
  <c r="AO353" i="1"/>
  <c r="AR353" i="1"/>
  <c r="AD353" i="1"/>
  <c r="AN353" i="1"/>
  <c r="AQ353" i="1"/>
  <c r="AD62" i="1"/>
  <c r="AM62" i="1"/>
  <c r="AO62" i="1"/>
  <c r="AG62" i="1"/>
  <c r="AL114" i="1"/>
  <c r="AO114" i="1"/>
  <c r="AR114" i="1"/>
  <c r="AG114" i="1"/>
  <c r="AJ114" i="1"/>
  <c r="AN114" i="1"/>
  <c r="AF114" i="1"/>
  <c r="AM114" i="1"/>
  <c r="AE114" i="1"/>
  <c r="AT114" i="1"/>
  <c r="AH114" i="1"/>
  <c r="AO158" i="1"/>
  <c r="AD158" i="1"/>
  <c r="AM158" i="1"/>
  <c r="AE158" i="1"/>
  <c r="AT158" i="1"/>
  <c r="AP158" i="1"/>
  <c r="AL158" i="1"/>
  <c r="AH158" i="1"/>
  <c r="AR158" i="1"/>
  <c r="AJ158" i="1"/>
  <c r="AG158" i="1"/>
  <c r="AN158" i="1"/>
  <c r="AL198" i="1"/>
  <c r="AD198" i="1"/>
  <c r="AQ198" i="1"/>
  <c r="AG198" i="1"/>
  <c r="AI198" i="1"/>
  <c r="AS198" i="1"/>
  <c r="AP198" i="1"/>
  <c r="AF198" i="1"/>
  <c r="AR230" i="1"/>
  <c r="AJ230" i="1"/>
  <c r="AI230" i="1"/>
  <c r="AL230" i="1"/>
  <c r="AR262" i="1"/>
  <c r="AJ262" i="1"/>
  <c r="AQ262" i="1"/>
  <c r="AI262" i="1"/>
  <c r="AM262" i="1"/>
  <c r="AO262" i="1"/>
  <c r="AI294" i="1"/>
  <c r="AP294" i="1"/>
  <c r="AG294" i="1"/>
  <c r="AH294" i="1"/>
  <c r="AT294" i="1"/>
  <c r="AJ294" i="1"/>
  <c r="AN294" i="1"/>
  <c r="AD294" i="1"/>
  <c r="AF294" i="1"/>
  <c r="AR294" i="1"/>
  <c r="AJ326" i="1"/>
  <c r="AD326" i="1"/>
  <c r="AE326" i="1"/>
  <c r="AK326" i="1"/>
  <c r="AI326" i="1"/>
  <c r="AS326" i="1"/>
  <c r="AN326" i="1"/>
  <c r="AH326" i="1"/>
  <c r="AQ326" i="1"/>
  <c r="AL326" i="1"/>
  <c r="AP326" i="1"/>
  <c r="AO358" i="1"/>
  <c r="AM358" i="1"/>
  <c r="AE358" i="1"/>
  <c r="AL358" i="1"/>
  <c r="AK381" i="1"/>
  <c r="AO381" i="1"/>
  <c r="AG381" i="1"/>
  <c r="AL381" i="1"/>
  <c r="AK413" i="1"/>
  <c r="AO413" i="1"/>
  <c r="AG413" i="1"/>
  <c r="AL413" i="1"/>
  <c r="AE445" i="1"/>
  <c r="AR445" i="1"/>
  <c r="AQ445" i="1"/>
  <c r="AJ445" i="1"/>
  <c r="AS445" i="1"/>
  <c r="AI445" i="1"/>
  <c r="AG445" i="1"/>
  <c r="AK477" i="1"/>
  <c r="AD477" i="1"/>
  <c r="AS477" i="1"/>
  <c r="AO477" i="1"/>
  <c r="AJ477" i="1"/>
  <c r="AH477" i="1"/>
  <c r="AR477" i="1"/>
  <c r="AI477" i="1"/>
  <c r="AG477" i="1"/>
  <c r="AK509" i="1"/>
  <c r="AS509" i="1"/>
  <c r="AO509" i="1"/>
  <c r="AQ509" i="1"/>
  <c r="AR509" i="1"/>
  <c r="AF509" i="1"/>
  <c r="AJ509" i="1"/>
  <c r="AT509" i="1"/>
  <c r="AD509" i="1"/>
  <c r="AP541" i="1"/>
  <c r="AI541" i="1"/>
  <c r="AH541" i="1"/>
  <c r="AT541" i="1"/>
  <c r="AF541" i="1"/>
  <c r="AJ541" i="1"/>
  <c r="AS541" i="1"/>
  <c r="AR541" i="1"/>
  <c r="AK541" i="1"/>
  <c r="AG541" i="1"/>
  <c r="AE170" i="1"/>
  <c r="AT170" i="1"/>
  <c r="AL170" i="1"/>
  <c r="AP170" i="1"/>
  <c r="AR170" i="1"/>
  <c r="AH170" i="1"/>
  <c r="AJ170" i="1"/>
  <c r="AG170" i="1"/>
  <c r="AN170" i="1"/>
  <c r="AF170" i="1"/>
  <c r="AK402" i="1"/>
  <c r="AM402" i="1"/>
  <c r="AE402" i="1"/>
  <c r="AL402" i="1"/>
  <c r="AP434" i="1"/>
  <c r="AR434" i="1"/>
  <c r="AH434" i="1"/>
  <c r="AO434" i="1"/>
  <c r="AF434" i="1"/>
  <c r="AN434" i="1"/>
  <c r="AM434" i="1"/>
  <c r="AT434" i="1"/>
  <c r="AG466" i="1"/>
  <c r="AH466" i="1"/>
  <c r="AT466" i="1"/>
  <c r="AD466" i="1"/>
  <c r="AK466" i="1"/>
  <c r="AP466" i="1"/>
  <c r="AS466" i="1"/>
  <c r="AQ466" i="1"/>
  <c r="AJ466" i="1"/>
  <c r="AN466" i="1"/>
  <c r="AR466" i="1"/>
  <c r="AL466" i="1"/>
  <c r="AO498" i="1"/>
  <c r="AI498" i="1"/>
  <c r="AF498" i="1"/>
  <c r="AN498" i="1"/>
  <c r="AE498" i="1"/>
  <c r="AJ498" i="1"/>
  <c r="AM498" i="1"/>
  <c r="AP498" i="1"/>
  <c r="AP530" i="1"/>
  <c r="AR530" i="1"/>
  <c r="AH530" i="1"/>
  <c r="AM530" i="1"/>
  <c r="AE530" i="1"/>
  <c r="AS530" i="1"/>
  <c r="AO530" i="1"/>
  <c r="AS163" i="1"/>
  <c r="AE163" i="1"/>
  <c r="AT195" i="1"/>
  <c r="AL195" i="1"/>
  <c r="AD195" i="1"/>
  <c r="AE195" i="1"/>
  <c r="AJ195" i="1"/>
  <c r="AO195" i="1"/>
  <c r="AQ195" i="1"/>
  <c r="AO227" i="1"/>
  <c r="AF227" i="1"/>
  <c r="AN227" i="1"/>
  <c r="AP227" i="1"/>
  <c r="AE227" i="1"/>
  <c r="AH227" i="1"/>
  <c r="AR227" i="1"/>
  <c r="AJ227" i="1"/>
  <c r="AM227" i="1"/>
  <c r="AF259" i="1"/>
  <c r="AH259" i="1"/>
  <c r="AT259" i="1"/>
  <c r="AO259" i="1"/>
  <c r="AG259" i="1"/>
  <c r="AS259" i="1"/>
  <c r="AN259" i="1"/>
  <c r="AQ291" i="1"/>
  <c r="AO291" i="1"/>
  <c r="AG291" i="1"/>
  <c r="AN291" i="1"/>
  <c r="AF291" i="1"/>
  <c r="AL291" i="1"/>
  <c r="AE323" i="1"/>
  <c r="AQ323" i="1"/>
  <c r="AT323" i="1"/>
  <c r="AP323" i="1"/>
  <c r="AL323" i="1"/>
  <c r="AO323" i="1"/>
  <c r="AD323" i="1"/>
  <c r="AG323" i="1"/>
  <c r="AS323" i="1"/>
  <c r="AF323" i="1"/>
  <c r="AJ355" i="1"/>
  <c r="AR355" i="1"/>
  <c r="AK355" i="1"/>
  <c r="AD451" i="1"/>
  <c r="AL451" i="1"/>
  <c r="AT451" i="1"/>
  <c r="AP451" i="1"/>
  <c r="AJ451" i="1"/>
  <c r="AH451" i="1"/>
  <c r="AS451" i="1"/>
  <c r="AF451" i="1"/>
  <c r="AO483" i="1"/>
  <c r="AE483" i="1"/>
  <c r="AN483" i="1"/>
  <c r="AD483" i="1"/>
  <c r="AR483" i="1"/>
  <c r="AK483" i="1"/>
  <c r="AQ483" i="1"/>
  <c r="AK515" i="1"/>
  <c r="AS515" i="1"/>
  <c r="AL249" i="1"/>
  <c r="AD249" i="1"/>
  <c r="AM249" i="1"/>
  <c r="AF249" i="1"/>
  <c r="AO249" i="1"/>
  <c r="AQ249" i="1"/>
  <c r="AF158" i="1"/>
  <c r="AQ541" i="1"/>
  <c r="AE353" i="1"/>
  <c r="AT249" i="1"/>
  <c r="AT198" i="1"/>
  <c r="AG227" i="1"/>
  <c r="AP153" i="1"/>
  <c r="AD153" i="1"/>
  <c r="AH153" i="1"/>
  <c r="AO153" i="1"/>
  <c r="AG153" i="1"/>
  <c r="AN153" i="1"/>
  <c r="AK153" i="1"/>
  <c r="AM153" i="1"/>
  <c r="AS153" i="1"/>
  <c r="AR153" i="1"/>
  <c r="AF153" i="1"/>
  <c r="AJ153" i="1"/>
  <c r="AT153" i="1"/>
  <c r="AE153" i="1"/>
  <c r="AQ153" i="1"/>
  <c r="AL153" i="1"/>
  <c r="AF89" i="1"/>
  <c r="AG89" i="1"/>
  <c r="AJ89" i="1"/>
  <c r="AI89" i="1"/>
  <c r="AO89" i="1"/>
  <c r="AN89" i="1"/>
  <c r="AM89" i="1"/>
  <c r="AT89" i="1"/>
  <c r="AH89" i="1"/>
  <c r="AL89" i="1"/>
  <c r="AS89" i="1"/>
  <c r="AE509" i="1"/>
  <c r="AN445" i="1"/>
  <c r="AE477" i="1"/>
  <c r="AD358" i="1"/>
  <c r="AH353" i="1"/>
  <c r="AO294" i="1"/>
  <c r="AE262" i="1"/>
  <c r="AE99" i="1"/>
  <c r="AN198" i="1"/>
  <c r="AS131" i="1"/>
  <c r="AI227" i="1"/>
  <c r="AD114" i="1"/>
  <c r="AL62" i="1"/>
  <c r="AO109" i="1"/>
  <c r="AJ358" i="1"/>
  <c r="AF353" i="1"/>
  <c r="AF326" i="1"/>
  <c r="AQ294" i="1"/>
  <c r="AN195" i="1"/>
  <c r="AT227" i="1"/>
  <c r="AM170" i="1"/>
  <c r="AK109" i="1"/>
  <c r="AT366" i="1"/>
  <c r="AT361" i="1"/>
  <c r="AS261" i="1"/>
  <c r="AK334" i="1"/>
  <c r="AP334" i="1"/>
  <c r="AJ334" i="1"/>
  <c r="AI302" i="1"/>
  <c r="AF225" i="1"/>
  <c r="AH130" i="1"/>
  <c r="AF121" i="1"/>
  <c r="AM53" i="1"/>
  <c r="AJ130" i="1"/>
  <c r="AG70" i="1"/>
  <c r="AR193" i="1"/>
  <c r="AP193" i="1"/>
  <c r="AQ113" i="1"/>
  <c r="AL113" i="1"/>
  <c r="AJ157" i="1"/>
  <c r="AF157" i="1"/>
  <c r="AT126" i="1"/>
  <c r="AG126" i="1"/>
  <c r="AI126" i="1"/>
  <c r="AG93" i="1"/>
  <c r="AM93" i="1"/>
  <c r="AO161" i="1"/>
  <c r="AG161" i="1"/>
  <c r="AS161" i="1"/>
  <c r="AO166" i="1"/>
  <c r="AR166" i="1"/>
  <c r="AN206" i="1"/>
  <c r="AP206" i="1"/>
  <c r="AF24" i="1"/>
  <c r="AR24" i="1"/>
  <c r="AT116" i="1"/>
  <c r="AO116" i="1"/>
  <c r="AJ116" i="1"/>
  <c r="AF116" i="1"/>
  <c r="AR116" i="1"/>
  <c r="AM116" i="1"/>
  <c r="AI116" i="1"/>
  <c r="AD116" i="1"/>
  <c r="AQ116" i="1"/>
  <c r="AE116" i="1"/>
  <c r="AP116" i="1"/>
  <c r="AL116" i="1"/>
  <c r="AS116" i="1"/>
  <c r="AG116" i="1"/>
  <c r="AO23" i="1"/>
  <c r="AI23" i="1"/>
  <c r="AL23" i="1"/>
  <c r="AG23" i="1"/>
  <c r="AN23" i="1"/>
  <c r="AQ23" i="1"/>
  <c r="AG59" i="1"/>
  <c r="AQ59" i="1"/>
  <c r="AL59" i="1"/>
  <c r="AL32" i="1"/>
  <c r="AP32" i="1"/>
  <c r="AP68" i="1"/>
  <c r="AL68" i="1"/>
  <c r="AG68" i="1"/>
  <c r="AQ68" i="1"/>
  <c r="AO68" i="1"/>
  <c r="AJ68" i="1"/>
  <c r="AF68" i="1"/>
  <c r="AI68" i="1"/>
  <c r="AN68" i="1"/>
  <c r="AH68" i="1"/>
  <c r="AM68" i="1"/>
  <c r="AR68" i="1"/>
  <c r="AS68" i="1"/>
  <c r="AD68" i="1"/>
  <c r="AK61" i="1"/>
  <c r="AR61" i="1"/>
  <c r="AJ61" i="1"/>
  <c r="AJ38" i="1"/>
  <c r="AE38" i="1"/>
  <c r="AM366" i="1"/>
  <c r="AL361" i="1"/>
  <c r="AP361" i="1"/>
  <c r="AH361" i="1"/>
  <c r="AP325" i="1"/>
  <c r="AH293" i="1"/>
  <c r="AJ302" i="1"/>
  <c r="AF270" i="1"/>
  <c r="AS334" i="1"/>
  <c r="AD334" i="1"/>
  <c r="AP225" i="1"/>
  <c r="AM225" i="1"/>
  <c r="AK225" i="1"/>
  <c r="AH225" i="1"/>
  <c r="AF166" i="1"/>
  <c r="AH121" i="1"/>
  <c r="AL130" i="1"/>
  <c r="AL53" i="1"/>
  <c r="AT193" i="1"/>
  <c r="AK157" i="1"/>
  <c r="AD177" i="1"/>
  <c r="AJ177" i="1"/>
  <c r="AH161" i="1"/>
  <c r="AO157" i="1"/>
  <c r="AQ145" i="1"/>
  <c r="AS97" i="1"/>
  <c r="AD93" i="1"/>
  <c r="AJ126" i="1"/>
  <c r="AD102" i="1"/>
  <c r="AO125" i="1"/>
  <c r="AN125" i="1"/>
  <c r="AQ165" i="1"/>
  <c r="AP165" i="1"/>
  <c r="AK165" i="1"/>
  <c r="AM134" i="1"/>
  <c r="AO134" i="1"/>
  <c r="AS134" i="1"/>
  <c r="AJ24" i="1"/>
  <c r="AF32" i="1"/>
  <c r="AE32" i="1"/>
  <c r="AF361" i="1"/>
  <c r="AQ361" i="1"/>
  <c r="AH325" i="1"/>
  <c r="AN270" i="1"/>
  <c r="AO334" i="1"/>
  <c r="AG334" i="1"/>
  <c r="AL334" i="1"/>
  <c r="AO302" i="1"/>
  <c r="AL238" i="1"/>
  <c r="AQ225" i="1"/>
  <c r="AN166" i="1"/>
  <c r="AP121" i="1"/>
  <c r="AE130" i="1"/>
  <c r="AI53" i="1"/>
  <c r="AK193" i="1"/>
  <c r="AP161" i="1"/>
  <c r="AH157" i="1"/>
  <c r="AL93" i="1"/>
  <c r="AR126" i="1"/>
  <c r="AN361" i="1"/>
  <c r="AM361" i="1"/>
  <c r="AK302" i="1"/>
  <c r="AI270" i="1"/>
  <c r="AL261" i="1"/>
  <c r="AH334" i="1"/>
  <c r="AT334" i="1"/>
  <c r="AF302" i="1"/>
  <c r="AJ238" i="1"/>
  <c r="AJ225" i="1"/>
  <c r="AG166" i="1"/>
  <c r="AI121" i="1"/>
  <c r="AM130" i="1"/>
  <c r="AO193" i="1"/>
  <c r="AL193" i="1"/>
  <c r="AI161" i="1"/>
  <c r="AP157" i="1"/>
  <c r="AL97" i="1"/>
  <c r="AF93" i="1"/>
  <c r="AD126" i="1"/>
  <c r="AE102" i="1"/>
  <c r="AE206" i="1"/>
  <c r="AN24" i="1"/>
  <c r="AM24" i="1"/>
  <c r="AG32" i="1"/>
  <c r="AS32" i="1"/>
  <c r="AQ366" i="1"/>
  <c r="AO366" i="1"/>
  <c r="AI361" i="1"/>
  <c r="AG361" i="1"/>
  <c r="AM334" i="1"/>
  <c r="AN302" i="1"/>
  <c r="AD225" i="1"/>
  <c r="AJ166" i="1"/>
  <c r="AH166" i="1"/>
  <c r="AD121" i="1"/>
  <c r="AQ121" i="1"/>
  <c r="AM193" i="1"/>
  <c r="AF130" i="1"/>
  <c r="AE193" i="1"/>
  <c r="AF193" i="1"/>
  <c r="AJ53" i="1"/>
  <c r="AJ161" i="1"/>
  <c r="AI157" i="1"/>
  <c r="AL126" i="1"/>
  <c r="AR206" i="1"/>
  <c r="AO145" i="1"/>
  <c r="AR145" i="1"/>
  <c r="AT145" i="1"/>
  <c r="AO177" i="1"/>
  <c r="AN177" i="1"/>
  <c r="AH150" i="1"/>
  <c r="AD150" i="1"/>
  <c r="AK190" i="1"/>
  <c r="AO190" i="1"/>
  <c r="AN122" i="1"/>
  <c r="AJ122" i="1"/>
  <c r="AN116" i="1"/>
  <c r="AG366" i="1"/>
  <c r="AS361" i="1"/>
  <c r="AO361" i="1"/>
  <c r="AT302" i="1"/>
  <c r="AR302" i="1"/>
  <c r="AI334" i="1"/>
  <c r="AE225" i="1"/>
  <c r="AD166" i="1"/>
  <c r="AP166" i="1"/>
  <c r="AL121" i="1"/>
  <c r="AN130" i="1"/>
  <c r="AQ193" i="1"/>
  <c r="AN193" i="1"/>
  <c r="AH177" i="1"/>
  <c r="AD161" i="1"/>
  <c r="AR161" i="1"/>
  <c r="AQ157" i="1"/>
  <c r="AN145" i="1"/>
  <c r="AF97" i="1"/>
  <c r="AO93" i="1"/>
  <c r="AM126" i="1"/>
  <c r="AM206" i="1"/>
  <c r="AO101" i="1"/>
  <c r="AM101" i="1"/>
  <c r="AG149" i="1"/>
  <c r="AM149" i="1"/>
  <c r="AN110" i="1"/>
  <c r="AP110" i="1"/>
  <c r="AO24" i="1"/>
  <c r="AJ32" i="1"/>
  <c r="AH116" i="1"/>
  <c r="AF60" i="1"/>
  <c r="AS60" i="1"/>
  <c r="AH108" i="1"/>
  <c r="AM108" i="1"/>
  <c r="AH47" i="1"/>
  <c r="AJ60" i="1"/>
  <c r="AG60" i="1"/>
  <c r="AJ108" i="1"/>
  <c r="AN108" i="1"/>
  <c r="AO47" i="1"/>
  <c r="AK47" i="1"/>
  <c r="AL60" i="1"/>
  <c r="AP60" i="1"/>
  <c r="AQ108" i="1"/>
  <c r="AF108" i="1"/>
  <c r="AP47" i="1"/>
  <c r="AS47" i="1"/>
  <c r="AL228" i="1"/>
  <c r="AT60" i="1"/>
  <c r="AH60" i="1"/>
  <c r="AT108" i="1"/>
  <c r="AO108" i="1"/>
  <c r="AF47" i="1"/>
  <c r="AD60" i="1"/>
  <c r="AR108" i="1"/>
  <c r="AG108" i="1"/>
  <c r="AR47" i="1"/>
  <c r="AL108" i="1"/>
  <c r="AM233" i="1"/>
  <c r="AD233" i="1"/>
  <c r="AJ178" i="1"/>
  <c r="AG369" i="1"/>
  <c r="AR178" i="1"/>
  <c r="AD137" i="1"/>
  <c r="AL138" i="1"/>
  <c r="AR246" i="1"/>
  <c r="AD214" i="1"/>
  <c r="AL214" i="1"/>
  <c r="AH178" i="1"/>
  <c r="AS169" i="1"/>
  <c r="AI137" i="1"/>
  <c r="AM82" i="1"/>
  <c r="AI169" i="1"/>
  <c r="AF333" i="1"/>
  <c r="AK333" i="1"/>
  <c r="AN246" i="1"/>
  <c r="AK246" i="1"/>
  <c r="AN214" i="1"/>
  <c r="AL169" i="1"/>
  <c r="AQ169" i="1"/>
  <c r="AL77" i="1"/>
  <c r="AT77" i="1"/>
  <c r="AR77" i="1"/>
  <c r="AP77" i="1"/>
  <c r="AN77" i="1"/>
  <c r="AJ77" i="1"/>
  <c r="AE77" i="1"/>
  <c r="AD77" i="1"/>
  <c r="AF77" i="1"/>
  <c r="AS77" i="1"/>
  <c r="AI77" i="1"/>
  <c r="AI141" i="1"/>
  <c r="AL141" i="1"/>
  <c r="AM141" i="1"/>
  <c r="AI173" i="1"/>
  <c r="AL173" i="1"/>
  <c r="AM173" i="1"/>
  <c r="AP205" i="1"/>
  <c r="AI205" i="1"/>
  <c r="AT205" i="1"/>
  <c r="AG205" i="1"/>
  <c r="AR205" i="1"/>
  <c r="AE205" i="1"/>
  <c r="AQ205" i="1"/>
  <c r="AD205" i="1"/>
  <c r="AO205" i="1"/>
  <c r="AM205" i="1"/>
  <c r="AL205" i="1"/>
  <c r="AJ205" i="1"/>
  <c r="AK237" i="1"/>
  <c r="AP237" i="1"/>
  <c r="AO237" i="1"/>
  <c r="AJ237" i="1"/>
  <c r="AG237" i="1"/>
  <c r="AF237" i="1"/>
  <c r="AS237" i="1"/>
  <c r="AH237" i="1"/>
  <c r="AS273" i="1"/>
  <c r="AT273" i="1"/>
  <c r="AI273" i="1"/>
  <c r="AR273" i="1"/>
  <c r="AG273" i="1"/>
  <c r="AQ273" i="1"/>
  <c r="AF273" i="1"/>
  <c r="AO273" i="1"/>
  <c r="AE273" i="1"/>
  <c r="AN273" i="1"/>
  <c r="AD273" i="1"/>
  <c r="AM273" i="1"/>
  <c r="AL273" i="1"/>
  <c r="AJ273" i="1"/>
  <c r="AS305" i="1"/>
  <c r="AN305" i="1"/>
  <c r="AD305" i="1"/>
  <c r="AM305" i="1"/>
  <c r="AL305" i="1"/>
  <c r="AJ305" i="1"/>
  <c r="AT305" i="1"/>
  <c r="AI305" i="1"/>
  <c r="AR305" i="1"/>
  <c r="AG305" i="1"/>
  <c r="AQ305" i="1"/>
  <c r="AO305" i="1"/>
  <c r="AF305" i="1"/>
  <c r="AE305" i="1"/>
  <c r="AN341" i="1"/>
  <c r="AP341" i="1"/>
  <c r="AO341" i="1"/>
  <c r="AM341" i="1"/>
  <c r="AJ341" i="1"/>
  <c r="AI341" i="1"/>
  <c r="AH341" i="1"/>
  <c r="AR341" i="1"/>
  <c r="AQ341" i="1"/>
  <c r="AG341" i="1"/>
  <c r="AE341" i="1"/>
  <c r="AK86" i="1"/>
  <c r="AH86" i="1"/>
  <c r="AF86" i="1"/>
  <c r="AQ86" i="1"/>
  <c r="AP86" i="1"/>
  <c r="AN86" i="1"/>
  <c r="AE86" i="1"/>
  <c r="AS146" i="1"/>
  <c r="AI146" i="1"/>
  <c r="AQ146" i="1"/>
  <c r="AK146" i="1"/>
  <c r="AP146" i="1"/>
  <c r="AT146" i="1"/>
  <c r="AM186" i="1"/>
  <c r="AK186" i="1"/>
  <c r="AN186" i="1"/>
  <c r="AQ186" i="1"/>
  <c r="AH186" i="1"/>
  <c r="AI186" i="1"/>
  <c r="AI218" i="1"/>
  <c r="AG218" i="1"/>
  <c r="AT218" i="1"/>
  <c r="AE218" i="1"/>
  <c r="AS218" i="1"/>
  <c r="AD218" i="1"/>
  <c r="AP218" i="1"/>
  <c r="AN218" i="1"/>
  <c r="AM218" i="1"/>
  <c r="AK218" i="1"/>
  <c r="AS250" i="1"/>
  <c r="AD250" i="1"/>
  <c r="AP250" i="1"/>
  <c r="AN250" i="1"/>
  <c r="AM250" i="1"/>
  <c r="AK250" i="1"/>
  <c r="AI250" i="1"/>
  <c r="AT250" i="1"/>
  <c r="AG250" i="1"/>
  <c r="AE250" i="1"/>
  <c r="AL282" i="1"/>
  <c r="AT282" i="1"/>
  <c r="AS282" i="1"/>
  <c r="AO282" i="1"/>
  <c r="AJ282" i="1"/>
  <c r="AH282" i="1"/>
  <c r="AD282" i="1"/>
  <c r="AM314" i="1"/>
  <c r="AL314" i="1"/>
  <c r="AK314" i="1"/>
  <c r="AJ314" i="1"/>
  <c r="AE314" i="1"/>
  <c r="AD314" i="1"/>
  <c r="AT314" i="1"/>
  <c r="AR314" i="1"/>
  <c r="AP346" i="1"/>
  <c r="AK346" i="1"/>
  <c r="AF346" i="1"/>
  <c r="AS133" i="1"/>
  <c r="AN133" i="1"/>
  <c r="AE133" i="1"/>
  <c r="AJ133" i="1"/>
  <c r="AT393" i="1"/>
  <c r="AQ393" i="1"/>
  <c r="AE393" i="1"/>
  <c r="AP393" i="1"/>
  <c r="AD393" i="1"/>
  <c r="AN393" i="1"/>
  <c r="AM393" i="1"/>
  <c r="AJ393" i="1"/>
  <c r="AS393" i="1"/>
  <c r="AR393" i="1"/>
  <c r="AI393" i="1"/>
  <c r="AH393" i="1"/>
  <c r="AF393" i="1"/>
  <c r="AG425" i="1"/>
  <c r="AK425" i="1"/>
  <c r="AG457" i="1"/>
  <c r="AF457" i="1"/>
  <c r="AE457" i="1"/>
  <c r="AS457" i="1"/>
  <c r="AO457" i="1"/>
  <c r="AM457" i="1"/>
  <c r="AO489" i="1"/>
  <c r="AI489" i="1"/>
  <c r="AH489" i="1"/>
  <c r="AE489" i="1"/>
  <c r="AD489" i="1"/>
  <c r="AT489" i="1"/>
  <c r="AP489" i="1"/>
  <c r="AM489" i="1"/>
  <c r="AQ521" i="1"/>
  <c r="AE521" i="1"/>
  <c r="AP521" i="1"/>
  <c r="AD521" i="1"/>
  <c r="AN521" i="1"/>
  <c r="AL521" i="1"/>
  <c r="AK521" i="1"/>
  <c r="AT521" i="1"/>
  <c r="AH521" i="1"/>
  <c r="AS521" i="1"/>
  <c r="AI521" i="1"/>
  <c r="AF521" i="1"/>
  <c r="AQ98" i="1"/>
  <c r="AP98" i="1"/>
  <c r="AN98" i="1"/>
  <c r="AK98" i="1"/>
  <c r="AH98" i="1"/>
  <c r="AF98" i="1"/>
  <c r="AM98" i="1"/>
  <c r="AT382" i="1"/>
  <c r="AQ382" i="1"/>
  <c r="AF382" i="1"/>
  <c r="AP382" i="1"/>
  <c r="AD382" i="1"/>
  <c r="AO382" i="1"/>
  <c r="AN382" i="1"/>
  <c r="AJ382" i="1"/>
  <c r="AI382" i="1"/>
  <c r="AH382" i="1"/>
  <c r="AG382" i="1"/>
  <c r="AS382" i="1"/>
  <c r="AR382" i="1"/>
  <c r="AT414" i="1"/>
  <c r="AQ414" i="1"/>
  <c r="AF414" i="1"/>
  <c r="AP414" i="1"/>
  <c r="AD414" i="1"/>
  <c r="AO414" i="1"/>
  <c r="AN414" i="1"/>
  <c r="AJ414" i="1"/>
  <c r="AI414" i="1"/>
  <c r="AS414" i="1"/>
  <c r="AR414" i="1"/>
  <c r="AH414" i="1"/>
  <c r="AG414" i="1"/>
  <c r="AD446" i="1"/>
  <c r="AS446" i="1"/>
  <c r="AO446" i="1"/>
  <c r="AO478" i="1"/>
  <c r="AI478" i="1"/>
  <c r="AH478" i="1"/>
  <c r="AM478" i="1"/>
  <c r="AR478" i="1"/>
  <c r="AQ510" i="1"/>
  <c r="AE510" i="1"/>
  <c r="AO510" i="1"/>
  <c r="AL510" i="1"/>
  <c r="AK510" i="1"/>
  <c r="AJ510" i="1"/>
  <c r="AS510" i="1"/>
  <c r="AG510" i="1"/>
  <c r="AT510" i="1"/>
  <c r="AR510" i="1"/>
  <c r="AI510" i="1"/>
  <c r="AF510" i="1"/>
  <c r="AL542" i="1"/>
  <c r="AQ542" i="1"/>
  <c r="AK542" i="1"/>
  <c r="AG542" i="1"/>
  <c r="AF542" i="1"/>
  <c r="AR542" i="1"/>
  <c r="AM107" i="1"/>
  <c r="AP107" i="1"/>
  <c r="AF107" i="1"/>
  <c r="AO107" i="1"/>
  <c r="AD107" i="1"/>
  <c r="AN107" i="1"/>
  <c r="AL107" i="1"/>
  <c r="AJ107" i="1"/>
  <c r="AI107" i="1"/>
  <c r="AH107" i="1"/>
  <c r="AG107" i="1"/>
  <c r="AR107" i="1"/>
  <c r="AQ107" i="1"/>
  <c r="AT107" i="1"/>
  <c r="AM139" i="1"/>
  <c r="AJ139" i="1"/>
  <c r="AT139" i="1"/>
  <c r="AI139" i="1"/>
  <c r="AR139" i="1"/>
  <c r="AH139" i="1"/>
  <c r="AQ139" i="1"/>
  <c r="AG139" i="1"/>
  <c r="AP139" i="1"/>
  <c r="AF139" i="1"/>
  <c r="AN139" i="1"/>
  <c r="AO139" i="1"/>
  <c r="AL139" i="1"/>
  <c r="AD139" i="1"/>
  <c r="AM171" i="1"/>
  <c r="AQ171" i="1"/>
  <c r="AG171" i="1"/>
  <c r="AP171" i="1"/>
  <c r="AF171" i="1"/>
  <c r="AO171" i="1"/>
  <c r="AD171" i="1"/>
  <c r="AN171" i="1"/>
  <c r="AL171" i="1"/>
  <c r="AJ171" i="1"/>
  <c r="AT171" i="1"/>
  <c r="AR171" i="1"/>
  <c r="AI171" i="1"/>
  <c r="AH171" i="1"/>
  <c r="AN203" i="1"/>
  <c r="AH203" i="1"/>
  <c r="AF203" i="1"/>
  <c r="AS203" i="1"/>
  <c r="AK203" i="1"/>
  <c r="AM203" i="1"/>
  <c r="AP203" i="1"/>
  <c r="AT235" i="1"/>
  <c r="AJ235" i="1"/>
  <c r="AF235" i="1"/>
  <c r="AE235" i="1"/>
  <c r="AS235" i="1"/>
  <c r="AO235" i="1"/>
  <c r="AN235" i="1"/>
  <c r="AR267" i="1"/>
  <c r="AQ267" i="1"/>
  <c r="AM267" i="1"/>
  <c r="AK267" i="1"/>
  <c r="AJ267" i="1"/>
  <c r="AS267" i="1"/>
  <c r="AI267" i="1"/>
  <c r="AH267" i="1"/>
  <c r="AF267" i="1"/>
  <c r="AP299" i="1"/>
  <c r="AM299" i="1"/>
  <c r="AK299" i="1"/>
  <c r="AJ299" i="1"/>
  <c r="AI299" i="1"/>
  <c r="AH299" i="1"/>
  <c r="AE299" i="1"/>
  <c r="AS299" i="1"/>
  <c r="AR299" i="1"/>
  <c r="AE331" i="1"/>
  <c r="AT331" i="1"/>
  <c r="AS331" i="1"/>
  <c r="AQ331" i="1"/>
  <c r="AN331" i="1"/>
  <c r="AF331" i="1"/>
  <c r="AS363" i="1"/>
  <c r="AM363" i="1"/>
  <c r="AL363" i="1"/>
  <c r="AI363" i="1"/>
  <c r="AT363" i="1"/>
  <c r="AH363" i="1"/>
  <c r="AQ363" i="1"/>
  <c r="AG363" i="1"/>
  <c r="AP363" i="1"/>
  <c r="AF363" i="1"/>
  <c r="AO363" i="1"/>
  <c r="AN363" i="1"/>
  <c r="AE363" i="1"/>
  <c r="AD363" i="1"/>
  <c r="AS395" i="1"/>
  <c r="AL395" i="1"/>
  <c r="AT395" i="1"/>
  <c r="AJ395" i="1"/>
  <c r="AR395" i="1"/>
  <c r="AI395" i="1"/>
  <c r="AQ395" i="1"/>
  <c r="AH395" i="1"/>
  <c r="AP395" i="1"/>
  <c r="AG395" i="1"/>
  <c r="AM395" i="1"/>
  <c r="AF395" i="1"/>
  <c r="AE395" i="1"/>
  <c r="AD395" i="1"/>
  <c r="AO395" i="1"/>
  <c r="AN395" i="1"/>
  <c r="AS427" i="1"/>
  <c r="AN427" i="1"/>
  <c r="AE427" i="1"/>
  <c r="AM427" i="1"/>
  <c r="AD427" i="1"/>
  <c r="AL427" i="1"/>
  <c r="AT427" i="1"/>
  <c r="AJ427" i="1"/>
  <c r="AR427" i="1"/>
  <c r="AI427" i="1"/>
  <c r="AQ427" i="1"/>
  <c r="AH427" i="1"/>
  <c r="AP427" i="1"/>
  <c r="AO427" i="1"/>
  <c r="AG427" i="1"/>
  <c r="AF427" i="1"/>
  <c r="AS459" i="1"/>
  <c r="AO459" i="1"/>
  <c r="AP491" i="1"/>
  <c r="AE491" i="1"/>
  <c r="AO491" i="1"/>
  <c r="AD491" i="1"/>
  <c r="AM491" i="1"/>
  <c r="AK491" i="1"/>
  <c r="AT491" i="1"/>
  <c r="AJ491" i="1"/>
  <c r="AS491" i="1"/>
  <c r="AR491" i="1"/>
  <c r="AQ491" i="1"/>
  <c r="AI491" i="1"/>
  <c r="AH491" i="1"/>
  <c r="AG491" i="1"/>
  <c r="AN523" i="1"/>
  <c r="AT523" i="1"/>
  <c r="AI523" i="1"/>
  <c r="AR523" i="1"/>
  <c r="AH523" i="1"/>
  <c r="AQ523" i="1"/>
  <c r="AG523" i="1"/>
  <c r="AP523" i="1"/>
  <c r="AE523" i="1"/>
  <c r="AO523" i="1"/>
  <c r="AD523" i="1"/>
  <c r="AL523" i="1"/>
  <c r="AM523" i="1"/>
  <c r="AJ523" i="1"/>
  <c r="AT333" i="1"/>
  <c r="AK374" i="1"/>
  <c r="AF374" i="1"/>
  <c r="AD374" i="1"/>
  <c r="AH305" i="1"/>
  <c r="AH273" i="1"/>
  <c r="AP314" i="1"/>
  <c r="AI310" i="1"/>
  <c r="AT263" i="1"/>
  <c r="AL233" i="1"/>
  <c r="AT237" i="1"/>
  <c r="AM278" i="1"/>
  <c r="AF250" i="1"/>
  <c r="AE246" i="1"/>
  <c r="AF205" i="1"/>
  <c r="AR237" i="1"/>
  <c r="AJ278" i="1"/>
  <c r="AF278" i="1"/>
  <c r="AR218" i="1"/>
  <c r="AS201" i="1"/>
  <c r="AJ199" i="1"/>
  <c r="AE139" i="1"/>
  <c r="AG203" i="1"/>
  <c r="AS139" i="1"/>
  <c r="AS103" i="1"/>
  <c r="AG214" i="1"/>
  <c r="AF186" i="1"/>
  <c r="AD178" i="1"/>
  <c r="AP178" i="1"/>
  <c r="AM146" i="1"/>
  <c r="AG77" i="1"/>
  <c r="AF137" i="1"/>
  <c r="AM133" i="1"/>
  <c r="AH129" i="1"/>
  <c r="AN73" i="1"/>
  <c r="AE138" i="1"/>
  <c r="AE98" i="1"/>
  <c r="AT94" i="1"/>
  <c r="AJ86" i="1"/>
  <c r="AG82" i="1"/>
  <c r="AO173" i="1"/>
  <c r="AT169" i="1"/>
  <c r="AJ169" i="1"/>
  <c r="AD141" i="1"/>
  <c r="AQ141" i="1"/>
  <c r="AO133" i="1"/>
  <c r="AN425" i="1"/>
  <c r="AP425" i="1"/>
  <c r="AG206" i="1"/>
  <c r="AD206" i="1"/>
  <c r="AR97" i="1"/>
  <c r="AP97" i="1"/>
  <c r="AN97" i="1"/>
  <c r="AM97" i="1"/>
  <c r="AP209" i="1"/>
  <c r="AJ209" i="1"/>
  <c r="AI209" i="1"/>
  <c r="AT209" i="1"/>
  <c r="AG209" i="1"/>
  <c r="AR209" i="1"/>
  <c r="AE209" i="1"/>
  <c r="AQ209" i="1"/>
  <c r="AD209" i="1"/>
  <c r="AO209" i="1"/>
  <c r="AM209" i="1"/>
  <c r="AL209" i="1"/>
  <c r="AS209" i="1"/>
  <c r="AO241" i="1"/>
  <c r="AE241" i="1"/>
  <c r="AN241" i="1"/>
  <c r="AK241" i="1"/>
  <c r="AJ241" i="1"/>
  <c r="AS241" i="1"/>
  <c r="AI241" i="1"/>
  <c r="AR241" i="1"/>
  <c r="AH241" i="1"/>
  <c r="AQ241" i="1"/>
  <c r="AP241" i="1"/>
  <c r="AG241" i="1"/>
  <c r="AF241" i="1"/>
  <c r="AS277" i="1"/>
  <c r="AN277" i="1"/>
  <c r="AD277" i="1"/>
  <c r="AM277" i="1"/>
  <c r="AL277" i="1"/>
  <c r="AJ277" i="1"/>
  <c r="AT277" i="1"/>
  <c r="AI277" i="1"/>
  <c r="AO277" i="1"/>
  <c r="AG277" i="1"/>
  <c r="AF277" i="1"/>
  <c r="AE277" i="1"/>
  <c r="AR277" i="1"/>
  <c r="AQ277" i="1"/>
  <c r="AS309" i="1"/>
  <c r="AT309" i="1"/>
  <c r="AI309" i="1"/>
  <c r="AR309" i="1"/>
  <c r="AG309" i="1"/>
  <c r="AQ309" i="1"/>
  <c r="AF309" i="1"/>
  <c r="AO309" i="1"/>
  <c r="AE309" i="1"/>
  <c r="AN309" i="1"/>
  <c r="AD309" i="1"/>
  <c r="AM309" i="1"/>
  <c r="AL309" i="1"/>
  <c r="AJ309" i="1"/>
  <c r="AN90" i="1"/>
  <c r="AK90" i="1"/>
  <c r="AH90" i="1"/>
  <c r="AF90" i="1"/>
  <c r="AP90" i="1"/>
  <c r="AQ90" i="1"/>
  <c r="AO90" i="1"/>
  <c r="AJ90" i="1"/>
  <c r="AS150" i="1"/>
  <c r="AQ150" i="1"/>
  <c r="AK150" i="1"/>
  <c r="AI150" i="1"/>
  <c r="AG150" i="1"/>
  <c r="AR150" i="1"/>
  <c r="AF190" i="1"/>
  <c r="AI190" i="1"/>
  <c r="AT222" i="1"/>
  <c r="AQ222" i="1"/>
  <c r="AJ222" i="1"/>
  <c r="AD222" i="1"/>
  <c r="AH254" i="1"/>
  <c r="AT254" i="1"/>
  <c r="AG254" i="1"/>
  <c r="AS254" i="1"/>
  <c r="AF254" i="1"/>
  <c r="AP254" i="1"/>
  <c r="AE254" i="1"/>
  <c r="AO254" i="1"/>
  <c r="AD254" i="1"/>
  <c r="AN254" i="1"/>
  <c r="AL254" i="1"/>
  <c r="AK254" i="1"/>
  <c r="AL286" i="1"/>
  <c r="AP286" i="1"/>
  <c r="AK286" i="1"/>
  <c r="AJ286" i="1"/>
  <c r="AE286" i="1"/>
  <c r="AT286" i="1"/>
  <c r="AQ350" i="1"/>
  <c r="AP350" i="1"/>
  <c r="AO350" i="1"/>
  <c r="AN350" i="1"/>
  <c r="AT257" i="1"/>
  <c r="AM257" i="1"/>
  <c r="AJ257" i="1"/>
  <c r="AI257" i="1"/>
  <c r="AR257" i="1"/>
  <c r="AH257" i="1"/>
  <c r="AQ257" i="1"/>
  <c r="AG257" i="1"/>
  <c r="AP257" i="1"/>
  <c r="AF257" i="1"/>
  <c r="AO257" i="1"/>
  <c r="AN257" i="1"/>
  <c r="AE257" i="1"/>
  <c r="AT397" i="1"/>
  <c r="AR397" i="1"/>
  <c r="AF397" i="1"/>
  <c r="AQ397" i="1"/>
  <c r="AE397" i="1"/>
  <c r="AP397" i="1"/>
  <c r="AD397" i="1"/>
  <c r="AN397" i="1"/>
  <c r="AM397" i="1"/>
  <c r="AS397" i="1"/>
  <c r="AJ397" i="1"/>
  <c r="AI397" i="1"/>
  <c r="AH397" i="1"/>
  <c r="AO429" i="1"/>
  <c r="AT429" i="1"/>
  <c r="AI429" i="1"/>
  <c r="AR429" i="1"/>
  <c r="AH429" i="1"/>
  <c r="AQ429" i="1"/>
  <c r="AF429" i="1"/>
  <c r="AP429" i="1"/>
  <c r="AE429" i="1"/>
  <c r="AN429" i="1"/>
  <c r="AD429" i="1"/>
  <c r="AM429" i="1"/>
  <c r="AL429" i="1"/>
  <c r="AJ429" i="1"/>
  <c r="AK461" i="1"/>
  <c r="AG461" i="1"/>
  <c r="AT461" i="1"/>
  <c r="AF461" i="1"/>
  <c r="AS461" i="1"/>
  <c r="AE461" i="1"/>
  <c r="AP461" i="1"/>
  <c r="AD461" i="1"/>
  <c r="AO461" i="1"/>
  <c r="AH461" i="1"/>
  <c r="AN461" i="1"/>
  <c r="AL461" i="1"/>
  <c r="AT493" i="1"/>
  <c r="AQ493" i="1"/>
  <c r="AK493" i="1"/>
  <c r="AF493" i="1"/>
  <c r="AM525" i="1"/>
  <c r="AL525" i="1"/>
  <c r="AK525" i="1"/>
  <c r="AI525" i="1"/>
  <c r="AH525" i="1"/>
  <c r="AS525" i="1"/>
  <c r="AE525" i="1"/>
  <c r="AT525" i="1"/>
  <c r="AQ525" i="1"/>
  <c r="AF525" i="1"/>
  <c r="AK102" i="1"/>
  <c r="AH102" i="1"/>
  <c r="AT102" i="1"/>
  <c r="AP102" i="1"/>
  <c r="AT386" i="1"/>
  <c r="AR386" i="1"/>
  <c r="AG386" i="1"/>
  <c r="AQ386" i="1"/>
  <c r="AF386" i="1"/>
  <c r="AP386" i="1"/>
  <c r="AD386" i="1"/>
  <c r="AO386" i="1"/>
  <c r="AN386" i="1"/>
  <c r="AJ386" i="1"/>
  <c r="AS386" i="1"/>
  <c r="AI386" i="1"/>
  <c r="AH386" i="1"/>
  <c r="AM418" i="1"/>
  <c r="AQ418" i="1"/>
  <c r="AG418" i="1"/>
  <c r="AP418" i="1"/>
  <c r="AF418" i="1"/>
  <c r="AO418" i="1"/>
  <c r="AD418" i="1"/>
  <c r="AN418" i="1"/>
  <c r="AL418" i="1"/>
  <c r="AJ418" i="1"/>
  <c r="AT418" i="1"/>
  <c r="AR418" i="1"/>
  <c r="AI418" i="1"/>
  <c r="AH418" i="1"/>
  <c r="AO450" i="1"/>
  <c r="AG450" i="1"/>
  <c r="AE450" i="1"/>
  <c r="AD450" i="1"/>
  <c r="AN450" i="1"/>
  <c r="AM450" i="1"/>
  <c r="AK450" i="1"/>
  <c r="AS482" i="1"/>
  <c r="AI482" i="1"/>
  <c r="AO482" i="1"/>
  <c r="AN482" i="1"/>
  <c r="AS514" i="1"/>
  <c r="AG514" i="1"/>
  <c r="AR514" i="1"/>
  <c r="AF514" i="1"/>
  <c r="AQ514" i="1"/>
  <c r="AD514" i="1"/>
  <c r="AO514" i="1"/>
  <c r="AL514" i="1"/>
  <c r="AJ514" i="1"/>
  <c r="AT514" i="1"/>
  <c r="AK514" i="1"/>
  <c r="AI514" i="1"/>
  <c r="AM111" i="1"/>
  <c r="AL111" i="1"/>
  <c r="AJ111" i="1"/>
  <c r="AT111" i="1"/>
  <c r="AI111" i="1"/>
  <c r="AR111" i="1"/>
  <c r="AH111" i="1"/>
  <c r="AQ111" i="1"/>
  <c r="AG111" i="1"/>
  <c r="AO111" i="1"/>
  <c r="AD111" i="1"/>
  <c r="AP111" i="1"/>
  <c r="AF111" i="1"/>
  <c r="AN111" i="1"/>
  <c r="AM143" i="1"/>
  <c r="AQ143" i="1"/>
  <c r="AG143" i="1"/>
  <c r="AP143" i="1"/>
  <c r="AF143" i="1"/>
  <c r="AO143" i="1"/>
  <c r="AD143" i="1"/>
  <c r="AN143" i="1"/>
  <c r="AL143" i="1"/>
  <c r="AT143" i="1"/>
  <c r="AI143" i="1"/>
  <c r="AJ143" i="1"/>
  <c r="AH143" i="1"/>
  <c r="AR143" i="1"/>
  <c r="AM175" i="1"/>
  <c r="AN175" i="1"/>
  <c r="AL175" i="1"/>
  <c r="AJ175" i="1"/>
  <c r="AT175" i="1"/>
  <c r="AI175" i="1"/>
  <c r="AR175" i="1"/>
  <c r="AH175" i="1"/>
  <c r="AQ175" i="1"/>
  <c r="AG175" i="1"/>
  <c r="AP175" i="1"/>
  <c r="AO175" i="1"/>
  <c r="AF175" i="1"/>
  <c r="AD175" i="1"/>
  <c r="AS207" i="1"/>
  <c r="AN207" i="1"/>
  <c r="AM207" i="1"/>
  <c r="AK207" i="1"/>
  <c r="AI207" i="1"/>
  <c r="AF207" i="1"/>
  <c r="AP207" i="1"/>
  <c r="AK239" i="1"/>
  <c r="AT239" i="1"/>
  <c r="AJ239" i="1"/>
  <c r="AS239" i="1"/>
  <c r="AI239" i="1"/>
  <c r="AR239" i="1"/>
  <c r="AG239" i="1"/>
  <c r="AQ239" i="1"/>
  <c r="AF239" i="1"/>
  <c r="AO239" i="1"/>
  <c r="AE239" i="1"/>
  <c r="AN239" i="1"/>
  <c r="AM239" i="1"/>
  <c r="AD239" i="1"/>
  <c r="AR271" i="1"/>
  <c r="AN271" i="1"/>
  <c r="AM271" i="1"/>
  <c r="AK271" i="1"/>
  <c r="AI271" i="1"/>
  <c r="AS271" i="1"/>
  <c r="AH271" i="1"/>
  <c r="AI303" i="1"/>
  <c r="AH303" i="1"/>
  <c r="AS303" i="1"/>
  <c r="AE303" i="1"/>
  <c r="AR303" i="1"/>
  <c r="AP303" i="1"/>
  <c r="AM303" i="1"/>
  <c r="AK303" i="1"/>
  <c r="AJ303" i="1"/>
  <c r="AL335" i="1"/>
  <c r="AI335" i="1"/>
  <c r="AF335" i="1"/>
  <c r="AE335" i="1"/>
  <c r="AT335" i="1"/>
  <c r="AM335" i="1"/>
  <c r="AK335" i="1"/>
  <c r="AS367" i="1"/>
  <c r="AQ367" i="1"/>
  <c r="AG367" i="1"/>
  <c r="AP367" i="1"/>
  <c r="AF367" i="1"/>
  <c r="AO367" i="1"/>
  <c r="AE367" i="1"/>
  <c r="AN367" i="1"/>
  <c r="AD367" i="1"/>
  <c r="AM367" i="1"/>
  <c r="AL367" i="1"/>
  <c r="AT367" i="1"/>
  <c r="AI367" i="1"/>
  <c r="AH367" i="1"/>
  <c r="AS399" i="1"/>
  <c r="AM399" i="1"/>
  <c r="AD399" i="1"/>
  <c r="AL399" i="1"/>
  <c r="AT399" i="1"/>
  <c r="AJ399" i="1"/>
  <c r="AR399" i="1"/>
  <c r="AI399" i="1"/>
  <c r="AQ399" i="1"/>
  <c r="AH399" i="1"/>
  <c r="AP399" i="1"/>
  <c r="AO399" i="1"/>
  <c r="AN399" i="1"/>
  <c r="AG399" i="1"/>
  <c r="AF399" i="1"/>
  <c r="AE399" i="1"/>
  <c r="AS431" i="1"/>
  <c r="AO431" i="1"/>
  <c r="AF431" i="1"/>
  <c r="AN431" i="1"/>
  <c r="AE431" i="1"/>
  <c r="AM431" i="1"/>
  <c r="AD431" i="1"/>
  <c r="AL431" i="1"/>
  <c r="AT431" i="1"/>
  <c r="AJ431" i="1"/>
  <c r="AR431" i="1"/>
  <c r="AI431" i="1"/>
  <c r="AH431" i="1"/>
  <c r="AG431" i="1"/>
  <c r="AQ431" i="1"/>
  <c r="AP431" i="1"/>
  <c r="AP495" i="1"/>
  <c r="AQ495" i="1"/>
  <c r="AL495" i="1"/>
  <c r="AK495" i="1"/>
  <c r="AJ495" i="1"/>
  <c r="AN527" i="1"/>
  <c r="AL527" i="1"/>
  <c r="AJ527" i="1"/>
  <c r="AT527" i="1"/>
  <c r="AI527" i="1"/>
  <c r="AR527" i="1"/>
  <c r="AH527" i="1"/>
  <c r="AQ527" i="1"/>
  <c r="AG527" i="1"/>
  <c r="AO527" i="1"/>
  <c r="AD527" i="1"/>
  <c r="AP527" i="1"/>
  <c r="AM527" i="1"/>
  <c r="AE527" i="1"/>
  <c r="AP369" i="1"/>
  <c r="AM369" i="1"/>
  <c r="AL333" i="1"/>
  <c r="AJ378" i="1"/>
  <c r="AP374" i="1"/>
  <c r="AL374" i="1"/>
  <c r="AP301" i="1"/>
  <c r="AP269" i="1"/>
  <c r="AJ310" i="1"/>
  <c r="AI314" i="1"/>
  <c r="AF295" i="1"/>
  <c r="AS310" i="1"/>
  <c r="AQ310" i="1"/>
  <c r="AM310" i="1"/>
  <c r="AT233" i="1"/>
  <c r="AQ218" i="1"/>
  <c r="AN201" i="1"/>
  <c r="AI237" i="1"/>
  <c r="AT278" i="1"/>
  <c r="AN278" i="1"/>
  <c r="AL250" i="1"/>
  <c r="AK201" i="1"/>
  <c r="AR199" i="1"/>
  <c r="AE171" i="1"/>
  <c r="AE103" i="1"/>
  <c r="AO203" i="1"/>
  <c r="AM199" i="1"/>
  <c r="AG186" i="1"/>
  <c r="AK139" i="1"/>
  <c r="AP214" i="1"/>
  <c r="AI199" i="1"/>
  <c r="AI203" i="1"/>
  <c r="AL178" i="1"/>
  <c r="AF146" i="1"/>
  <c r="AO77" i="1"/>
  <c r="AN137" i="1"/>
  <c r="AP129" i="1"/>
  <c r="AI86" i="1"/>
  <c r="AD73" i="1"/>
  <c r="AM138" i="1"/>
  <c r="AK77" i="1"/>
  <c r="AE141" i="1"/>
  <c r="AG98" i="1"/>
  <c r="AE94" i="1"/>
  <c r="AR86" i="1"/>
  <c r="AS82" i="1"/>
  <c r="AO82" i="1"/>
  <c r="AH173" i="1"/>
  <c r="AF169" i="1"/>
  <c r="AT141" i="1"/>
  <c r="AJ141" i="1"/>
  <c r="AH133" i="1"/>
  <c r="AR425" i="1"/>
  <c r="AF425" i="1"/>
  <c r="AS206" i="1"/>
  <c r="AL206" i="1"/>
  <c r="AS101" i="1"/>
  <c r="AP101" i="1"/>
  <c r="AD101" i="1"/>
  <c r="AE101" i="1"/>
  <c r="AJ149" i="1"/>
  <c r="AF149" i="1"/>
  <c r="AT181" i="1"/>
  <c r="AI181" i="1"/>
  <c r="AS181" i="1"/>
  <c r="AG181" i="1"/>
  <c r="AR181" i="1"/>
  <c r="AE181" i="1"/>
  <c r="AQ181" i="1"/>
  <c r="AD181" i="1"/>
  <c r="AO181" i="1"/>
  <c r="AL181" i="1"/>
  <c r="AK181" i="1"/>
  <c r="AJ181" i="1"/>
  <c r="AT213" i="1"/>
  <c r="AO213" i="1"/>
  <c r="AM213" i="1"/>
  <c r="AL213" i="1"/>
  <c r="AJ213" i="1"/>
  <c r="AI213" i="1"/>
  <c r="AG213" i="1"/>
  <c r="AE213" i="1"/>
  <c r="AD213" i="1"/>
  <c r="AR213" i="1"/>
  <c r="AQ213" i="1"/>
  <c r="AQ245" i="1"/>
  <c r="AI245" i="1"/>
  <c r="AR245" i="1"/>
  <c r="AM245" i="1"/>
  <c r="AP245" i="1"/>
  <c r="AJ245" i="1"/>
  <c r="AS281" i="1"/>
  <c r="AT281" i="1"/>
  <c r="AI281" i="1"/>
  <c r="AR281" i="1"/>
  <c r="AG281" i="1"/>
  <c r="AQ281" i="1"/>
  <c r="AF281" i="1"/>
  <c r="AO281" i="1"/>
  <c r="AE281" i="1"/>
  <c r="AN281" i="1"/>
  <c r="AD281" i="1"/>
  <c r="AM281" i="1"/>
  <c r="AL281" i="1"/>
  <c r="AJ281" i="1"/>
  <c r="AS313" i="1"/>
  <c r="AR313" i="1"/>
  <c r="AG313" i="1"/>
  <c r="AQ313" i="1"/>
  <c r="AF313" i="1"/>
  <c r="AO313" i="1"/>
  <c r="AE313" i="1"/>
  <c r="AN313" i="1"/>
  <c r="AD313" i="1"/>
  <c r="AM313" i="1"/>
  <c r="AL313" i="1"/>
  <c r="AT313" i="1"/>
  <c r="AJ313" i="1"/>
  <c r="AI313" i="1"/>
  <c r="AT349" i="1"/>
  <c r="AM349" i="1"/>
  <c r="AL349" i="1"/>
  <c r="AK349" i="1"/>
  <c r="AJ349" i="1"/>
  <c r="AS58" i="1"/>
  <c r="AI58" i="1"/>
  <c r="AH58" i="1"/>
  <c r="AT58" i="1"/>
  <c r="AF58" i="1"/>
  <c r="AR58" i="1"/>
  <c r="AE58" i="1"/>
  <c r="AQ58" i="1"/>
  <c r="AK58" i="1"/>
  <c r="AP58" i="1"/>
  <c r="AN58" i="1"/>
  <c r="AL58" i="1"/>
  <c r="AD58" i="1"/>
  <c r="AK110" i="1"/>
  <c r="AH110" i="1"/>
  <c r="AF110" i="1"/>
  <c r="AS154" i="1"/>
  <c r="AQ154" i="1"/>
  <c r="AK154" i="1"/>
  <c r="AI154" i="1"/>
  <c r="AM154" i="1"/>
  <c r="AP194" i="1"/>
  <c r="AM194" i="1"/>
  <c r="AK194" i="1"/>
  <c r="AJ194" i="1"/>
  <c r="AI194" i="1"/>
  <c r="AS194" i="1"/>
  <c r="AH194" i="1"/>
  <c r="AR194" i="1"/>
  <c r="AQ194" i="1"/>
  <c r="AG194" i="1"/>
  <c r="AE194" i="1"/>
  <c r="AD226" i="1"/>
  <c r="AS226" i="1"/>
  <c r="AP226" i="1"/>
  <c r="AL226" i="1"/>
  <c r="AH226" i="1"/>
  <c r="AR258" i="1"/>
  <c r="AN258" i="1"/>
  <c r="AE290" i="1"/>
  <c r="AD290" i="1"/>
  <c r="AS290" i="1"/>
  <c r="AR290" i="1"/>
  <c r="AO290" i="1"/>
  <c r="AL290" i="1"/>
  <c r="AK290" i="1"/>
  <c r="AG290" i="1"/>
  <c r="AR322" i="1"/>
  <c r="AE322" i="1"/>
  <c r="AM322" i="1"/>
  <c r="AQ354" i="1"/>
  <c r="AR354" i="1"/>
  <c r="AG354" i="1"/>
  <c r="AF354" i="1"/>
  <c r="AN337" i="1"/>
  <c r="AO337" i="1"/>
  <c r="AM337" i="1"/>
  <c r="AJ337" i="1"/>
  <c r="AI337" i="1"/>
  <c r="AH337" i="1"/>
  <c r="AR337" i="1"/>
  <c r="AG337" i="1"/>
  <c r="AQ337" i="1"/>
  <c r="AP337" i="1"/>
  <c r="AE337" i="1"/>
  <c r="AT401" i="1"/>
  <c r="AS401" i="1"/>
  <c r="AH401" i="1"/>
  <c r="AR401" i="1"/>
  <c r="AF401" i="1"/>
  <c r="AQ401" i="1"/>
  <c r="AE401" i="1"/>
  <c r="AP401" i="1"/>
  <c r="AD401" i="1"/>
  <c r="AN401" i="1"/>
  <c r="AM401" i="1"/>
  <c r="AJ401" i="1"/>
  <c r="AI401" i="1"/>
  <c r="AR433" i="1"/>
  <c r="AN433" i="1"/>
  <c r="AD433" i="1"/>
  <c r="AM433" i="1"/>
  <c r="AL433" i="1"/>
  <c r="AJ433" i="1"/>
  <c r="AI433" i="1"/>
  <c r="AS433" i="1"/>
  <c r="AH433" i="1"/>
  <c r="AQ433" i="1"/>
  <c r="AP433" i="1"/>
  <c r="AF433" i="1"/>
  <c r="AE433" i="1"/>
  <c r="AN465" i="1"/>
  <c r="AL465" i="1"/>
  <c r="AG465" i="1"/>
  <c r="AF465" i="1"/>
  <c r="AE465" i="1"/>
  <c r="AP465" i="1"/>
  <c r="AQ497" i="1"/>
  <c r="AP497" i="1"/>
  <c r="AI497" i="1"/>
  <c r="AN529" i="1"/>
  <c r="AT529" i="1"/>
  <c r="AS529" i="1"/>
  <c r="AM529" i="1"/>
  <c r="AK529" i="1"/>
  <c r="AI529" i="1"/>
  <c r="AF529" i="1"/>
  <c r="AH529" i="1"/>
  <c r="AD529" i="1"/>
  <c r="AK118" i="1"/>
  <c r="AH118" i="1"/>
  <c r="AO118" i="1"/>
  <c r="AD118" i="1"/>
  <c r="AT390" i="1"/>
  <c r="AS390" i="1"/>
  <c r="AH390" i="1"/>
  <c r="AR390" i="1"/>
  <c r="AG390" i="1"/>
  <c r="AQ390" i="1"/>
  <c r="AF390" i="1"/>
  <c r="AP390" i="1"/>
  <c r="AD390" i="1"/>
  <c r="AO390" i="1"/>
  <c r="AN390" i="1"/>
  <c r="AJ390" i="1"/>
  <c r="AI390" i="1"/>
  <c r="AM422" i="1"/>
  <c r="AR422" i="1"/>
  <c r="AH422" i="1"/>
  <c r="AQ422" i="1"/>
  <c r="AG422" i="1"/>
  <c r="AP422" i="1"/>
  <c r="AF422" i="1"/>
  <c r="AO422" i="1"/>
  <c r="AD422" i="1"/>
  <c r="AN422" i="1"/>
  <c r="AL422" i="1"/>
  <c r="AT422" i="1"/>
  <c r="AJ422" i="1"/>
  <c r="AI422" i="1"/>
  <c r="AS486" i="1"/>
  <c r="AG486" i="1"/>
  <c r="AQ486" i="1"/>
  <c r="AF486" i="1"/>
  <c r="AP486" i="1"/>
  <c r="AE486" i="1"/>
  <c r="AO486" i="1"/>
  <c r="AM486" i="1"/>
  <c r="AK486" i="1"/>
  <c r="AJ486" i="1"/>
  <c r="AH486" i="1"/>
  <c r="AK518" i="1"/>
  <c r="AJ518" i="1"/>
  <c r="AM115" i="1"/>
  <c r="AT115" i="1"/>
  <c r="AI115" i="1"/>
  <c r="AR115" i="1"/>
  <c r="AH115" i="1"/>
  <c r="AQ115" i="1"/>
  <c r="AG115" i="1"/>
  <c r="AP115" i="1"/>
  <c r="AF115" i="1"/>
  <c r="AO115" i="1"/>
  <c r="AD115" i="1"/>
  <c r="AL115" i="1"/>
  <c r="AN115" i="1"/>
  <c r="AJ115" i="1"/>
  <c r="AK115" i="1"/>
  <c r="AM147" i="1"/>
  <c r="AT147" i="1"/>
  <c r="AI147" i="1"/>
  <c r="AR147" i="1"/>
  <c r="AH147" i="1"/>
  <c r="AQ147" i="1"/>
  <c r="AG147" i="1"/>
  <c r="AP147" i="1"/>
  <c r="AF147" i="1"/>
  <c r="AO147" i="1"/>
  <c r="AD147" i="1"/>
  <c r="AN147" i="1"/>
  <c r="AL147" i="1"/>
  <c r="AJ147" i="1"/>
  <c r="AK147" i="1"/>
  <c r="AM179" i="1"/>
  <c r="AK179" i="1"/>
  <c r="AI179" i="1"/>
  <c r="AH179" i="1"/>
  <c r="AF179" i="1"/>
  <c r="AS179" i="1"/>
  <c r="AP179" i="1"/>
  <c r="AJ179" i="1"/>
  <c r="AE179" i="1"/>
  <c r="AQ179" i="1"/>
  <c r="AQ211" i="1"/>
  <c r="AN211" i="1"/>
  <c r="AM211" i="1"/>
  <c r="AI211" i="1"/>
  <c r="AE211" i="1"/>
  <c r="AO211" i="1"/>
  <c r="AQ243" i="1"/>
  <c r="AG243" i="1"/>
  <c r="AE243" i="1"/>
  <c r="AM275" i="1"/>
  <c r="AP275" i="1"/>
  <c r="AJ275" i="1"/>
  <c r="AI275" i="1"/>
  <c r="AE275" i="1"/>
  <c r="AS275" i="1"/>
  <c r="AR307" i="1"/>
  <c r="AK307" i="1"/>
  <c r="AN339" i="1"/>
  <c r="AF339" i="1"/>
  <c r="AE339" i="1"/>
  <c r="AD339" i="1"/>
  <c r="AT339" i="1"/>
  <c r="AM339" i="1"/>
  <c r="AK339" i="1"/>
  <c r="AS371" i="1"/>
  <c r="AN371" i="1"/>
  <c r="AD371" i="1"/>
  <c r="AM371" i="1"/>
  <c r="AL371" i="1"/>
  <c r="AI371" i="1"/>
  <c r="AT371" i="1"/>
  <c r="AH371" i="1"/>
  <c r="AQ371" i="1"/>
  <c r="AG371" i="1"/>
  <c r="AP371" i="1"/>
  <c r="AO371" i="1"/>
  <c r="AF371" i="1"/>
  <c r="AE371" i="1"/>
  <c r="AS403" i="1"/>
  <c r="AN403" i="1"/>
  <c r="AE403" i="1"/>
  <c r="AM403" i="1"/>
  <c r="AD403" i="1"/>
  <c r="AL403" i="1"/>
  <c r="AT403" i="1"/>
  <c r="AJ403" i="1"/>
  <c r="AR403" i="1"/>
  <c r="AI403" i="1"/>
  <c r="AG403" i="1"/>
  <c r="AF403" i="1"/>
  <c r="AQ403" i="1"/>
  <c r="AP403" i="1"/>
  <c r="AO403" i="1"/>
  <c r="AH403" i="1"/>
  <c r="AS435" i="1"/>
  <c r="AR435" i="1"/>
  <c r="AQ435" i="1"/>
  <c r="AO467" i="1"/>
  <c r="AQ467" i="1"/>
  <c r="AL467" i="1"/>
  <c r="AI467" i="1"/>
  <c r="AH467" i="1"/>
  <c r="AF467" i="1"/>
  <c r="AJ499" i="1"/>
  <c r="AH499" i="1"/>
  <c r="AQ499" i="1"/>
  <c r="AL499" i="1"/>
  <c r="AM499" i="1"/>
  <c r="AK499" i="1"/>
  <c r="AN531" i="1"/>
  <c r="AM531" i="1"/>
  <c r="AL531" i="1"/>
  <c r="AJ531" i="1"/>
  <c r="AT531" i="1"/>
  <c r="AI531" i="1"/>
  <c r="AR531" i="1"/>
  <c r="AH531" i="1"/>
  <c r="AP531" i="1"/>
  <c r="AE531" i="1"/>
  <c r="AQ531" i="1"/>
  <c r="AO531" i="1"/>
  <c r="AG531" i="1"/>
  <c r="AD531" i="1"/>
  <c r="AS96" i="1"/>
  <c r="AL96" i="1"/>
  <c r="AT96" i="1"/>
  <c r="AJ96" i="1"/>
  <c r="AR96" i="1"/>
  <c r="AI96" i="1"/>
  <c r="AQ96" i="1"/>
  <c r="AH96" i="1"/>
  <c r="AP96" i="1"/>
  <c r="AG96" i="1"/>
  <c r="AE96" i="1"/>
  <c r="AD96" i="1"/>
  <c r="AO96" i="1"/>
  <c r="AM96" i="1"/>
  <c r="AF96" i="1"/>
  <c r="AN96" i="1"/>
  <c r="AS132" i="1"/>
  <c r="AQ132" i="1"/>
  <c r="AH132" i="1"/>
  <c r="AP132" i="1"/>
  <c r="AG132" i="1"/>
  <c r="AO132" i="1"/>
  <c r="AF132" i="1"/>
  <c r="AN132" i="1"/>
  <c r="AE132" i="1"/>
  <c r="AM132" i="1"/>
  <c r="AD132" i="1"/>
  <c r="AT132" i="1"/>
  <c r="AJ132" i="1"/>
  <c r="AL132" i="1"/>
  <c r="AI132" i="1"/>
  <c r="AR132" i="1"/>
  <c r="AK132" i="1"/>
  <c r="AS164" i="1"/>
  <c r="AO164" i="1"/>
  <c r="AF164" i="1"/>
  <c r="AN164" i="1"/>
  <c r="AE164" i="1"/>
  <c r="AM164" i="1"/>
  <c r="AD164" i="1"/>
  <c r="AL164" i="1"/>
  <c r="AT164" i="1"/>
  <c r="AJ164" i="1"/>
  <c r="AR164" i="1"/>
  <c r="AI164" i="1"/>
  <c r="AH164" i="1"/>
  <c r="AG164" i="1"/>
  <c r="AQ164" i="1"/>
  <c r="AP164" i="1"/>
  <c r="AK164" i="1"/>
  <c r="AJ196" i="1"/>
  <c r="AG196" i="1"/>
  <c r="AS232" i="1"/>
  <c r="AR232" i="1"/>
  <c r="AG232" i="1"/>
  <c r="AQ232" i="1"/>
  <c r="AE232" i="1"/>
  <c r="AP232" i="1"/>
  <c r="AD232" i="1"/>
  <c r="AO232" i="1"/>
  <c r="AM232" i="1"/>
  <c r="AK232" i="1"/>
  <c r="AT232" i="1"/>
  <c r="AI232" i="1"/>
  <c r="AH232" i="1"/>
  <c r="AS264" i="1"/>
  <c r="AD264" i="1"/>
  <c r="AO264" i="1"/>
  <c r="AN264" i="1"/>
  <c r="AM264" i="1"/>
  <c r="AK264" i="1"/>
  <c r="AI264" i="1"/>
  <c r="AT264" i="1"/>
  <c r="AF264" i="1"/>
  <c r="AE264" i="1"/>
  <c r="AG296" i="1"/>
  <c r="AF296" i="1"/>
  <c r="AS296" i="1"/>
  <c r="AQ296" i="1"/>
  <c r="AN296" i="1"/>
  <c r="AH296" i="1"/>
  <c r="AO296" i="1"/>
  <c r="AL328" i="1"/>
  <c r="AT328" i="1"/>
  <c r="AS328" i="1"/>
  <c r="AK328" i="1"/>
  <c r="AJ328" i="1"/>
  <c r="AI328" i="1"/>
  <c r="AG328" i="1"/>
  <c r="AN360" i="1"/>
  <c r="AM360" i="1"/>
  <c r="AD360" i="1"/>
  <c r="AT392" i="1"/>
  <c r="AS392" i="1"/>
  <c r="AR392" i="1"/>
  <c r="AM392" i="1"/>
  <c r="AJ392" i="1"/>
  <c r="AH392" i="1"/>
  <c r="AG392" i="1"/>
  <c r="AF392" i="1"/>
  <c r="AP392" i="1"/>
  <c r="AE392" i="1"/>
  <c r="AO392" i="1"/>
  <c r="AN392" i="1"/>
  <c r="AD392" i="1"/>
  <c r="AK424" i="1"/>
  <c r="AJ424" i="1"/>
  <c r="AT424" i="1"/>
  <c r="AH424" i="1"/>
  <c r="AS424" i="1"/>
  <c r="AF424" i="1"/>
  <c r="AR424" i="1"/>
  <c r="AE424" i="1"/>
  <c r="AP424" i="1"/>
  <c r="AD424" i="1"/>
  <c r="AN424" i="1"/>
  <c r="AL424" i="1"/>
  <c r="AT456" i="1"/>
  <c r="AN456" i="1"/>
  <c r="AM456" i="1"/>
  <c r="AJ456" i="1"/>
  <c r="AI456" i="1"/>
  <c r="AR456" i="1"/>
  <c r="AH456" i="1"/>
  <c r="AQ456" i="1"/>
  <c r="AG456" i="1"/>
  <c r="AP456" i="1"/>
  <c r="AO456" i="1"/>
  <c r="AF456" i="1"/>
  <c r="AE456" i="1"/>
  <c r="AO488" i="1"/>
  <c r="AK488" i="1"/>
  <c r="AF488" i="1"/>
  <c r="AE488" i="1"/>
  <c r="AL488" i="1"/>
  <c r="AQ488" i="1"/>
  <c r="AM488" i="1"/>
  <c r="AN520" i="1"/>
  <c r="AH520" i="1"/>
  <c r="AG520" i="1"/>
  <c r="AF520" i="1"/>
  <c r="AS520" i="1"/>
  <c r="AE520" i="1"/>
  <c r="AR520" i="1"/>
  <c r="AM520" i="1"/>
  <c r="AP520" i="1"/>
  <c r="AK520" i="1"/>
  <c r="AD369" i="1"/>
  <c r="AF369" i="1"/>
  <c r="AD333" i="1"/>
  <c r="AG374" i="1"/>
  <c r="AT374" i="1"/>
  <c r="AS314" i="1"/>
  <c r="AQ314" i="1"/>
  <c r="AR282" i="1"/>
  <c r="AF310" i="1"/>
  <c r="AM282" i="1"/>
  <c r="AS278" i="1"/>
  <c r="AM235" i="1"/>
  <c r="AH218" i="1"/>
  <c r="AF201" i="1"/>
  <c r="AK278" i="1"/>
  <c r="AI278" i="1"/>
  <c r="AJ250" i="1"/>
  <c r="AQ235" i="1"/>
  <c r="AD199" i="1"/>
  <c r="AE135" i="1"/>
  <c r="AJ203" i="1"/>
  <c r="AS171" i="1"/>
  <c r="AS135" i="1"/>
  <c r="AJ214" i="1"/>
  <c r="AS199" i="1"/>
  <c r="AM178" i="1"/>
  <c r="AN146" i="1"/>
  <c r="AQ77" i="1"/>
  <c r="AG137" i="1"/>
  <c r="AD129" i="1"/>
  <c r="AI129" i="1"/>
  <c r="AN138" i="1"/>
  <c r="AM73" i="1"/>
  <c r="AE173" i="1"/>
  <c r="AS98" i="1"/>
  <c r="AO98" i="1"/>
  <c r="AM94" i="1"/>
  <c r="AD86" i="1"/>
  <c r="AJ82" i="1"/>
  <c r="AP190" i="1"/>
  <c r="AM190" i="1"/>
  <c r="AF177" i="1"/>
  <c r="AR177" i="1"/>
  <c r="AP173" i="1"/>
  <c r="AG169" i="1"/>
  <c r="AL165" i="1"/>
  <c r="AT157" i="1"/>
  <c r="AL149" i="1"/>
  <c r="AQ149" i="1"/>
  <c r="AH145" i="1"/>
  <c r="AF141" i="1"/>
  <c r="AR141" i="1"/>
  <c r="AP133" i="1"/>
  <c r="AH101" i="1"/>
  <c r="AG97" i="1"/>
  <c r="AL118" i="1"/>
  <c r="AR110" i="1"/>
  <c r="AO110" i="1"/>
  <c r="AS425" i="1"/>
  <c r="AQ425" i="1"/>
  <c r="AH206" i="1"/>
  <c r="AT206" i="1"/>
  <c r="AN369" i="1"/>
  <c r="AK369" i="1"/>
  <c r="AQ374" i="1"/>
  <c r="AE374" i="1"/>
  <c r="AF314" i="1"/>
  <c r="AG282" i="1"/>
  <c r="AN310" i="1"/>
  <c r="AF282" i="1"/>
  <c r="AJ231" i="1"/>
  <c r="AO218" i="1"/>
  <c r="AL278" i="1"/>
  <c r="AR250" i="1"/>
  <c r="AG235" i="1"/>
  <c r="AL199" i="1"/>
  <c r="AQ203" i="1"/>
  <c r="AE167" i="1"/>
  <c r="AR203" i="1"/>
  <c r="AK171" i="1"/>
  <c r="AS214" i="1"/>
  <c r="AR214" i="1"/>
  <c r="AF178" i="1"/>
  <c r="AJ146" i="1"/>
  <c r="AG146" i="1"/>
  <c r="AR133" i="1"/>
  <c r="AO137" i="1"/>
  <c r="AL129" i="1"/>
  <c r="AQ129" i="1"/>
  <c r="AI82" i="1"/>
  <c r="AJ138" i="1"/>
  <c r="AG138" i="1"/>
  <c r="AG73" i="1"/>
  <c r="AE169" i="1"/>
  <c r="AJ98" i="1"/>
  <c r="AG94" i="1"/>
  <c r="AL86" i="1"/>
  <c r="AR82" i="1"/>
  <c r="AH77" i="1"/>
  <c r="AD173" i="1"/>
  <c r="AQ173" i="1"/>
  <c r="AO169" i="1"/>
  <c r="AN141" i="1"/>
  <c r="AD133" i="1"/>
  <c r="AI133" i="1"/>
  <c r="AT425" i="1"/>
  <c r="AE425" i="1"/>
  <c r="AJ206" i="1"/>
  <c r="AE113" i="1"/>
  <c r="AS113" i="1"/>
  <c r="AR113" i="1"/>
  <c r="AK113" i="1"/>
  <c r="AM113" i="1"/>
  <c r="AJ113" i="1"/>
  <c r="AP113" i="1"/>
  <c r="AD113" i="1"/>
  <c r="AG157" i="1"/>
  <c r="AS157" i="1"/>
  <c r="AL189" i="1"/>
  <c r="AK189" i="1"/>
  <c r="AN189" i="1"/>
  <c r="AD189" i="1"/>
  <c r="AQ189" i="1"/>
  <c r="AH221" i="1"/>
  <c r="AF221" i="1"/>
  <c r="AS221" i="1"/>
  <c r="AE221" i="1"/>
  <c r="AQ221" i="1"/>
  <c r="AO221" i="1"/>
  <c r="AN221" i="1"/>
  <c r="AK221" i="1"/>
  <c r="AJ221" i="1"/>
  <c r="AD221" i="1"/>
  <c r="AT253" i="1"/>
  <c r="AP253" i="1"/>
  <c r="AF253" i="1"/>
  <c r="AO253" i="1"/>
  <c r="AE253" i="1"/>
  <c r="AN253" i="1"/>
  <c r="AM253" i="1"/>
  <c r="AJ253" i="1"/>
  <c r="AI253" i="1"/>
  <c r="AR253" i="1"/>
  <c r="AQ253" i="1"/>
  <c r="AH253" i="1"/>
  <c r="AG253" i="1"/>
  <c r="AS289" i="1"/>
  <c r="AM289" i="1"/>
  <c r="AL289" i="1"/>
  <c r="AJ289" i="1"/>
  <c r="AT289" i="1"/>
  <c r="AI289" i="1"/>
  <c r="AR289" i="1"/>
  <c r="AG289" i="1"/>
  <c r="AO289" i="1"/>
  <c r="AN289" i="1"/>
  <c r="AF289" i="1"/>
  <c r="AE289" i="1"/>
  <c r="AD289" i="1"/>
  <c r="AQ289" i="1"/>
  <c r="AS321" i="1"/>
  <c r="AL321" i="1"/>
  <c r="AJ321" i="1"/>
  <c r="AT321" i="1"/>
  <c r="AI321" i="1"/>
  <c r="AR321" i="1"/>
  <c r="AG321" i="1"/>
  <c r="AQ321" i="1"/>
  <c r="AF321" i="1"/>
  <c r="AO321" i="1"/>
  <c r="AE321" i="1"/>
  <c r="AN321" i="1"/>
  <c r="AM321" i="1"/>
  <c r="AD321" i="1"/>
  <c r="AP357" i="1"/>
  <c r="AM357" i="1"/>
  <c r="AL357" i="1"/>
  <c r="AQ357" i="1"/>
  <c r="AS66" i="1"/>
  <c r="AT66" i="1"/>
  <c r="AF66" i="1"/>
  <c r="AR66" i="1"/>
  <c r="AE66" i="1"/>
  <c r="AQ66" i="1"/>
  <c r="AP66" i="1"/>
  <c r="AN66" i="1"/>
  <c r="AK66" i="1"/>
  <c r="AI66" i="1"/>
  <c r="AH66" i="1"/>
  <c r="AO66" i="1"/>
  <c r="AK126" i="1"/>
  <c r="AH126" i="1"/>
  <c r="AE126" i="1"/>
  <c r="AS126" i="1"/>
  <c r="AS162" i="1"/>
  <c r="AQ162" i="1"/>
  <c r="AK162" i="1"/>
  <c r="AI162" i="1"/>
  <c r="AN162" i="1"/>
  <c r="AJ162" i="1"/>
  <c r="AO202" i="1"/>
  <c r="AM202" i="1"/>
  <c r="AF202" i="1"/>
  <c r="AG202" i="1"/>
  <c r="AH202" i="1"/>
  <c r="AT234" i="1"/>
  <c r="AF234" i="1"/>
  <c r="AE234" i="1"/>
  <c r="AS234" i="1"/>
  <c r="AO234" i="1"/>
  <c r="AN234" i="1"/>
  <c r="AI234" i="1"/>
  <c r="AO266" i="1"/>
  <c r="AT266" i="1"/>
  <c r="AR266" i="1"/>
  <c r="AM266" i="1"/>
  <c r="AJ266" i="1"/>
  <c r="AH266" i="1"/>
  <c r="AG266" i="1"/>
  <c r="AD266" i="1"/>
  <c r="AM298" i="1"/>
  <c r="AS298" i="1"/>
  <c r="AL298" i="1"/>
  <c r="AK298" i="1"/>
  <c r="AE298" i="1"/>
  <c r="AN330" i="1"/>
  <c r="AM330" i="1"/>
  <c r="AK330" i="1"/>
  <c r="AH330" i="1"/>
  <c r="AG330" i="1"/>
  <c r="AN362" i="1"/>
  <c r="AS362" i="1"/>
  <c r="AR362" i="1"/>
  <c r="AQ362" i="1"/>
  <c r="AJ362" i="1"/>
  <c r="AI362" i="1"/>
  <c r="AH362" i="1"/>
  <c r="AG362" i="1"/>
  <c r="AR85" i="1"/>
  <c r="AP85" i="1"/>
  <c r="AO85" i="1"/>
  <c r="AH85" i="1"/>
  <c r="AL377" i="1"/>
  <c r="AK377" i="1"/>
  <c r="AJ377" i="1"/>
  <c r="AI377" i="1"/>
  <c r="AE377" i="1"/>
  <c r="AT377" i="1"/>
  <c r="AS377" i="1"/>
  <c r="AQ377" i="1"/>
  <c r="AT409" i="1"/>
  <c r="AJ409" i="1"/>
  <c r="AI409" i="1"/>
  <c r="AS409" i="1"/>
  <c r="AH409" i="1"/>
  <c r="AR409" i="1"/>
  <c r="AF409" i="1"/>
  <c r="AQ409" i="1"/>
  <c r="AE409" i="1"/>
  <c r="AP409" i="1"/>
  <c r="AD409" i="1"/>
  <c r="AN409" i="1"/>
  <c r="AM409" i="1"/>
  <c r="AK441" i="1"/>
  <c r="AI441" i="1"/>
  <c r="AE441" i="1"/>
  <c r="AT441" i="1"/>
  <c r="AS441" i="1"/>
  <c r="AM505" i="1"/>
  <c r="AN505" i="1"/>
  <c r="AL505" i="1"/>
  <c r="AF505" i="1"/>
  <c r="AI505" i="1"/>
  <c r="AQ537" i="1"/>
  <c r="AF537" i="1"/>
  <c r="AM537" i="1"/>
  <c r="AL537" i="1"/>
  <c r="AS142" i="1"/>
  <c r="AQ142" i="1"/>
  <c r="AI142" i="1"/>
  <c r="AK142" i="1"/>
  <c r="AF142" i="1"/>
  <c r="AT398" i="1"/>
  <c r="AJ398" i="1"/>
  <c r="AI398" i="1"/>
  <c r="AS398" i="1"/>
  <c r="AH398" i="1"/>
  <c r="AR398" i="1"/>
  <c r="AG398" i="1"/>
  <c r="AQ398" i="1"/>
  <c r="AF398" i="1"/>
  <c r="AO398" i="1"/>
  <c r="AN398" i="1"/>
  <c r="AD398" i="1"/>
  <c r="AP398" i="1"/>
  <c r="AM430" i="1"/>
  <c r="AN430" i="1"/>
  <c r="AL430" i="1"/>
  <c r="AJ430" i="1"/>
  <c r="AH430" i="1"/>
  <c r="AT430" i="1"/>
  <c r="AG430" i="1"/>
  <c r="AR430" i="1"/>
  <c r="AF430" i="1"/>
  <c r="AP430" i="1"/>
  <c r="AO430" i="1"/>
  <c r="AD430" i="1"/>
  <c r="AN462" i="1"/>
  <c r="AL462" i="1"/>
  <c r="AK462" i="1"/>
  <c r="AJ462" i="1"/>
  <c r="AT462" i="1"/>
  <c r="AI462" i="1"/>
  <c r="AS462" i="1"/>
  <c r="AR462" i="1"/>
  <c r="AQ462" i="1"/>
  <c r="AF462" i="1"/>
  <c r="AE462" i="1"/>
  <c r="AD462" i="1"/>
  <c r="AG494" i="1"/>
  <c r="AQ494" i="1"/>
  <c r="AT494" i="1"/>
  <c r="AO494" i="1"/>
  <c r="AT526" i="1"/>
  <c r="AS526" i="1"/>
  <c r="AO526" i="1"/>
  <c r="AN526" i="1"/>
  <c r="AM91" i="1"/>
  <c r="AT91" i="1"/>
  <c r="AI91" i="1"/>
  <c r="AR91" i="1"/>
  <c r="AH91" i="1"/>
  <c r="AQ91" i="1"/>
  <c r="AG91" i="1"/>
  <c r="AP91" i="1"/>
  <c r="AF91" i="1"/>
  <c r="AO91" i="1"/>
  <c r="AD91" i="1"/>
  <c r="AN91" i="1"/>
  <c r="AL91" i="1"/>
  <c r="AJ91" i="1"/>
  <c r="AM123" i="1"/>
  <c r="AN123" i="1"/>
  <c r="AL123" i="1"/>
  <c r="AJ123" i="1"/>
  <c r="AT123" i="1"/>
  <c r="AI123" i="1"/>
  <c r="AR123" i="1"/>
  <c r="AH123" i="1"/>
  <c r="AP123" i="1"/>
  <c r="AF123" i="1"/>
  <c r="AG123" i="1"/>
  <c r="AD123" i="1"/>
  <c r="AQ123" i="1"/>
  <c r="AO123" i="1"/>
  <c r="AM155" i="1"/>
  <c r="AL155" i="1"/>
  <c r="AJ155" i="1"/>
  <c r="AT155" i="1"/>
  <c r="AI155" i="1"/>
  <c r="AR155" i="1"/>
  <c r="AH155" i="1"/>
  <c r="AQ155" i="1"/>
  <c r="AG155" i="1"/>
  <c r="AP155" i="1"/>
  <c r="AF155" i="1"/>
  <c r="AO155" i="1"/>
  <c r="AD155" i="1"/>
  <c r="AN155" i="1"/>
  <c r="AM187" i="1"/>
  <c r="AQ187" i="1"/>
  <c r="AO187" i="1"/>
  <c r="AG187" i="1"/>
  <c r="AE187" i="1"/>
  <c r="AD187" i="1"/>
  <c r="AS219" i="1"/>
  <c r="AD219" i="1"/>
  <c r="AQ219" i="1"/>
  <c r="AN219" i="1"/>
  <c r="AM219" i="1"/>
  <c r="AK219" i="1"/>
  <c r="AJ219" i="1"/>
  <c r="AT219" i="1"/>
  <c r="AG219" i="1"/>
  <c r="AE219" i="1"/>
  <c r="AP219" i="1"/>
  <c r="AM251" i="1"/>
  <c r="AK251" i="1"/>
  <c r="AJ251" i="1"/>
  <c r="AG251" i="1"/>
  <c r="AT251" i="1"/>
  <c r="AE251" i="1"/>
  <c r="AS251" i="1"/>
  <c r="AD251" i="1"/>
  <c r="AQ251" i="1"/>
  <c r="AN251" i="1"/>
  <c r="AP251" i="1"/>
  <c r="AR283" i="1"/>
  <c r="AQ283" i="1"/>
  <c r="AP283" i="1"/>
  <c r="AM283" i="1"/>
  <c r="AK283" i="1"/>
  <c r="AF283" i="1"/>
  <c r="AE283" i="1"/>
  <c r="AH283" i="1"/>
  <c r="AS347" i="1"/>
  <c r="AT347" i="1"/>
  <c r="AH347" i="1"/>
  <c r="AQ347" i="1"/>
  <c r="AG347" i="1"/>
  <c r="AP347" i="1"/>
  <c r="AF347" i="1"/>
  <c r="AO347" i="1"/>
  <c r="AE347" i="1"/>
  <c r="AN347" i="1"/>
  <c r="AD347" i="1"/>
  <c r="AM347" i="1"/>
  <c r="AL347" i="1"/>
  <c r="AI347" i="1"/>
  <c r="AT379" i="1"/>
  <c r="AO379" i="1"/>
  <c r="AD379" i="1"/>
  <c r="AN379" i="1"/>
  <c r="AM379" i="1"/>
  <c r="AI379" i="1"/>
  <c r="AH379" i="1"/>
  <c r="AR379" i="1"/>
  <c r="AG379" i="1"/>
  <c r="AQ379" i="1"/>
  <c r="AP379" i="1"/>
  <c r="AF379" i="1"/>
  <c r="AE379" i="1"/>
  <c r="AS411" i="1"/>
  <c r="AP411" i="1"/>
  <c r="AG411" i="1"/>
  <c r="AO411" i="1"/>
  <c r="AF411" i="1"/>
  <c r="AN411" i="1"/>
  <c r="AE411" i="1"/>
  <c r="AM411" i="1"/>
  <c r="AD411" i="1"/>
  <c r="AL411" i="1"/>
  <c r="AT411" i="1"/>
  <c r="AJ411" i="1"/>
  <c r="AR411" i="1"/>
  <c r="AQ411" i="1"/>
  <c r="AI411" i="1"/>
  <c r="AH411" i="1"/>
  <c r="AL475" i="1"/>
  <c r="AH475" i="1"/>
  <c r="AG475" i="1"/>
  <c r="AF475" i="1"/>
  <c r="AQ475" i="1"/>
  <c r="AO475" i="1"/>
  <c r="AT507" i="1"/>
  <c r="AM507" i="1"/>
  <c r="AO507" i="1"/>
  <c r="AE507" i="1"/>
  <c r="AN539" i="1"/>
  <c r="AJ539" i="1"/>
  <c r="AT539" i="1"/>
  <c r="AI539" i="1"/>
  <c r="AR539" i="1"/>
  <c r="AH539" i="1"/>
  <c r="AQ539" i="1"/>
  <c r="AG539" i="1"/>
  <c r="AP539" i="1"/>
  <c r="AE539" i="1"/>
  <c r="AM539" i="1"/>
  <c r="AO539" i="1"/>
  <c r="AL539" i="1"/>
  <c r="AD539" i="1"/>
  <c r="AH374" i="1"/>
  <c r="AM374" i="1"/>
  <c r="AG310" i="1"/>
  <c r="AN282" i="1"/>
  <c r="AK282" i="1"/>
  <c r="AQ250" i="1"/>
  <c r="AP246" i="1"/>
  <c r="AH205" i="1"/>
  <c r="AF218" i="1"/>
  <c r="AD278" i="1"/>
  <c r="AD203" i="1"/>
  <c r="AR186" i="1"/>
  <c r="AS167" i="1"/>
  <c r="AK214" i="1"/>
  <c r="AO186" i="1"/>
  <c r="AN178" i="1"/>
  <c r="AR146" i="1"/>
  <c r="AO146" i="1"/>
  <c r="AS141" i="1"/>
  <c r="AH137" i="1"/>
  <c r="AT129" i="1"/>
  <c r="AI98" i="1"/>
  <c r="AM169" i="1"/>
  <c r="AR138" i="1"/>
  <c r="AO138" i="1"/>
  <c r="AO73" i="1"/>
  <c r="AR98" i="1"/>
  <c r="AS94" i="1"/>
  <c r="AO94" i="1"/>
  <c r="AT86" i="1"/>
  <c r="AL82" i="1"/>
  <c r="AT173" i="1"/>
  <c r="AJ173" i="1"/>
  <c r="AH169" i="1"/>
  <c r="AG141" i="1"/>
  <c r="AL133" i="1"/>
  <c r="AQ133" i="1"/>
  <c r="AI425" i="1"/>
  <c r="AM425" i="1"/>
  <c r="AS53" i="1"/>
  <c r="AP53" i="1"/>
  <c r="AO53" i="1"/>
  <c r="AN53" i="1"/>
  <c r="AK53" i="1"/>
  <c r="AH53" i="1"/>
  <c r="AE53" i="1"/>
  <c r="AT53" i="1"/>
  <c r="AG53" i="1"/>
  <c r="AF53" i="1"/>
  <c r="AR53" i="1"/>
  <c r="AD53" i="1"/>
  <c r="AM121" i="1"/>
  <c r="AK121" i="1"/>
  <c r="AJ121" i="1"/>
  <c r="AE121" i="1"/>
  <c r="AS121" i="1"/>
  <c r="AR121" i="1"/>
  <c r="AO121" i="1"/>
  <c r="AQ161" i="1"/>
  <c r="AT161" i="1"/>
  <c r="AJ193" i="1"/>
  <c r="AD193" i="1"/>
  <c r="AR225" i="1"/>
  <c r="AS225" i="1"/>
  <c r="AG225" i="1"/>
  <c r="AI225" i="1"/>
  <c r="AT261" i="1"/>
  <c r="AQ261" i="1"/>
  <c r="AG261" i="1"/>
  <c r="AP261" i="1"/>
  <c r="AF261" i="1"/>
  <c r="AO261" i="1"/>
  <c r="AE261" i="1"/>
  <c r="AN261" i="1"/>
  <c r="AM261" i="1"/>
  <c r="AJ261" i="1"/>
  <c r="AR261" i="1"/>
  <c r="AI261" i="1"/>
  <c r="AH261" i="1"/>
  <c r="AS293" i="1"/>
  <c r="AL293" i="1"/>
  <c r="AJ293" i="1"/>
  <c r="AT293" i="1"/>
  <c r="AI293" i="1"/>
  <c r="AR293" i="1"/>
  <c r="AG293" i="1"/>
  <c r="AQ293" i="1"/>
  <c r="AF293" i="1"/>
  <c r="AO293" i="1"/>
  <c r="AN293" i="1"/>
  <c r="AM293" i="1"/>
  <c r="AE293" i="1"/>
  <c r="AD293" i="1"/>
  <c r="AS325" i="1"/>
  <c r="AQ325" i="1"/>
  <c r="AF325" i="1"/>
  <c r="AO325" i="1"/>
  <c r="AE325" i="1"/>
  <c r="AN325" i="1"/>
  <c r="AD325" i="1"/>
  <c r="AM325" i="1"/>
  <c r="AL325" i="1"/>
  <c r="AJ325" i="1"/>
  <c r="AT325" i="1"/>
  <c r="AR325" i="1"/>
  <c r="AI325" i="1"/>
  <c r="AG325" i="1"/>
  <c r="AR361" i="1"/>
  <c r="AD361" i="1"/>
  <c r="AS70" i="1"/>
  <c r="AR70" i="1"/>
  <c r="AE70" i="1"/>
  <c r="AQ70" i="1"/>
  <c r="AP70" i="1"/>
  <c r="AN70" i="1"/>
  <c r="AK70" i="1"/>
  <c r="AI70" i="1"/>
  <c r="AH70" i="1"/>
  <c r="AF70" i="1"/>
  <c r="AT70" i="1"/>
  <c r="AJ70" i="1"/>
  <c r="AS130" i="1"/>
  <c r="AQ130" i="1"/>
  <c r="AK130" i="1"/>
  <c r="AP130" i="1"/>
  <c r="AI130" i="1"/>
  <c r="AO130" i="1"/>
  <c r="AD130" i="1"/>
  <c r="AS166" i="1"/>
  <c r="AK166" i="1"/>
  <c r="AI166" i="1"/>
  <c r="AQ166" i="1"/>
  <c r="AE166" i="1"/>
  <c r="AF206" i="1"/>
  <c r="AK206" i="1"/>
  <c r="AT238" i="1"/>
  <c r="AI238" i="1"/>
  <c r="AS238" i="1"/>
  <c r="AH238" i="1"/>
  <c r="AQ238" i="1"/>
  <c r="AG238" i="1"/>
  <c r="AP238" i="1"/>
  <c r="AF238" i="1"/>
  <c r="AO238" i="1"/>
  <c r="AE238" i="1"/>
  <c r="AN238" i="1"/>
  <c r="AD238" i="1"/>
  <c r="AM238" i="1"/>
  <c r="AK238" i="1"/>
  <c r="AS270" i="1"/>
  <c r="AG270" i="1"/>
  <c r="AR270" i="1"/>
  <c r="AE270" i="1"/>
  <c r="AP270" i="1"/>
  <c r="AD270" i="1"/>
  <c r="AO270" i="1"/>
  <c r="AL270" i="1"/>
  <c r="AT270" i="1"/>
  <c r="AK270" i="1"/>
  <c r="AJ270" i="1"/>
  <c r="AH270" i="1"/>
  <c r="AM302" i="1"/>
  <c r="AS302" i="1"/>
  <c r="AL302" i="1"/>
  <c r="AE302" i="1"/>
  <c r="AN366" i="1"/>
  <c r="AK366" i="1"/>
  <c r="AJ366" i="1"/>
  <c r="AI366" i="1"/>
  <c r="AH366" i="1"/>
  <c r="AF366" i="1"/>
  <c r="AS366" i="1"/>
  <c r="AR366" i="1"/>
  <c r="AP366" i="1"/>
  <c r="AR89" i="1"/>
  <c r="AP89" i="1"/>
  <c r="AQ89" i="1"/>
  <c r="AD89" i="1"/>
  <c r="AK89" i="1"/>
  <c r="AT381" i="1"/>
  <c r="AM381" i="1"/>
  <c r="AJ381" i="1"/>
  <c r="AI381" i="1"/>
  <c r="AS381" i="1"/>
  <c r="AH381" i="1"/>
  <c r="AR381" i="1"/>
  <c r="AF381" i="1"/>
  <c r="AQ381" i="1"/>
  <c r="AE381" i="1"/>
  <c r="AP381" i="1"/>
  <c r="AN381" i="1"/>
  <c r="AD381" i="1"/>
  <c r="AT413" i="1"/>
  <c r="AM413" i="1"/>
  <c r="AJ413" i="1"/>
  <c r="AI413" i="1"/>
  <c r="AS413" i="1"/>
  <c r="AH413" i="1"/>
  <c r="AR413" i="1"/>
  <c r="AF413" i="1"/>
  <c r="AQ413" i="1"/>
  <c r="AE413" i="1"/>
  <c r="AP413" i="1"/>
  <c r="AN413" i="1"/>
  <c r="AD413" i="1"/>
  <c r="AO445" i="1"/>
  <c r="AT445" i="1"/>
  <c r="AL445" i="1"/>
  <c r="AK445" i="1"/>
  <c r="AH445" i="1"/>
  <c r="AF445" i="1"/>
  <c r="AD445" i="1"/>
  <c r="AP477" i="1"/>
  <c r="AN477" i="1"/>
  <c r="AN509" i="1"/>
  <c r="AP509" i="1"/>
  <c r="AI509" i="1"/>
  <c r="AH509" i="1"/>
  <c r="AG509" i="1"/>
  <c r="AL541" i="1"/>
  <c r="AD541" i="1"/>
  <c r="AN541" i="1"/>
  <c r="AS170" i="1"/>
  <c r="AQ170" i="1"/>
  <c r="AK170" i="1"/>
  <c r="AI170" i="1"/>
  <c r="AO170" i="1"/>
  <c r="AD170" i="1"/>
  <c r="AT402" i="1"/>
  <c r="AN402" i="1"/>
  <c r="AJ402" i="1"/>
  <c r="AI402" i="1"/>
  <c r="AS402" i="1"/>
  <c r="AH402" i="1"/>
  <c r="AR402" i="1"/>
  <c r="AG402" i="1"/>
  <c r="AQ402" i="1"/>
  <c r="AP402" i="1"/>
  <c r="AO402" i="1"/>
  <c r="AF402" i="1"/>
  <c r="AD402" i="1"/>
  <c r="AQ434" i="1"/>
  <c r="AJ434" i="1"/>
  <c r="AI434" i="1"/>
  <c r="AG434" i="1"/>
  <c r="AE434" i="1"/>
  <c r="AS434" i="1"/>
  <c r="AL434" i="1"/>
  <c r="AG498" i="1"/>
  <c r="AD498" i="1"/>
  <c r="AT498" i="1"/>
  <c r="AS498" i="1"/>
  <c r="AL498" i="1"/>
  <c r="AQ498" i="1"/>
  <c r="AK498" i="1"/>
  <c r="AL530" i="1"/>
  <c r="AT530" i="1"/>
  <c r="AQ530" i="1"/>
  <c r="AN530" i="1"/>
  <c r="AJ530" i="1"/>
  <c r="AF530" i="1"/>
  <c r="AG530" i="1"/>
  <c r="AM95" i="1"/>
  <c r="AJ95" i="1"/>
  <c r="AT95" i="1"/>
  <c r="AI95" i="1"/>
  <c r="AR95" i="1"/>
  <c r="AH95" i="1"/>
  <c r="AQ95" i="1"/>
  <c r="AG95" i="1"/>
  <c r="AP95" i="1"/>
  <c r="AF95" i="1"/>
  <c r="AO95" i="1"/>
  <c r="AN95" i="1"/>
  <c r="AL95" i="1"/>
  <c r="AD95" i="1"/>
  <c r="AM127" i="1"/>
  <c r="AT127" i="1"/>
  <c r="AI127" i="1"/>
  <c r="AR127" i="1"/>
  <c r="AH127" i="1"/>
  <c r="AQ127" i="1"/>
  <c r="AG127" i="1"/>
  <c r="AP127" i="1"/>
  <c r="AF127" i="1"/>
  <c r="AO127" i="1"/>
  <c r="AD127" i="1"/>
  <c r="AL127" i="1"/>
  <c r="AN127" i="1"/>
  <c r="AJ127" i="1"/>
  <c r="AM159" i="1"/>
  <c r="AR159" i="1"/>
  <c r="AH159" i="1"/>
  <c r="AQ159" i="1"/>
  <c r="AG159" i="1"/>
  <c r="AP159" i="1"/>
  <c r="AF159" i="1"/>
  <c r="AO159" i="1"/>
  <c r="AD159" i="1"/>
  <c r="AN159" i="1"/>
  <c r="AL159" i="1"/>
  <c r="AT159" i="1"/>
  <c r="AJ159" i="1"/>
  <c r="AI159" i="1"/>
  <c r="AM191" i="1"/>
  <c r="AF191" i="1"/>
  <c r="AQ191" i="1"/>
  <c r="AP191" i="1"/>
  <c r="AI191" i="1"/>
  <c r="AG191" i="1"/>
  <c r="AR191" i="1"/>
  <c r="AT223" i="1"/>
  <c r="AR223" i="1"/>
  <c r="AE223" i="1"/>
  <c r="AL255" i="1"/>
  <c r="AT255" i="1"/>
  <c r="AR255" i="1"/>
  <c r="AN255" i="1"/>
  <c r="AK255" i="1"/>
  <c r="AJ255" i="1"/>
  <c r="AF255" i="1"/>
  <c r="AD255" i="1"/>
  <c r="AN287" i="1"/>
  <c r="AI287" i="1"/>
  <c r="AR319" i="1"/>
  <c r="AQ319" i="1"/>
  <c r="AI319" i="1"/>
  <c r="AS351" i="1"/>
  <c r="AP351" i="1"/>
  <c r="AF351" i="1"/>
  <c r="AO351" i="1"/>
  <c r="AE351" i="1"/>
  <c r="AN351" i="1"/>
  <c r="AD351" i="1"/>
  <c r="AM351" i="1"/>
  <c r="AL351" i="1"/>
  <c r="AI351" i="1"/>
  <c r="AT351" i="1"/>
  <c r="AQ351" i="1"/>
  <c r="AH351" i="1"/>
  <c r="AG351" i="1"/>
  <c r="AS383" i="1"/>
  <c r="AQ383" i="1"/>
  <c r="AH383" i="1"/>
  <c r="AP383" i="1"/>
  <c r="AG383" i="1"/>
  <c r="AO383" i="1"/>
  <c r="AF383" i="1"/>
  <c r="AN383" i="1"/>
  <c r="AE383" i="1"/>
  <c r="AM383" i="1"/>
  <c r="AD383" i="1"/>
  <c r="AL383" i="1"/>
  <c r="AT383" i="1"/>
  <c r="AR383" i="1"/>
  <c r="AJ383" i="1"/>
  <c r="AI383" i="1"/>
  <c r="AS415" i="1"/>
  <c r="AQ415" i="1"/>
  <c r="AH415" i="1"/>
  <c r="AP415" i="1"/>
  <c r="AG415" i="1"/>
  <c r="AO415" i="1"/>
  <c r="AF415" i="1"/>
  <c r="AN415" i="1"/>
  <c r="AE415" i="1"/>
  <c r="AM415" i="1"/>
  <c r="AD415" i="1"/>
  <c r="AL415" i="1"/>
  <c r="AT415" i="1"/>
  <c r="AR415" i="1"/>
  <c r="AJ415" i="1"/>
  <c r="AI415" i="1"/>
  <c r="AS447" i="1"/>
  <c r="AQ447" i="1"/>
  <c r="AO447" i="1"/>
  <c r="AK479" i="1"/>
  <c r="AI479" i="1"/>
  <c r="AH479" i="1"/>
  <c r="AT479" i="1"/>
  <c r="AF479" i="1"/>
  <c r="AS479" i="1"/>
  <c r="AE479" i="1"/>
  <c r="AQ479" i="1"/>
  <c r="AO479" i="1"/>
  <c r="AL479" i="1"/>
  <c r="AN511" i="1"/>
  <c r="AR511" i="1"/>
  <c r="AH511" i="1"/>
  <c r="AQ511" i="1"/>
  <c r="AG511" i="1"/>
  <c r="AP511" i="1"/>
  <c r="AE511" i="1"/>
  <c r="AO511" i="1"/>
  <c r="AD511" i="1"/>
  <c r="AM511" i="1"/>
  <c r="AJ511" i="1"/>
  <c r="AT511" i="1"/>
  <c r="AL511" i="1"/>
  <c r="AI511" i="1"/>
  <c r="AN543" i="1"/>
  <c r="AJ543" i="1"/>
  <c r="AT543" i="1"/>
  <c r="AI543" i="1"/>
  <c r="AR543" i="1"/>
  <c r="AH543" i="1"/>
  <c r="AQ543" i="1"/>
  <c r="AG543" i="1"/>
  <c r="AP543" i="1"/>
  <c r="AE543" i="1"/>
  <c r="AM543" i="1"/>
  <c r="AO543" i="1"/>
  <c r="AL543" i="1"/>
  <c r="AD543" i="1"/>
  <c r="AG314" i="1"/>
  <c r="AE310" i="1"/>
  <c r="AT310" i="1"/>
  <c r="AI282" i="1"/>
  <c r="AH250" i="1"/>
  <c r="AG246" i="1"/>
  <c r="AM237" i="1"/>
  <c r="AP199" i="1"/>
  <c r="AJ186" i="1"/>
  <c r="AS186" i="1"/>
  <c r="AL203" i="1"/>
  <c r="AP186" i="1"/>
  <c r="AD186" i="1"/>
  <c r="AD146" i="1"/>
  <c r="AH146" i="1"/>
  <c r="AS173" i="1"/>
  <c r="AH138" i="1"/>
  <c r="AK141" i="1"/>
  <c r="AD98" i="1"/>
  <c r="AM86" i="1"/>
  <c r="AF173" i="1"/>
  <c r="AR173" i="1"/>
  <c r="AO141" i="1"/>
  <c r="AT133" i="1"/>
  <c r="AJ425" i="1"/>
  <c r="AO425" i="1"/>
  <c r="AO206" i="1"/>
  <c r="AS69" i="1"/>
  <c r="AH69" i="1"/>
  <c r="AG69" i="1"/>
  <c r="AT69" i="1"/>
  <c r="AF69" i="1"/>
  <c r="AR69" i="1"/>
  <c r="AE69" i="1"/>
  <c r="AP69" i="1"/>
  <c r="AO69" i="1"/>
  <c r="AN69" i="1"/>
  <c r="AK69" i="1"/>
  <c r="AL69" i="1"/>
  <c r="AD69" i="1"/>
  <c r="AS125" i="1"/>
  <c r="AI125" i="1"/>
  <c r="AL125" i="1"/>
  <c r="AM125" i="1"/>
  <c r="AH165" i="1"/>
  <c r="AE165" i="1"/>
  <c r="AS197" i="1"/>
  <c r="AG197" i="1"/>
  <c r="AR197" i="1"/>
  <c r="AE197" i="1"/>
  <c r="AQ197" i="1"/>
  <c r="AD197" i="1"/>
  <c r="AO197" i="1"/>
  <c r="AL197" i="1"/>
  <c r="AK197" i="1"/>
  <c r="AT197" i="1"/>
  <c r="AJ197" i="1"/>
  <c r="AI197" i="1"/>
  <c r="AM229" i="1"/>
  <c r="AE229" i="1"/>
  <c r="AS229" i="1"/>
  <c r="AQ229" i="1"/>
  <c r="AG229" i="1"/>
  <c r="AN229" i="1"/>
  <c r="AS265" i="1"/>
  <c r="AJ265" i="1"/>
  <c r="AT265" i="1"/>
  <c r="AI265" i="1"/>
  <c r="AR265" i="1"/>
  <c r="AG265" i="1"/>
  <c r="AQ265" i="1"/>
  <c r="AF265" i="1"/>
  <c r="AO265" i="1"/>
  <c r="AE265" i="1"/>
  <c r="AN265" i="1"/>
  <c r="AD265" i="1"/>
  <c r="AM265" i="1"/>
  <c r="AL265" i="1"/>
  <c r="AS297" i="1"/>
  <c r="AO297" i="1"/>
  <c r="AE297" i="1"/>
  <c r="AN297" i="1"/>
  <c r="AD297" i="1"/>
  <c r="AM297" i="1"/>
  <c r="AL297" i="1"/>
  <c r="AJ297" i="1"/>
  <c r="AT297" i="1"/>
  <c r="AR297" i="1"/>
  <c r="AQ297" i="1"/>
  <c r="AI297" i="1"/>
  <c r="AG297" i="1"/>
  <c r="AF297" i="1"/>
  <c r="AN329" i="1"/>
  <c r="AQ329" i="1"/>
  <c r="AE329" i="1"/>
  <c r="AP329" i="1"/>
  <c r="AO329" i="1"/>
  <c r="AM329" i="1"/>
  <c r="AJ329" i="1"/>
  <c r="AI329" i="1"/>
  <c r="AR329" i="1"/>
  <c r="AH329" i="1"/>
  <c r="AG329" i="1"/>
  <c r="AK365" i="1"/>
  <c r="AQ365" i="1"/>
  <c r="AP365" i="1"/>
  <c r="AL365" i="1"/>
  <c r="AI365" i="1"/>
  <c r="AH365" i="1"/>
  <c r="AE365" i="1"/>
  <c r="AS365" i="1"/>
  <c r="AR365" i="1"/>
  <c r="AD365" i="1"/>
  <c r="AS74" i="1"/>
  <c r="AD74" i="1"/>
  <c r="AQ74" i="1"/>
  <c r="AP74" i="1"/>
  <c r="AL74" i="1"/>
  <c r="AK74" i="1"/>
  <c r="AF74" i="1"/>
  <c r="AJ74" i="1"/>
  <c r="AI74" i="1"/>
  <c r="AT74" i="1"/>
  <c r="AH74" i="1"/>
  <c r="AK134" i="1"/>
  <c r="AH134" i="1"/>
  <c r="AN134" i="1"/>
  <c r="AJ134" i="1"/>
  <c r="AS174" i="1"/>
  <c r="AQ174" i="1"/>
  <c r="AK174" i="1"/>
  <c r="AI174" i="1"/>
  <c r="AF174" i="1"/>
  <c r="AS210" i="1"/>
  <c r="AE210" i="1"/>
  <c r="AR210" i="1"/>
  <c r="AO210" i="1"/>
  <c r="AM210" i="1"/>
  <c r="AK210" i="1"/>
  <c r="AJ210" i="1"/>
  <c r="AH210" i="1"/>
  <c r="AG210" i="1"/>
  <c r="AL210" i="1"/>
  <c r="AQ242" i="1"/>
  <c r="AP242" i="1"/>
  <c r="AH242" i="1"/>
  <c r="AF242" i="1"/>
  <c r="AI242" i="1"/>
  <c r="AP274" i="1"/>
  <c r="AL274" i="1"/>
  <c r="AK274" i="1"/>
  <c r="AJ274" i="1"/>
  <c r="AH274" i="1"/>
  <c r="AS274" i="1"/>
  <c r="AR274" i="1"/>
  <c r="AG274" i="1"/>
  <c r="AE274" i="1"/>
  <c r="AT274" i="1"/>
  <c r="AR306" i="1"/>
  <c r="AM306" i="1"/>
  <c r="AE306" i="1"/>
  <c r="AT338" i="1"/>
  <c r="AH338" i="1"/>
  <c r="AG338" i="1"/>
  <c r="AF338" i="1"/>
  <c r="AE338" i="1"/>
  <c r="AP338" i="1"/>
  <c r="AO338" i="1"/>
  <c r="AN338" i="1"/>
  <c r="AM338" i="1"/>
  <c r="AH370" i="1"/>
  <c r="AG370" i="1"/>
  <c r="AS370" i="1"/>
  <c r="AQ370" i="1"/>
  <c r="AN370" i="1"/>
  <c r="AK370" i="1"/>
  <c r="AJ370" i="1"/>
  <c r="AI370" i="1"/>
  <c r="AR93" i="1"/>
  <c r="AP93" i="1"/>
  <c r="AT93" i="1"/>
  <c r="AT385" i="1"/>
  <c r="AN385" i="1"/>
  <c r="AM385" i="1"/>
  <c r="AJ385" i="1"/>
  <c r="AI385" i="1"/>
  <c r="AS385" i="1"/>
  <c r="AH385" i="1"/>
  <c r="AR385" i="1"/>
  <c r="AF385" i="1"/>
  <c r="AQ385" i="1"/>
  <c r="AP385" i="1"/>
  <c r="AE385" i="1"/>
  <c r="AD385" i="1"/>
  <c r="AT417" i="1"/>
  <c r="AN417" i="1"/>
  <c r="AM417" i="1"/>
  <c r="AJ417" i="1"/>
  <c r="AI417" i="1"/>
  <c r="AS417" i="1"/>
  <c r="AH417" i="1"/>
  <c r="AR417" i="1"/>
  <c r="AF417" i="1"/>
  <c r="AE417" i="1"/>
  <c r="AD417" i="1"/>
  <c r="AQ417" i="1"/>
  <c r="AP417" i="1"/>
  <c r="AK449" i="1"/>
  <c r="AI449" i="1"/>
  <c r="AG449" i="1"/>
  <c r="AF449" i="1"/>
  <c r="AQ449" i="1"/>
  <c r="AE449" i="1"/>
  <c r="AP449" i="1"/>
  <c r="AO449" i="1"/>
  <c r="AM449" i="1"/>
  <c r="AT513" i="1"/>
  <c r="AF513" i="1"/>
  <c r="AK78" i="1"/>
  <c r="AR78" i="1"/>
  <c r="AQ78" i="1"/>
  <c r="AL78" i="1"/>
  <c r="AJ78" i="1"/>
  <c r="AI78" i="1"/>
  <c r="AT78" i="1"/>
  <c r="AS78" i="1"/>
  <c r="AH78" i="1"/>
  <c r="AF78" i="1"/>
  <c r="AE78" i="1"/>
  <c r="AP182" i="1"/>
  <c r="AM182" i="1"/>
  <c r="AK182" i="1"/>
  <c r="AJ182" i="1"/>
  <c r="AI182" i="1"/>
  <c r="AH182" i="1"/>
  <c r="AS182" i="1"/>
  <c r="AR182" i="1"/>
  <c r="AE182" i="1"/>
  <c r="AT406" i="1"/>
  <c r="AO406" i="1"/>
  <c r="AN406" i="1"/>
  <c r="AJ406" i="1"/>
  <c r="AI406" i="1"/>
  <c r="AS406" i="1"/>
  <c r="AH406" i="1"/>
  <c r="AG406" i="1"/>
  <c r="AF406" i="1"/>
  <c r="AD406" i="1"/>
  <c r="AR406" i="1"/>
  <c r="AQ406" i="1"/>
  <c r="AP406" i="1"/>
  <c r="AO438" i="1"/>
  <c r="AD438" i="1"/>
  <c r="AN438" i="1"/>
  <c r="AM438" i="1"/>
  <c r="AK438" i="1"/>
  <c r="AJ438" i="1"/>
  <c r="AT438" i="1"/>
  <c r="AI438" i="1"/>
  <c r="AF438" i="1"/>
  <c r="AE438" i="1"/>
  <c r="AS438" i="1"/>
  <c r="AR438" i="1"/>
  <c r="AE470" i="1"/>
  <c r="AQ470" i="1"/>
  <c r="AN470" i="1"/>
  <c r="AL470" i="1"/>
  <c r="AI470" i="1"/>
  <c r="AH470" i="1"/>
  <c r="AF470" i="1"/>
  <c r="AK502" i="1"/>
  <c r="AJ502" i="1"/>
  <c r="AI502" i="1"/>
  <c r="AT502" i="1"/>
  <c r="AE502" i="1"/>
  <c r="AS502" i="1"/>
  <c r="AD502" i="1"/>
  <c r="AM502" i="1"/>
  <c r="AR502" i="1"/>
  <c r="AL502" i="1"/>
  <c r="AS534" i="1"/>
  <c r="AO534" i="1"/>
  <c r="AN534" i="1"/>
  <c r="AD534" i="1"/>
  <c r="AM99" i="1"/>
  <c r="AL99" i="1"/>
  <c r="AJ99" i="1"/>
  <c r="AT99" i="1"/>
  <c r="AI99" i="1"/>
  <c r="AR99" i="1"/>
  <c r="AH99" i="1"/>
  <c r="AQ99" i="1"/>
  <c r="AG99" i="1"/>
  <c r="AP99" i="1"/>
  <c r="AO99" i="1"/>
  <c r="AF99" i="1"/>
  <c r="AD99" i="1"/>
  <c r="AN99" i="1"/>
  <c r="AK99" i="1"/>
  <c r="AM131" i="1"/>
  <c r="AQ131" i="1"/>
  <c r="AG131" i="1"/>
  <c r="AP131" i="1"/>
  <c r="AF131" i="1"/>
  <c r="AO131" i="1"/>
  <c r="AD131" i="1"/>
  <c r="AN131" i="1"/>
  <c r="AL131" i="1"/>
  <c r="AT131" i="1"/>
  <c r="AI131" i="1"/>
  <c r="AR131" i="1"/>
  <c r="AJ131" i="1"/>
  <c r="AH131" i="1"/>
  <c r="AK131" i="1"/>
  <c r="AM163" i="1"/>
  <c r="AO163" i="1"/>
  <c r="AD163" i="1"/>
  <c r="AN163" i="1"/>
  <c r="AL163" i="1"/>
  <c r="AJ163" i="1"/>
  <c r="AT163" i="1"/>
  <c r="AI163" i="1"/>
  <c r="AR163" i="1"/>
  <c r="AH163" i="1"/>
  <c r="AQ163" i="1"/>
  <c r="AP163" i="1"/>
  <c r="AG163" i="1"/>
  <c r="AF163" i="1"/>
  <c r="AK163" i="1"/>
  <c r="AK195" i="1"/>
  <c r="AI195" i="1"/>
  <c r="AH195" i="1"/>
  <c r="AF195" i="1"/>
  <c r="AS195" i="1"/>
  <c r="AP195" i="1"/>
  <c r="AM195" i="1"/>
  <c r="AR195" i="1"/>
  <c r="AG195" i="1"/>
  <c r="AS227" i="1"/>
  <c r="AQ227" i="1"/>
  <c r="AL227" i="1"/>
  <c r="AD227" i="1"/>
  <c r="AK227" i="1"/>
  <c r="AD259" i="1"/>
  <c r="AR259" i="1"/>
  <c r="AQ259" i="1"/>
  <c r="AM259" i="1"/>
  <c r="AL259" i="1"/>
  <c r="AI259" i="1"/>
  <c r="AE259" i="1"/>
  <c r="AP259" i="1"/>
  <c r="AS291" i="1"/>
  <c r="AE291" i="1"/>
  <c r="AR291" i="1"/>
  <c r="AP291" i="1"/>
  <c r="AM291" i="1"/>
  <c r="AK291" i="1"/>
  <c r="AJ291" i="1"/>
  <c r="AI291" i="1"/>
  <c r="AH291" i="1"/>
  <c r="AR323" i="1"/>
  <c r="AK323" i="1"/>
  <c r="AS355" i="1"/>
  <c r="AL355" i="1"/>
  <c r="AI355" i="1"/>
  <c r="AT355" i="1"/>
  <c r="AH355" i="1"/>
  <c r="AQ355" i="1"/>
  <c r="AG355" i="1"/>
  <c r="AP355" i="1"/>
  <c r="AF355" i="1"/>
  <c r="AO355" i="1"/>
  <c r="AE355" i="1"/>
  <c r="AN355" i="1"/>
  <c r="AM355" i="1"/>
  <c r="AD355" i="1"/>
  <c r="AS387" i="1"/>
  <c r="AR387" i="1"/>
  <c r="AI387" i="1"/>
  <c r="AQ387" i="1"/>
  <c r="AH387" i="1"/>
  <c r="AP387" i="1"/>
  <c r="AG387" i="1"/>
  <c r="AO387" i="1"/>
  <c r="AF387" i="1"/>
  <c r="AN387" i="1"/>
  <c r="AE387" i="1"/>
  <c r="AM387" i="1"/>
  <c r="AD387" i="1"/>
  <c r="AT387" i="1"/>
  <c r="AL387" i="1"/>
  <c r="AJ387" i="1"/>
  <c r="AS419" i="1"/>
  <c r="AQ419" i="1"/>
  <c r="AH419" i="1"/>
  <c r="AP419" i="1"/>
  <c r="AG419" i="1"/>
  <c r="AO419" i="1"/>
  <c r="AF419" i="1"/>
  <c r="AN419" i="1"/>
  <c r="AE419" i="1"/>
  <c r="AM419" i="1"/>
  <c r="AD419" i="1"/>
  <c r="AL419" i="1"/>
  <c r="AJ419" i="1"/>
  <c r="AI419" i="1"/>
  <c r="AT419" i="1"/>
  <c r="AR419" i="1"/>
  <c r="AR451" i="1"/>
  <c r="AK451" i="1"/>
  <c r="AI451" i="1"/>
  <c r="AG451" i="1"/>
  <c r="AE451" i="1"/>
  <c r="AM451" i="1"/>
  <c r="AP483" i="1"/>
  <c r="AM483" i="1"/>
  <c r="AL483" i="1"/>
  <c r="AI483" i="1"/>
  <c r="AG483" i="1"/>
  <c r="AF483" i="1"/>
  <c r="AS483" i="1"/>
  <c r="AN515" i="1"/>
  <c r="AJ515" i="1"/>
  <c r="AT515" i="1"/>
  <c r="AI515" i="1"/>
  <c r="AR515" i="1"/>
  <c r="AH515" i="1"/>
  <c r="AQ515" i="1"/>
  <c r="AG515" i="1"/>
  <c r="AP515" i="1"/>
  <c r="AE515" i="1"/>
  <c r="AM515" i="1"/>
  <c r="AO515" i="1"/>
  <c r="AL515" i="1"/>
  <c r="AD515" i="1"/>
  <c r="AK73" i="1"/>
  <c r="AH73" i="1"/>
  <c r="AF73" i="1"/>
  <c r="AT73" i="1"/>
  <c r="AE73" i="1"/>
  <c r="AS73" i="1"/>
  <c r="AR73" i="1"/>
  <c r="AP73" i="1"/>
  <c r="AL73" i="1"/>
  <c r="AJ73" i="1"/>
  <c r="AI73" i="1"/>
  <c r="AJ137" i="1"/>
  <c r="AE137" i="1"/>
  <c r="AS137" i="1"/>
  <c r="AM137" i="1"/>
  <c r="AR137" i="1"/>
  <c r="AK137" i="1"/>
  <c r="AQ137" i="1"/>
  <c r="AT137" i="1"/>
  <c r="AR169" i="1"/>
  <c r="AN169" i="1"/>
  <c r="AK169" i="1"/>
  <c r="AP201" i="1"/>
  <c r="AO201" i="1"/>
  <c r="AM201" i="1"/>
  <c r="AL201" i="1"/>
  <c r="AJ201" i="1"/>
  <c r="AI201" i="1"/>
  <c r="AT201" i="1"/>
  <c r="AG201" i="1"/>
  <c r="AR201" i="1"/>
  <c r="AE201" i="1"/>
  <c r="AQ201" i="1"/>
  <c r="AD201" i="1"/>
  <c r="AS233" i="1"/>
  <c r="AK233" i="1"/>
  <c r="AI233" i="1"/>
  <c r="AH233" i="1"/>
  <c r="AR233" i="1"/>
  <c r="AG233" i="1"/>
  <c r="AQ233" i="1"/>
  <c r="AF233" i="1"/>
  <c r="AP233" i="1"/>
  <c r="AE233" i="1"/>
  <c r="AO233" i="1"/>
  <c r="AN233" i="1"/>
  <c r="AS269" i="1"/>
  <c r="AN269" i="1"/>
  <c r="AD269" i="1"/>
  <c r="AM269" i="1"/>
  <c r="AL269" i="1"/>
  <c r="AJ269" i="1"/>
  <c r="AT269" i="1"/>
  <c r="AI269" i="1"/>
  <c r="AF269" i="1"/>
  <c r="AE269" i="1"/>
  <c r="AR269" i="1"/>
  <c r="AQ269" i="1"/>
  <c r="AO269" i="1"/>
  <c r="AG269" i="1"/>
  <c r="AS301" i="1"/>
  <c r="AT301" i="1"/>
  <c r="AI301" i="1"/>
  <c r="AR301" i="1"/>
  <c r="AG301" i="1"/>
  <c r="AQ301" i="1"/>
  <c r="AF301" i="1"/>
  <c r="AO301" i="1"/>
  <c r="AE301" i="1"/>
  <c r="AN301" i="1"/>
  <c r="AD301" i="1"/>
  <c r="AM301" i="1"/>
  <c r="AL301" i="1"/>
  <c r="AJ301" i="1"/>
  <c r="AN333" i="1"/>
  <c r="AP333" i="1"/>
  <c r="AO333" i="1"/>
  <c r="AM333" i="1"/>
  <c r="AJ333" i="1"/>
  <c r="AI333" i="1"/>
  <c r="AH333" i="1"/>
  <c r="AR333" i="1"/>
  <c r="AQ333" i="1"/>
  <c r="AG333" i="1"/>
  <c r="AE333" i="1"/>
  <c r="AL369" i="1"/>
  <c r="AI369" i="1"/>
  <c r="AH369" i="1"/>
  <c r="AE369" i="1"/>
  <c r="AT369" i="1"/>
  <c r="AS369" i="1"/>
  <c r="AR369" i="1"/>
  <c r="AQ369" i="1"/>
  <c r="AJ369" i="1"/>
  <c r="AH82" i="1"/>
  <c r="AF82" i="1"/>
  <c r="AQ82" i="1"/>
  <c r="AP82" i="1"/>
  <c r="AN82" i="1"/>
  <c r="AK82" i="1"/>
  <c r="AD82" i="1"/>
  <c r="AS138" i="1"/>
  <c r="AP138" i="1"/>
  <c r="AK138" i="1"/>
  <c r="AI138" i="1"/>
  <c r="AQ138" i="1"/>
  <c r="AF138" i="1"/>
  <c r="AS178" i="1"/>
  <c r="AI178" i="1"/>
  <c r="AQ178" i="1"/>
  <c r="AK178" i="1"/>
  <c r="AT178" i="1"/>
  <c r="AE178" i="1"/>
  <c r="AQ214" i="1"/>
  <c r="AO214" i="1"/>
  <c r="AM214" i="1"/>
  <c r="AI214" i="1"/>
  <c r="AF214" i="1"/>
  <c r="AE214" i="1"/>
  <c r="AH214" i="1"/>
  <c r="AT246" i="1"/>
  <c r="AM246" i="1"/>
  <c r="AI246" i="1"/>
  <c r="AH246" i="1"/>
  <c r="AF246" i="1"/>
  <c r="AD246" i="1"/>
  <c r="AS246" i="1"/>
  <c r="AQ246" i="1"/>
  <c r="AO246" i="1"/>
  <c r="AR278" i="1"/>
  <c r="AH278" i="1"/>
  <c r="AG278" i="1"/>
  <c r="AQ278" i="1"/>
  <c r="AR310" i="1"/>
  <c r="AK310" i="1"/>
  <c r="AT342" i="1"/>
  <c r="AM342" i="1"/>
  <c r="AH342" i="1"/>
  <c r="AG342" i="1"/>
  <c r="AF342" i="1"/>
  <c r="AE342" i="1"/>
  <c r="AP342" i="1"/>
  <c r="AO342" i="1"/>
  <c r="AN342" i="1"/>
  <c r="AO374" i="1"/>
  <c r="AJ374" i="1"/>
  <c r="AS129" i="1"/>
  <c r="AR129" i="1"/>
  <c r="AM129" i="1"/>
  <c r="AK129" i="1"/>
  <c r="AE129" i="1"/>
  <c r="AJ129" i="1"/>
  <c r="AN129" i="1"/>
  <c r="AT389" i="1"/>
  <c r="AP389" i="1"/>
  <c r="AD389" i="1"/>
  <c r="AN389" i="1"/>
  <c r="AM389" i="1"/>
  <c r="AJ389" i="1"/>
  <c r="AI389" i="1"/>
  <c r="AS389" i="1"/>
  <c r="AH389" i="1"/>
  <c r="AF389" i="1"/>
  <c r="AE389" i="1"/>
  <c r="AR389" i="1"/>
  <c r="AQ389" i="1"/>
  <c r="AL421" i="1"/>
  <c r="AK421" i="1"/>
  <c r="AJ421" i="1"/>
  <c r="AD421" i="1"/>
  <c r="AT421" i="1"/>
  <c r="AP421" i="1"/>
  <c r="AN421" i="1"/>
  <c r="AG453" i="1"/>
  <c r="AE453" i="1"/>
  <c r="AP517" i="1"/>
  <c r="AN517" i="1"/>
  <c r="AI517" i="1"/>
  <c r="AF517" i="1"/>
  <c r="AE517" i="1"/>
  <c r="AT517" i="1"/>
  <c r="AS517" i="1"/>
  <c r="AD517" i="1"/>
  <c r="AP94" i="1"/>
  <c r="AN94" i="1"/>
  <c r="AK94" i="1"/>
  <c r="AH94" i="1"/>
  <c r="AF94" i="1"/>
  <c r="AQ94" i="1"/>
  <c r="AL94" i="1"/>
  <c r="AP378" i="1"/>
  <c r="AK378" i="1"/>
  <c r="AF378" i="1"/>
  <c r="AT410" i="1"/>
  <c r="AP410" i="1"/>
  <c r="AD410" i="1"/>
  <c r="AO410" i="1"/>
  <c r="AN410" i="1"/>
  <c r="AJ410" i="1"/>
  <c r="AI410" i="1"/>
  <c r="AS410" i="1"/>
  <c r="AH410" i="1"/>
  <c r="AG410" i="1"/>
  <c r="AF410" i="1"/>
  <c r="AR410" i="1"/>
  <c r="AQ410" i="1"/>
  <c r="AT442" i="1"/>
  <c r="AS442" i="1"/>
  <c r="AQ442" i="1"/>
  <c r="AL538" i="1"/>
  <c r="AQ538" i="1"/>
  <c r="AO538" i="1"/>
  <c r="AJ538" i="1"/>
  <c r="AF538" i="1"/>
  <c r="AD538" i="1"/>
  <c r="AT538" i="1"/>
  <c r="AM103" i="1"/>
  <c r="AR103" i="1"/>
  <c r="AH103" i="1"/>
  <c r="AQ103" i="1"/>
  <c r="AG103" i="1"/>
  <c r="AP103" i="1"/>
  <c r="AF103" i="1"/>
  <c r="AO103" i="1"/>
  <c r="AD103" i="1"/>
  <c r="AN103" i="1"/>
  <c r="AJ103" i="1"/>
  <c r="AI103" i="1"/>
  <c r="AT103" i="1"/>
  <c r="AL103" i="1"/>
  <c r="AM135" i="1"/>
  <c r="AN135" i="1"/>
  <c r="AL135" i="1"/>
  <c r="AJ135" i="1"/>
  <c r="AT135" i="1"/>
  <c r="AI135" i="1"/>
  <c r="AR135" i="1"/>
  <c r="AH135" i="1"/>
  <c r="AP135" i="1"/>
  <c r="AF135" i="1"/>
  <c r="AQ135" i="1"/>
  <c r="AO135" i="1"/>
  <c r="AG135" i="1"/>
  <c r="AD135" i="1"/>
  <c r="AM167" i="1"/>
  <c r="AJ167" i="1"/>
  <c r="AT167" i="1"/>
  <c r="AI167" i="1"/>
  <c r="AR167" i="1"/>
  <c r="AH167" i="1"/>
  <c r="AQ167" i="1"/>
  <c r="AG167" i="1"/>
  <c r="AP167" i="1"/>
  <c r="AF167" i="1"/>
  <c r="AO167" i="1"/>
  <c r="AD167" i="1"/>
  <c r="AN167" i="1"/>
  <c r="AL167" i="1"/>
  <c r="AN199" i="1"/>
  <c r="AQ199" i="1"/>
  <c r="AH199" i="1"/>
  <c r="AE199" i="1"/>
  <c r="AF199" i="1"/>
  <c r="AT199" i="1"/>
  <c r="AS231" i="1"/>
  <c r="AN231" i="1"/>
  <c r="AM231" i="1"/>
  <c r="AK231" i="1"/>
  <c r="AI231" i="1"/>
  <c r="AT231" i="1"/>
  <c r="AG231" i="1"/>
  <c r="AR231" i="1"/>
  <c r="AF231" i="1"/>
  <c r="AE231" i="1"/>
  <c r="AD231" i="1"/>
  <c r="AQ231" i="1"/>
  <c r="AO231" i="1"/>
  <c r="AI263" i="1"/>
  <c r="AF263" i="1"/>
  <c r="AS263" i="1"/>
  <c r="AE263" i="1"/>
  <c r="AR263" i="1"/>
  <c r="AD263" i="1"/>
  <c r="AO263" i="1"/>
  <c r="AN263" i="1"/>
  <c r="AM263" i="1"/>
  <c r="AJ263" i="1"/>
  <c r="AJ295" i="1"/>
  <c r="AI295" i="1"/>
  <c r="AH295" i="1"/>
  <c r="AS295" i="1"/>
  <c r="AE295" i="1"/>
  <c r="AR295" i="1"/>
  <c r="AP295" i="1"/>
  <c r="AM295" i="1"/>
  <c r="AK295" i="1"/>
  <c r="AT327" i="1"/>
  <c r="AF327" i="1"/>
  <c r="AS327" i="1"/>
  <c r="AE327" i="1"/>
  <c r="AQ327" i="1"/>
  <c r="AD327" i="1"/>
  <c r="AO327" i="1"/>
  <c r="AN327" i="1"/>
  <c r="AL327" i="1"/>
  <c r="AK327" i="1"/>
  <c r="AG327" i="1"/>
  <c r="AS359" i="1"/>
  <c r="AQ359" i="1"/>
  <c r="AG359" i="1"/>
  <c r="AP359" i="1"/>
  <c r="AF359" i="1"/>
  <c r="AO359" i="1"/>
  <c r="AE359" i="1"/>
  <c r="AN359" i="1"/>
  <c r="AD359" i="1"/>
  <c r="AM359" i="1"/>
  <c r="AL359" i="1"/>
  <c r="AT359" i="1"/>
  <c r="AI359" i="1"/>
  <c r="AH359" i="1"/>
  <c r="AS391" i="1"/>
  <c r="AT391" i="1"/>
  <c r="AJ391" i="1"/>
  <c r="AR391" i="1"/>
  <c r="AI391" i="1"/>
  <c r="AQ391" i="1"/>
  <c r="AH391" i="1"/>
  <c r="AP391" i="1"/>
  <c r="AG391" i="1"/>
  <c r="AO391" i="1"/>
  <c r="AF391" i="1"/>
  <c r="AN391" i="1"/>
  <c r="AE391" i="1"/>
  <c r="AM391" i="1"/>
  <c r="AL391" i="1"/>
  <c r="AD391" i="1"/>
  <c r="AS423" i="1"/>
  <c r="AR423" i="1"/>
  <c r="AI423" i="1"/>
  <c r="AQ423" i="1"/>
  <c r="AH423" i="1"/>
  <c r="AP423" i="1"/>
  <c r="AG423" i="1"/>
  <c r="AO423" i="1"/>
  <c r="AF423" i="1"/>
  <c r="AN423" i="1"/>
  <c r="AE423" i="1"/>
  <c r="AM423" i="1"/>
  <c r="AD423" i="1"/>
  <c r="AT423" i="1"/>
  <c r="AL423" i="1"/>
  <c r="AJ423" i="1"/>
  <c r="AT487" i="1"/>
  <c r="AN487" i="1"/>
  <c r="AM487" i="1"/>
  <c r="AH487" i="1"/>
  <c r="AN519" i="1"/>
  <c r="AP519" i="1"/>
  <c r="AE519" i="1"/>
  <c r="AO519" i="1"/>
  <c r="AD519" i="1"/>
  <c r="AM519" i="1"/>
  <c r="AL519" i="1"/>
  <c r="AJ519" i="1"/>
  <c r="AR519" i="1"/>
  <c r="AH519" i="1"/>
  <c r="AT519" i="1"/>
  <c r="AQ519" i="1"/>
  <c r="AI519" i="1"/>
  <c r="AG519" i="1"/>
  <c r="AS88" i="1"/>
  <c r="AR88" i="1"/>
  <c r="AI88" i="1"/>
  <c r="AQ88" i="1"/>
  <c r="AH88" i="1"/>
  <c r="AP88" i="1"/>
  <c r="AG88" i="1"/>
  <c r="AO88" i="1"/>
  <c r="AF88" i="1"/>
  <c r="AN88" i="1"/>
  <c r="AE88" i="1"/>
  <c r="AT88" i="1"/>
  <c r="AM88" i="1"/>
  <c r="AL88" i="1"/>
  <c r="AJ88" i="1"/>
  <c r="AD88" i="1"/>
  <c r="AS156" i="1"/>
  <c r="AM156" i="1"/>
  <c r="AD156" i="1"/>
  <c r="AL156" i="1"/>
  <c r="AT156" i="1"/>
  <c r="AJ156" i="1"/>
  <c r="AR156" i="1"/>
  <c r="AI156" i="1"/>
  <c r="AQ156" i="1"/>
  <c r="AH156" i="1"/>
  <c r="AP156" i="1"/>
  <c r="AG156" i="1"/>
  <c r="AO156" i="1"/>
  <c r="AN156" i="1"/>
  <c r="AF156" i="1"/>
  <c r="AE156" i="1"/>
  <c r="AN188" i="1"/>
  <c r="AL188" i="1"/>
  <c r="AK188" i="1"/>
  <c r="AI188" i="1"/>
  <c r="AG188" i="1"/>
  <c r="AT188" i="1"/>
  <c r="AF188" i="1"/>
  <c r="AD188" i="1"/>
  <c r="AS188" i="1"/>
  <c r="AQ188" i="1"/>
  <c r="AM220" i="1"/>
  <c r="AK220" i="1"/>
  <c r="AJ220" i="1"/>
  <c r="AH220" i="1"/>
  <c r="AT220" i="1"/>
  <c r="AE220" i="1"/>
  <c r="AS220" i="1"/>
  <c r="AD220" i="1"/>
  <c r="AQ220" i="1"/>
  <c r="AO220" i="1"/>
  <c r="AH288" i="1"/>
  <c r="AT288" i="1"/>
  <c r="AG288" i="1"/>
  <c r="AS288" i="1"/>
  <c r="AF288" i="1"/>
  <c r="AQ288" i="1"/>
  <c r="AP288" i="1"/>
  <c r="AL288" i="1"/>
  <c r="AK288" i="1"/>
  <c r="AI288" i="1"/>
  <c r="AM320" i="1"/>
  <c r="AQ320" i="1"/>
  <c r="AP320" i="1"/>
  <c r="AO320" i="1"/>
  <c r="AN320" i="1"/>
  <c r="AI320" i="1"/>
  <c r="AH320" i="1"/>
  <c r="AG320" i="1"/>
  <c r="AF320" i="1"/>
  <c r="AL352" i="1"/>
  <c r="AK352" i="1"/>
  <c r="AJ352" i="1"/>
  <c r="AG352" i="1"/>
  <c r="AE352" i="1"/>
  <c r="AT352" i="1"/>
  <c r="AS352" i="1"/>
  <c r="AO352" i="1"/>
  <c r="AT384" i="1"/>
  <c r="AH384" i="1"/>
  <c r="AS384" i="1"/>
  <c r="AG384" i="1"/>
  <c r="AR384" i="1"/>
  <c r="AF384" i="1"/>
  <c r="AP384" i="1"/>
  <c r="AE384" i="1"/>
  <c r="AO384" i="1"/>
  <c r="AD384" i="1"/>
  <c r="AN384" i="1"/>
  <c r="AM384" i="1"/>
  <c r="AJ384" i="1"/>
  <c r="AT416" i="1"/>
  <c r="AH416" i="1"/>
  <c r="AS416" i="1"/>
  <c r="AG416" i="1"/>
  <c r="AR416" i="1"/>
  <c r="AF416" i="1"/>
  <c r="AP416" i="1"/>
  <c r="AE416" i="1"/>
  <c r="AO416" i="1"/>
  <c r="AD416" i="1"/>
  <c r="AN416" i="1"/>
  <c r="AM416" i="1"/>
  <c r="AJ416" i="1"/>
  <c r="AO448" i="1"/>
  <c r="AR448" i="1"/>
  <c r="AQ448" i="1"/>
  <c r="AI480" i="1"/>
  <c r="AD480" i="1"/>
  <c r="AS480" i="1"/>
  <c r="AN480" i="1"/>
  <c r="AM480" i="1"/>
  <c r="AK480" i="1"/>
  <c r="AJ480" i="1"/>
  <c r="AO512" i="1"/>
  <c r="AN512" i="1"/>
  <c r="AM512" i="1"/>
  <c r="AH512" i="1"/>
  <c r="AF512" i="1"/>
  <c r="AE512" i="1"/>
  <c r="AP512" i="1"/>
  <c r="AS544" i="1"/>
  <c r="AN544" i="1"/>
  <c r="AO544" i="1"/>
  <c r="AG544" i="1"/>
  <c r="AS92" i="1"/>
  <c r="AT92" i="1"/>
  <c r="AJ92" i="1"/>
  <c r="AR92" i="1"/>
  <c r="AI92" i="1"/>
  <c r="AQ92" i="1"/>
  <c r="AH92" i="1"/>
  <c r="AP92" i="1"/>
  <c r="AG92" i="1"/>
  <c r="AO92" i="1"/>
  <c r="AF92" i="1"/>
  <c r="AN92" i="1"/>
  <c r="AM92" i="1"/>
  <c r="AE92" i="1"/>
  <c r="AD92" i="1"/>
  <c r="AL92" i="1"/>
  <c r="AS124" i="1"/>
  <c r="AN124" i="1"/>
  <c r="AE124" i="1"/>
  <c r="AM124" i="1"/>
  <c r="AD124" i="1"/>
  <c r="AL124" i="1"/>
  <c r="AT124" i="1"/>
  <c r="AJ124" i="1"/>
  <c r="AR124" i="1"/>
  <c r="AI124" i="1"/>
  <c r="AP124" i="1"/>
  <c r="AG124" i="1"/>
  <c r="AQ124" i="1"/>
  <c r="AO124" i="1"/>
  <c r="AH124" i="1"/>
  <c r="AF124" i="1"/>
  <c r="AS160" i="1"/>
  <c r="AR160" i="1"/>
  <c r="AI160" i="1"/>
  <c r="AQ160" i="1"/>
  <c r="AH160" i="1"/>
  <c r="AP160" i="1"/>
  <c r="AG160" i="1"/>
  <c r="AO160" i="1"/>
  <c r="AF160" i="1"/>
  <c r="AN160" i="1"/>
  <c r="AE160" i="1"/>
  <c r="AM160" i="1"/>
  <c r="AD160" i="1"/>
  <c r="AL160" i="1"/>
  <c r="AJ160" i="1"/>
  <c r="AT160" i="1"/>
  <c r="AL192" i="1"/>
  <c r="AK192" i="1"/>
  <c r="AT224" i="1"/>
  <c r="AR224" i="1"/>
  <c r="AO260" i="1"/>
  <c r="AG260" i="1"/>
  <c r="AT260" i="1"/>
  <c r="AS260" i="1"/>
  <c r="AL260" i="1"/>
  <c r="AH260" i="1"/>
  <c r="AS292" i="1"/>
  <c r="AQ292" i="1"/>
  <c r="AO292" i="1"/>
  <c r="AN292" i="1"/>
  <c r="AH292" i="1"/>
  <c r="AG292" i="1"/>
  <c r="AF292" i="1"/>
  <c r="AM324" i="1"/>
  <c r="AI324" i="1"/>
  <c r="AH324" i="1"/>
  <c r="AG324" i="1"/>
  <c r="AF324" i="1"/>
  <c r="AQ324" i="1"/>
  <c r="AP324" i="1"/>
  <c r="AO324" i="1"/>
  <c r="AN324" i="1"/>
  <c r="AJ356" i="1"/>
  <c r="AT356" i="1"/>
  <c r="AM356" i="1"/>
  <c r="AL356" i="1"/>
  <c r="AK356" i="1"/>
  <c r="AT388" i="1"/>
  <c r="AJ388" i="1"/>
  <c r="AH388" i="1"/>
  <c r="AS388" i="1"/>
  <c r="AG388" i="1"/>
  <c r="AR388" i="1"/>
  <c r="AF388" i="1"/>
  <c r="AP388" i="1"/>
  <c r="AE388" i="1"/>
  <c r="AO388" i="1"/>
  <c r="AD388" i="1"/>
  <c r="AN388" i="1"/>
  <c r="AM388" i="1"/>
  <c r="AN484" i="1"/>
  <c r="AL484" i="1"/>
  <c r="AK484" i="1"/>
  <c r="AJ484" i="1"/>
  <c r="AE484" i="1"/>
  <c r="AT484" i="1"/>
  <c r="AO484" i="1"/>
  <c r="AD484" i="1"/>
  <c r="AS545" i="1"/>
  <c r="AT545" i="1"/>
  <c r="AF545" i="1"/>
  <c r="AQ545" i="1"/>
  <c r="AE545" i="1"/>
  <c r="AP545" i="1"/>
  <c r="AD545" i="1"/>
  <c r="AN545" i="1"/>
  <c r="AM545" i="1"/>
  <c r="AI545" i="1"/>
  <c r="AL545" i="1"/>
  <c r="AH545" i="1"/>
  <c r="AS185" i="1"/>
  <c r="AD185" i="1"/>
  <c r="AR185" i="1"/>
  <c r="AO185" i="1"/>
  <c r="AL185" i="1"/>
  <c r="AK185" i="1"/>
  <c r="AJ185" i="1"/>
  <c r="AT185" i="1"/>
  <c r="AI185" i="1"/>
  <c r="AG185" i="1"/>
  <c r="AK217" i="1"/>
  <c r="AN217" i="1"/>
  <c r="AJ217" i="1"/>
  <c r="AI217" i="1"/>
  <c r="AG217" i="1"/>
  <c r="AE217" i="1"/>
  <c r="AS217" i="1"/>
  <c r="AR217" i="1"/>
  <c r="AP217" i="1"/>
  <c r="AK249" i="1"/>
  <c r="AG249" i="1"/>
  <c r="AE249" i="1"/>
  <c r="AS249" i="1"/>
  <c r="AR249" i="1"/>
  <c r="AP249" i="1"/>
  <c r="AN249" i="1"/>
  <c r="AJ249" i="1"/>
  <c r="AI249" i="1"/>
  <c r="AS285" i="1"/>
  <c r="AO285" i="1"/>
  <c r="AE285" i="1"/>
  <c r="AN285" i="1"/>
  <c r="AD285" i="1"/>
  <c r="AM285" i="1"/>
  <c r="AL285" i="1"/>
  <c r="AJ285" i="1"/>
  <c r="AF285" i="1"/>
  <c r="AT285" i="1"/>
  <c r="AR285" i="1"/>
  <c r="AQ285" i="1"/>
  <c r="AI285" i="1"/>
  <c r="AG285" i="1"/>
  <c r="AS317" i="1"/>
  <c r="AQ317" i="1"/>
  <c r="AF317" i="1"/>
  <c r="AO317" i="1"/>
  <c r="AE317" i="1"/>
  <c r="AN317" i="1"/>
  <c r="AD317" i="1"/>
  <c r="AM317" i="1"/>
  <c r="AL317" i="1"/>
  <c r="AJ317" i="1"/>
  <c r="AT317" i="1"/>
  <c r="AR317" i="1"/>
  <c r="AI317" i="1"/>
  <c r="AG317" i="1"/>
  <c r="AS62" i="1"/>
  <c r="AH62" i="1"/>
  <c r="AT62" i="1"/>
  <c r="AF62" i="1"/>
  <c r="AR62" i="1"/>
  <c r="AE62" i="1"/>
  <c r="AQ62" i="1"/>
  <c r="AP62" i="1"/>
  <c r="AN62" i="1"/>
  <c r="AI62" i="1"/>
  <c r="AK62" i="1"/>
  <c r="AS114" i="1"/>
  <c r="AK114" i="1"/>
  <c r="AI114" i="1"/>
  <c r="AQ114" i="1"/>
  <c r="AP114" i="1"/>
  <c r="AS158" i="1"/>
  <c r="AQ158" i="1"/>
  <c r="AK158" i="1"/>
  <c r="AI158" i="1"/>
  <c r="AO198" i="1"/>
  <c r="AM198" i="1"/>
  <c r="AK198" i="1"/>
  <c r="AJ198" i="1"/>
  <c r="AH198" i="1"/>
  <c r="AE198" i="1"/>
  <c r="AR198" i="1"/>
  <c r="AS230" i="1"/>
  <c r="AH230" i="1"/>
  <c r="AT230" i="1"/>
  <c r="AG230" i="1"/>
  <c r="AQ230" i="1"/>
  <c r="AF230" i="1"/>
  <c r="AP230" i="1"/>
  <c r="AE230" i="1"/>
  <c r="AO230" i="1"/>
  <c r="AD230" i="1"/>
  <c r="AN230" i="1"/>
  <c r="AM230" i="1"/>
  <c r="AK230" i="1"/>
  <c r="AL262" i="1"/>
  <c r="AN262" i="1"/>
  <c r="AK262" i="1"/>
  <c r="AH262" i="1"/>
  <c r="AG262" i="1"/>
  <c r="AF262" i="1"/>
  <c r="AT262" i="1"/>
  <c r="AD262" i="1"/>
  <c r="AS262" i="1"/>
  <c r="AP262" i="1"/>
  <c r="AM294" i="1"/>
  <c r="AE294" i="1"/>
  <c r="AS294" i="1"/>
  <c r="AL294" i="1"/>
  <c r="AK294" i="1"/>
  <c r="AO326" i="1"/>
  <c r="AM326" i="1"/>
  <c r="AK358" i="1"/>
  <c r="AP358" i="1"/>
  <c r="AN358" i="1"/>
  <c r="AI358" i="1"/>
  <c r="AH358" i="1"/>
  <c r="AG358" i="1"/>
  <c r="AS358" i="1"/>
  <c r="AF358" i="1"/>
  <c r="AR358" i="1"/>
  <c r="AQ358" i="1"/>
  <c r="AL373" i="1"/>
  <c r="AT373" i="1"/>
  <c r="AD373" i="1"/>
  <c r="AS373" i="1"/>
  <c r="AR373" i="1"/>
  <c r="AP373" i="1"/>
  <c r="AK373" i="1"/>
  <c r="AJ373" i="1"/>
  <c r="AI373" i="1"/>
  <c r="AH373" i="1"/>
  <c r="AT405" i="1"/>
  <c r="AI405" i="1"/>
  <c r="AS405" i="1"/>
  <c r="AH405" i="1"/>
  <c r="AR405" i="1"/>
  <c r="AF405" i="1"/>
  <c r="AQ405" i="1"/>
  <c r="AE405" i="1"/>
  <c r="AP405" i="1"/>
  <c r="AD405" i="1"/>
  <c r="AN405" i="1"/>
  <c r="AM405" i="1"/>
  <c r="AJ405" i="1"/>
  <c r="AK437" i="1"/>
  <c r="AI437" i="1"/>
  <c r="AT437" i="1"/>
  <c r="AH437" i="1"/>
  <c r="AS437" i="1"/>
  <c r="AF437" i="1"/>
  <c r="AQ437" i="1"/>
  <c r="AE437" i="1"/>
  <c r="AO437" i="1"/>
  <c r="AD437" i="1"/>
  <c r="AN437" i="1"/>
  <c r="AM437" i="1"/>
  <c r="AP469" i="1"/>
  <c r="AN469" i="1"/>
  <c r="AL469" i="1"/>
  <c r="AG469" i="1"/>
  <c r="AE469" i="1"/>
  <c r="AM501" i="1"/>
  <c r="AE501" i="1"/>
  <c r="AT501" i="1"/>
  <c r="AN501" i="1"/>
  <c r="AL533" i="1"/>
  <c r="AK533" i="1"/>
  <c r="AI533" i="1"/>
  <c r="AH533" i="1"/>
  <c r="AE533" i="1"/>
  <c r="AS533" i="1"/>
  <c r="AD533" i="1"/>
  <c r="AT533" i="1"/>
  <c r="AP533" i="1"/>
  <c r="AS122" i="1"/>
  <c r="AQ122" i="1"/>
  <c r="AP122" i="1"/>
  <c r="AK122" i="1"/>
  <c r="AI122" i="1"/>
  <c r="AT394" i="1"/>
  <c r="AI394" i="1"/>
  <c r="AS394" i="1"/>
  <c r="AH394" i="1"/>
  <c r="AR394" i="1"/>
  <c r="AG394" i="1"/>
  <c r="AQ394" i="1"/>
  <c r="AF394" i="1"/>
  <c r="AP394" i="1"/>
  <c r="AD394" i="1"/>
  <c r="AO394" i="1"/>
  <c r="AN394" i="1"/>
  <c r="AJ394" i="1"/>
  <c r="AM426" i="1"/>
  <c r="AN426" i="1"/>
  <c r="AL426" i="1"/>
  <c r="AJ426" i="1"/>
  <c r="AT426" i="1"/>
  <c r="AI426" i="1"/>
  <c r="AR426" i="1"/>
  <c r="AH426" i="1"/>
  <c r="AQ426" i="1"/>
  <c r="AG426" i="1"/>
  <c r="AF426" i="1"/>
  <c r="AD426" i="1"/>
  <c r="AP426" i="1"/>
  <c r="AO426" i="1"/>
  <c r="AR458" i="1"/>
  <c r="AQ458" i="1"/>
  <c r="AK458" i="1"/>
  <c r="AI458" i="1"/>
  <c r="AS458" i="1"/>
  <c r="AI490" i="1"/>
  <c r="AH490" i="1"/>
  <c r="AG490" i="1"/>
  <c r="AS490" i="1"/>
  <c r="AF490" i="1"/>
  <c r="AR490" i="1"/>
  <c r="AQ490" i="1"/>
  <c r="AM490" i="1"/>
  <c r="AK490" i="1"/>
  <c r="AO522" i="1"/>
  <c r="AK522" i="1"/>
  <c r="AI522" i="1"/>
  <c r="AG522" i="1"/>
  <c r="AD522" i="1"/>
  <c r="AT522" i="1"/>
  <c r="AR522" i="1"/>
  <c r="AM87" i="1"/>
  <c r="AR87" i="1"/>
  <c r="AH87" i="1"/>
  <c r="AQ87" i="1"/>
  <c r="AG87" i="1"/>
  <c r="AP87" i="1"/>
  <c r="AF87" i="1"/>
  <c r="AO87" i="1"/>
  <c r="AD87" i="1"/>
  <c r="AN87" i="1"/>
  <c r="AL87" i="1"/>
  <c r="AJ87" i="1"/>
  <c r="AI87" i="1"/>
  <c r="AT87" i="1"/>
  <c r="AM119" i="1"/>
  <c r="AP119" i="1"/>
  <c r="AF119" i="1"/>
  <c r="AO119" i="1"/>
  <c r="AD119" i="1"/>
  <c r="AN119" i="1"/>
  <c r="AL119" i="1"/>
  <c r="AJ119" i="1"/>
  <c r="AR119" i="1"/>
  <c r="AH119" i="1"/>
  <c r="AT119" i="1"/>
  <c r="AQ119" i="1"/>
  <c r="AI119" i="1"/>
  <c r="AG119" i="1"/>
  <c r="AM151" i="1"/>
  <c r="AP151" i="1"/>
  <c r="AF151" i="1"/>
  <c r="AO151" i="1"/>
  <c r="AD151" i="1"/>
  <c r="AN151" i="1"/>
  <c r="AL151" i="1"/>
  <c r="AJ151" i="1"/>
  <c r="AT151" i="1"/>
  <c r="AI151" i="1"/>
  <c r="AR151" i="1"/>
  <c r="AH151" i="1"/>
  <c r="AQ151" i="1"/>
  <c r="AG151" i="1"/>
  <c r="AO183" i="1"/>
  <c r="AM183" i="1"/>
  <c r="AK183" i="1"/>
  <c r="AH183" i="1"/>
  <c r="AE183" i="1"/>
  <c r="AS183" i="1"/>
  <c r="AT215" i="1"/>
  <c r="AR215" i="1"/>
  <c r="AO215" i="1"/>
  <c r="AM215" i="1"/>
  <c r="AJ215" i="1"/>
  <c r="AI215" i="1"/>
  <c r="AF215" i="1"/>
  <c r="AS215" i="1"/>
  <c r="AD215" i="1"/>
  <c r="AT247" i="1"/>
  <c r="AJ247" i="1"/>
  <c r="AI247" i="1"/>
  <c r="AF247" i="1"/>
  <c r="AD247" i="1"/>
  <c r="AS247" i="1"/>
  <c r="AR247" i="1"/>
  <c r="AO247" i="1"/>
  <c r="AM247" i="1"/>
  <c r="AM279" i="1"/>
  <c r="AQ279" i="1"/>
  <c r="AK279" i="1"/>
  <c r="AJ279" i="1"/>
  <c r="AF279" i="1"/>
  <c r="AP311" i="1"/>
  <c r="AK311" i="1"/>
  <c r="AJ311" i="1"/>
  <c r="AI311" i="1"/>
  <c r="AH311" i="1"/>
  <c r="AR311" i="1"/>
  <c r="AQ311" i="1"/>
  <c r="AN343" i="1"/>
  <c r="AK343" i="1"/>
  <c r="AF343" i="1"/>
  <c r="AE343" i="1"/>
  <c r="AD343" i="1"/>
  <c r="AT343" i="1"/>
  <c r="AM343" i="1"/>
  <c r="AS375" i="1"/>
  <c r="AQ375" i="1"/>
  <c r="AG375" i="1"/>
  <c r="AP375" i="1"/>
  <c r="AF375" i="1"/>
  <c r="AO375" i="1"/>
  <c r="AE375" i="1"/>
  <c r="AN375" i="1"/>
  <c r="AD375" i="1"/>
  <c r="AM375" i="1"/>
  <c r="AL375" i="1"/>
  <c r="AT375" i="1"/>
  <c r="AI375" i="1"/>
  <c r="AH375" i="1"/>
  <c r="AS407" i="1"/>
  <c r="AO407" i="1"/>
  <c r="AF407" i="1"/>
  <c r="AN407" i="1"/>
  <c r="AE407" i="1"/>
  <c r="AM407" i="1"/>
  <c r="AD407" i="1"/>
  <c r="AL407" i="1"/>
  <c r="AT407" i="1"/>
  <c r="AJ407" i="1"/>
  <c r="AR407" i="1"/>
  <c r="AQ407" i="1"/>
  <c r="AP407" i="1"/>
  <c r="AI407" i="1"/>
  <c r="AH407" i="1"/>
  <c r="AG407" i="1"/>
  <c r="AT439" i="1"/>
  <c r="AI439" i="1"/>
  <c r="AS439" i="1"/>
  <c r="AG439" i="1"/>
  <c r="AR439" i="1"/>
  <c r="AE439" i="1"/>
  <c r="AP439" i="1"/>
  <c r="AD439" i="1"/>
  <c r="AO439" i="1"/>
  <c r="AM439" i="1"/>
  <c r="AK439" i="1"/>
  <c r="AJ439" i="1"/>
  <c r="AO471" i="1"/>
  <c r="AQ471" i="1"/>
  <c r="AN535" i="1"/>
  <c r="AM535" i="1"/>
  <c r="AL535" i="1"/>
  <c r="AJ535" i="1"/>
  <c r="AT535" i="1"/>
  <c r="AI535" i="1"/>
  <c r="AR535" i="1"/>
  <c r="AH535" i="1"/>
  <c r="AP535" i="1"/>
  <c r="AE535" i="1"/>
  <c r="AQ535" i="1"/>
  <c r="AO535" i="1"/>
  <c r="AG535" i="1"/>
  <c r="AD535" i="1"/>
  <c r="AS136" i="1"/>
  <c r="AN136" i="1"/>
  <c r="AE136" i="1"/>
  <c r="AM136" i="1"/>
  <c r="AD136" i="1"/>
  <c r="AL136" i="1"/>
  <c r="AT136" i="1"/>
  <c r="AJ136" i="1"/>
  <c r="AR136" i="1"/>
  <c r="AI136" i="1"/>
  <c r="AP136" i="1"/>
  <c r="AG136" i="1"/>
  <c r="AH136" i="1"/>
  <c r="AF136" i="1"/>
  <c r="AQ136" i="1"/>
  <c r="AO136" i="1"/>
  <c r="AS168" i="1"/>
  <c r="AL168" i="1"/>
  <c r="AT168" i="1"/>
  <c r="AJ168" i="1"/>
  <c r="AR168" i="1"/>
  <c r="AI168" i="1"/>
  <c r="AQ168" i="1"/>
  <c r="AH168" i="1"/>
  <c r="AP168" i="1"/>
  <c r="AG168" i="1"/>
  <c r="AO168" i="1"/>
  <c r="AF168" i="1"/>
  <c r="AE168" i="1"/>
  <c r="AD168" i="1"/>
  <c r="AN168" i="1"/>
  <c r="AM168" i="1"/>
  <c r="AN200" i="1"/>
  <c r="AL200" i="1"/>
  <c r="AT236" i="1"/>
  <c r="AO236" i="1"/>
  <c r="AJ236" i="1"/>
  <c r="AG236" i="1"/>
  <c r="AE236" i="1"/>
  <c r="AS236" i="1"/>
  <c r="AP236" i="1"/>
  <c r="AP268" i="1"/>
  <c r="AO268" i="1"/>
  <c r="AN268" i="1"/>
  <c r="AI268" i="1"/>
  <c r="AD268" i="1"/>
  <c r="AO300" i="1"/>
  <c r="AN300" i="1"/>
  <c r="AH300" i="1"/>
  <c r="AG300" i="1"/>
  <c r="AF300" i="1"/>
  <c r="AS300" i="1"/>
  <c r="AQ300" i="1"/>
  <c r="AG332" i="1"/>
  <c r="AS332" i="1"/>
  <c r="AD332" i="1"/>
  <c r="AR332" i="1"/>
  <c r="AO332" i="1"/>
  <c r="AL332" i="1"/>
  <c r="AK332" i="1"/>
  <c r="AJ332" i="1"/>
  <c r="AI332" i="1"/>
  <c r="AO364" i="1"/>
  <c r="AL364" i="1"/>
  <c r="AE364" i="1"/>
  <c r="AT396" i="1"/>
  <c r="AN396" i="1"/>
  <c r="AM396" i="1"/>
  <c r="AJ396" i="1"/>
  <c r="AH396" i="1"/>
  <c r="AS396" i="1"/>
  <c r="AG396" i="1"/>
  <c r="AR396" i="1"/>
  <c r="AP396" i="1"/>
  <c r="AO396" i="1"/>
  <c r="AF396" i="1"/>
  <c r="AE396" i="1"/>
  <c r="AD396" i="1"/>
  <c r="AR428" i="1"/>
  <c r="AP428" i="1"/>
  <c r="AT428" i="1"/>
  <c r="AS428" i="1"/>
  <c r="AT460" i="1"/>
  <c r="AO460" i="1"/>
  <c r="AE460" i="1"/>
  <c r="AN460" i="1"/>
  <c r="AM460" i="1"/>
  <c r="AJ460" i="1"/>
  <c r="AI460" i="1"/>
  <c r="AR460" i="1"/>
  <c r="AQ460" i="1"/>
  <c r="AP460" i="1"/>
  <c r="AH460" i="1"/>
  <c r="AG460" i="1"/>
  <c r="AF460" i="1"/>
  <c r="AQ492" i="1"/>
  <c r="AG492" i="1"/>
  <c r="AP492" i="1"/>
  <c r="AF492" i="1"/>
  <c r="AO492" i="1"/>
  <c r="AE492" i="1"/>
  <c r="AN492" i="1"/>
  <c r="AK492" i="1"/>
  <c r="AS492" i="1"/>
  <c r="AI492" i="1"/>
  <c r="AJ492" i="1"/>
  <c r="AH492" i="1"/>
  <c r="AR492" i="1"/>
  <c r="AS524" i="1"/>
  <c r="AP524" i="1"/>
  <c r="AO524" i="1"/>
  <c r="AN524" i="1"/>
  <c r="AG524" i="1"/>
  <c r="AE524" i="1"/>
  <c r="AF524" i="1"/>
  <c r="AS140" i="1"/>
  <c r="AL140" i="1"/>
  <c r="AT140" i="1"/>
  <c r="AJ140" i="1"/>
  <c r="AR140" i="1"/>
  <c r="AI140" i="1"/>
  <c r="AQ140" i="1"/>
  <c r="AH140" i="1"/>
  <c r="AP140" i="1"/>
  <c r="AG140" i="1"/>
  <c r="AN140" i="1"/>
  <c r="AE140" i="1"/>
  <c r="AO140" i="1"/>
  <c r="AF140" i="1"/>
  <c r="AD140" i="1"/>
  <c r="AM140" i="1"/>
  <c r="AS172" i="1"/>
  <c r="AQ172" i="1"/>
  <c r="AH172" i="1"/>
  <c r="AP172" i="1"/>
  <c r="AG172" i="1"/>
  <c r="AO172" i="1"/>
  <c r="AF172" i="1"/>
  <c r="AN172" i="1"/>
  <c r="AE172" i="1"/>
  <c r="AM172" i="1"/>
  <c r="AD172" i="1"/>
  <c r="AL172" i="1"/>
  <c r="AT172" i="1"/>
  <c r="AJ172" i="1"/>
  <c r="AR172" i="1"/>
  <c r="AI172" i="1"/>
  <c r="AM240" i="1"/>
  <c r="AK240" i="1"/>
  <c r="AT240" i="1"/>
  <c r="AJ240" i="1"/>
  <c r="AS240" i="1"/>
  <c r="AI240" i="1"/>
  <c r="AR240" i="1"/>
  <c r="AH240" i="1"/>
  <c r="AQ240" i="1"/>
  <c r="AG240" i="1"/>
  <c r="AE240" i="1"/>
  <c r="AD240" i="1"/>
  <c r="AP240" i="1"/>
  <c r="AO240" i="1"/>
  <c r="AO272" i="1"/>
  <c r="AL272" i="1"/>
  <c r="AK272" i="1"/>
  <c r="AG272" i="1"/>
  <c r="AF272" i="1"/>
  <c r="AQ272" i="1"/>
  <c r="AP272" i="1"/>
  <c r="AD272" i="1"/>
  <c r="AF304" i="1"/>
  <c r="AS304" i="1"/>
  <c r="AQ304" i="1"/>
  <c r="AO304" i="1"/>
  <c r="AN304" i="1"/>
  <c r="AH304" i="1"/>
  <c r="AG304" i="1"/>
  <c r="AQ336" i="1"/>
  <c r="AT336" i="1"/>
  <c r="AR336" i="1"/>
  <c r="AI336" i="1"/>
  <c r="AD336" i="1"/>
  <c r="AR368" i="1"/>
  <c r="AF368" i="1"/>
  <c r="AE368" i="1"/>
  <c r="AT400" i="1"/>
  <c r="AO400" i="1"/>
  <c r="AD400" i="1"/>
  <c r="AN400" i="1"/>
  <c r="AM400" i="1"/>
  <c r="AJ400" i="1"/>
  <c r="AH400" i="1"/>
  <c r="AE400" i="1"/>
  <c r="AS400" i="1"/>
  <c r="AR400" i="1"/>
  <c r="AP400" i="1"/>
  <c r="AG400" i="1"/>
  <c r="AF400" i="1"/>
  <c r="AN432" i="1"/>
  <c r="AH432" i="1"/>
  <c r="AF432" i="1"/>
  <c r="AT432" i="1"/>
  <c r="AD432" i="1"/>
  <c r="AS432" i="1"/>
  <c r="AR432" i="1"/>
  <c r="AL432" i="1"/>
  <c r="AK432" i="1"/>
  <c r="AJ432" i="1"/>
  <c r="AT464" i="1"/>
  <c r="AP464" i="1"/>
  <c r="AF464" i="1"/>
  <c r="AO464" i="1"/>
  <c r="AE464" i="1"/>
  <c r="AN464" i="1"/>
  <c r="AM464" i="1"/>
  <c r="AJ464" i="1"/>
  <c r="AR464" i="1"/>
  <c r="AQ464" i="1"/>
  <c r="AI464" i="1"/>
  <c r="AH464" i="1"/>
  <c r="AG464" i="1"/>
  <c r="AQ496" i="1"/>
  <c r="AP496" i="1"/>
  <c r="AK496" i="1"/>
  <c r="AJ496" i="1"/>
  <c r="AI496" i="1"/>
  <c r="AG496" i="1"/>
  <c r="AS496" i="1"/>
  <c r="AH496" i="1"/>
  <c r="AS144" i="1"/>
  <c r="AN144" i="1"/>
  <c r="AT144" i="1"/>
  <c r="AR144" i="1"/>
  <c r="AQ144" i="1"/>
  <c r="AH144" i="1"/>
  <c r="AG144" i="1"/>
  <c r="AP144" i="1"/>
  <c r="AF144" i="1"/>
  <c r="AO144" i="1"/>
  <c r="AE144" i="1"/>
  <c r="AM144" i="1"/>
  <c r="AD144" i="1"/>
  <c r="AJ144" i="1"/>
  <c r="AL144" i="1"/>
  <c r="AI144" i="1"/>
  <c r="AS176" i="1"/>
  <c r="AN176" i="1"/>
  <c r="AE176" i="1"/>
  <c r="AM176" i="1"/>
  <c r="AD176" i="1"/>
  <c r="AL176" i="1"/>
  <c r="AT176" i="1"/>
  <c r="AJ176" i="1"/>
  <c r="AR176" i="1"/>
  <c r="AI176" i="1"/>
  <c r="AQ176" i="1"/>
  <c r="AH176" i="1"/>
  <c r="AP176" i="1"/>
  <c r="AG176" i="1"/>
  <c r="AO176" i="1"/>
  <c r="AF176" i="1"/>
  <c r="AQ208" i="1"/>
  <c r="AN208" i="1"/>
  <c r="AL208" i="1"/>
  <c r="AK208" i="1"/>
  <c r="AI208" i="1"/>
  <c r="AG208" i="1"/>
  <c r="AT208" i="1"/>
  <c r="AS208" i="1"/>
  <c r="AF208" i="1"/>
  <c r="AD208" i="1"/>
  <c r="AR244" i="1"/>
  <c r="AL244" i="1"/>
  <c r="AH244" i="1"/>
  <c r="AS276" i="1"/>
  <c r="AN276" i="1"/>
  <c r="AL276" i="1"/>
  <c r="AH276" i="1"/>
  <c r="AM308" i="1"/>
  <c r="AO308" i="1"/>
  <c r="AN308" i="1"/>
  <c r="AI308" i="1"/>
  <c r="AH308" i="1"/>
  <c r="AG308" i="1"/>
  <c r="AF308" i="1"/>
  <c r="AQ308" i="1"/>
  <c r="AP308" i="1"/>
  <c r="AR340" i="1"/>
  <c r="AT340" i="1"/>
  <c r="AI340" i="1"/>
  <c r="AD340" i="1"/>
  <c r="AK372" i="1"/>
  <c r="AF372" i="1"/>
  <c r="AE372" i="1"/>
  <c r="AS372" i="1"/>
  <c r="AD372" i="1"/>
  <c r="AR372" i="1"/>
  <c r="AO372" i="1"/>
  <c r="AN372" i="1"/>
  <c r="AL372" i="1"/>
  <c r="AG372" i="1"/>
  <c r="AT404" i="1"/>
  <c r="AP404" i="1"/>
  <c r="AE404" i="1"/>
  <c r="AO404" i="1"/>
  <c r="AD404" i="1"/>
  <c r="AN404" i="1"/>
  <c r="AM404" i="1"/>
  <c r="AJ404" i="1"/>
  <c r="AR404" i="1"/>
  <c r="AH404" i="1"/>
  <c r="AG404" i="1"/>
  <c r="AF404" i="1"/>
  <c r="AS404" i="1"/>
  <c r="AR436" i="1"/>
  <c r="AS436" i="1"/>
  <c r="AS468" i="1"/>
  <c r="AT468" i="1"/>
  <c r="AJ468" i="1"/>
  <c r="AR468" i="1"/>
  <c r="AI468" i="1"/>
  <c r="AQ468" i="1"/>
  <c r="AH468" i="1"/>
  <c r="AP468" i="1"/>
  <c r="AG468" i="1"/>
  <c r="AO468" i="1"/>
  <c r="AF468" i="1"/>
  <c r="AN468" i="1"/>
  <c r="AM468" i="1"/>
  <c r="AL468" i="1"/>
  <c r="AE468" i="1"/>
  <c r="AD468" i="1"/>
  <c r="AR532" i="1"/>
  <c r="AF532" i="1"/>
  <c r="AP532" i="1"/>
  <c r="AE532" i="1"/>
  <c r="AO532" i="1"/>
  <c r="AM532" i="1"/>
  <c r="AK532" i="1"/>
  <c r="AH532" i="1"/>
  <c r="AS532" i="1"/>
  <c r="AJ532" i="1"/>
  <c r="AG532" i="1"/>
  <c r="AS148" i="1"/>
  <c r="AT148" i="1"/>
  <c r="AJ148" i="1"/>
  <c r="AR148" i="1"/>
  <c r="AI148" i="1"/>
  <c r="AQ148" i="1"/>
  <c r="AH148" i="1"/>
  <c r="AP148" i="1"/>
  <c r="AG148" i="1"/>
  <c r="AO148" i="1"/>
  <c r="AF148" i="1"/>
  <c r="AN148" i="1"/>
  <c r="AE148" i="1"/>
  <c r="AM148" i="1"/>
  <c r="AL148" i="1"/>
  <c r="AD148" i="1"/>
  <c r="AD212" i="1"/>
  <c r="AT212" i="1"/>
  <c r="AQ212" i="1"/>
  <c r="AN212" i="1"/>
  <c r="AL212" i="1"/>
  <c r="AK212" i="1"/>
  <c r="AI212" i="1"/>
  <c r="AG212" i="1"/>
  <c r="AT248" i="1"/>
  <c r="AI248" i="1"/>
  <c r="AG248" i="1"/>
  <c r="AD248" i="1"/>
  <c r="AS248" i="1"/>
  <c r="AR248" i="1"/>
  <c r="AP248" i="1"/>
  <c r="AM248" i="1"/>
  <c r="AJ248" i="1"/>
  <c r="AN280" i="1"/>
  <c r="AD280" i="1"/>
  <c r="AT280" i="1"/>
  <c r="AO280" i="1"/>
  <c r="AM312" i="1"/>
  <c r="AN312" i="1"/>
  <c r="AI312" i="1"/>
  <c r="AH312" i="1"/>
  <c r="AG312" i="1"/>
  <c r="AF312" i="1"/>
  <c r="AQ312" i="1"/>
  <c r="AP312" i="1"/>
  <c r="AO312" i="1"/>
  <c r="AS344" i="1"/>
  <c r="AI344" i="1"/>
  <c r="AD344" i="1"/>
  <c r="AL376" i="1"/>
  <c r="AR376" i="1"/>
  <c r="AO376" i="1"/>
  <c r="AJ376" i="1"/>
  <c r="AG376" i="1"/>
  <c r="AF376" i="1"/>
  <c r="AE376" i="1"/>
  <c r="AT376" i="1"/>
  <c r="AS376" i="1"/>
  <c r="AT408" i="1"/>
  <c r="AR408" i="1"/>
  <c r="AF408" i="1"/>
  <c r="AP408" i="1"/>
  <c r="AE408" i="1"/>
  <c r="AO408" i="1"/>
  <c r="AD408" i="1"/>
  <c r="AN408" i="1"/>
  <c r="AM408" i="1"/>
  <c r="AJ408" i="1"/>
  <c r="AS408" i="1"/>
  <c r="AH408" i="1"/>
  <c r="AG408" i="1"/>
  <c r="AN440" i="1"/>
  <c r="AK440" i="1"/>
  <c r="AJ440" i="1"/>
  <c r="AI440" i="1"/>
  <c r="AS440" i="1"/>
  <c r="AG440" i="1"/>
  <c r="AR440" i="1"/>
  <c r="AF440" i="1"/>
  <c r="AP440" i="1"/>
  <c r="AO440" i="1"/>
  <c r="AE440" i="1"/>
  <c r="AS472" i="1"/>
  <c r="AR472" i="1"/>
  <c r="AI472" i="1"/>
  <c r="AQ472" i="1"/>
  <c r="AH472" i="1"/>
  <c r="AP472" i="1"/>
  <c r="AG472" i="1"/>
  <c r="AO472" i="1"/>
  <c r="AF472" i="1"/>
  <c r="AN472" i="1"/>
  <c r="AE472" i="1"/>
  <c r="AD472" i="1"/>
  <c r="AT472" i="1"/>
  <c r="AM472" i="1"/>
  <c r="AL472" i="1"/>
  <c r="AJ472" i="1"/>
  <c r="AS504" i="1"/>
  <c r="AE504" i="1"/>
  <c r="AR504" i="1"/>
  <c r="AN504" i="1"/>
  <c r="AM504" i="1"/>
  <c r="AK504" i="1"/>
  <c r="AI504" i="1"/>
  <c r="AJ504" i="1"/>
  <c r="AF504" i="1"/>
  <c r="AS152" i="1"/>
  <c r="AP152" i="1"/>
  <c r="AG152" i="1"/>
  <c r="AO152" i="1"/>
  <c r="AF152" i="1"/>
  <c r="AN152" i="1"/>
  <c r="AE152" i="1"/>
  <c r="AM152" i="1"/>
  <c r="AD152" i="1"/>
  <c r="AL152" i="1"/>
  <c r="AT152" i="1"/>
  <c r="AJ152" i="1"/>
  <c r="AR152" i="1"/>
  <c r="AQ152" i="1"/>
  <c r="AI152" i="1"/>
  <c r="AH152" i="1"/>
  <c r="AK184" i="1"/>
  <c r="AI184" i="1"/>
  <c r="AT184" i="1"/>
  <c r="AG184" i="1"/>
  <c r="AS184" i="1"/>
  <c r="AF184" i="1"/>
  <c r="AQ184" i="1"/>
  <c r="AE184" i="1"/>
  <c r="AO184" i="1"/>
  <c r="AD184" i="1"/>
  <c r="AN184" i="1"/>
  <c r="AL184" i="1"/>
  <c r="AT216" i="1"/>
  <c r="AP216" i="1"/>
  <c r="AM216" i="1"/>
  <c r="AJ216" i="1"/>
  <c r="AI216" i="1"/>
  <c r="AG216" i="1"/>
  <c r="AD216" i="1"/>
  <c r="AS216" i="1"/>
  <c r="AR216" i="1"/>
  <c r="AI252" i="1"/>
  <c r="AG252" i="1"/>
  <c r="AD252" i="1"/>
  <c r="AS252" i="1"/>
  <c r="AQ252" i="1"/>
  <c r="AP252" i="1"/>
  <c r="AL252" i="1"/>
  <c r="AK252" i="1"/>
  <c r="AL284" i="1"/>
  <c r="AK284" i="1"/>
  <c r="AI284" i="1"/>
  <c r="AT284" i="1"/>
  <c r="AH284" i="1"/>
  <c r="AS284" i="1"/>
  <c r="AG284" i="1"/>
  <c r="AQ284" i="1"/>
  <c r="AP284" i="1"/>
  <c r="AO284" i="1"/>
  <c r="AF284" i="1"/>
  <c r="AD284" i="1"/>
  <c r="AM316" i="1"/>
  <c r="AI316" i="1"/>
  <c r="AH316" i="1"/>
  <c r="AG316" i="1"/>
  <c r="AF316" i="1"/>
  <c r="AQ316" i="1"/>
  <c r="AP316" i="1"/>
  <c r="AO316" i="1"/>
  <c r="AN316" i="1"/>
  <c r="AL348" i="1"/>
  <c r="AR348" i="1"/>
  <c r="AN348" i="1"/>
  <c r="AK348" i="1"/>
  <c r="AJ348" i="1"/>
  <c r="AG348" i="1"/>
  <c r="AF348" i="1"/>
  <c r="AT348" i="1"/>
  <c r="AS348" i="1"/>
  <c r="AD348" i="1"/>
  <c r="AT380" i="1"/>
  <c r="AS380" i="1"/>
  <c r="AG380" i="1"/>
  <c r="AR380" i="1"/>
  <c r="AF380" i="1"/>
  <c r="AP380" i="1"/>
  <c r="AE380" i="1"/>
  <c r="AO380" i="1"/>
  <c r="AD380" i="1"/>
  <c r="AN380" i="1"/>
  <c r="AM380" i="1"/>
  <c r="AJ380" i="1"/>
  <c r="AH380" i="1"/>
  <c r="AT412" i="1"/>
  <c r="AS412" i="1"/>
  <c r="AG412" i="1"/>
  <c r="AR412" i="1"/>
  <c r="AF412" i="1"/>
  <c r="AP412" i="1"/>
  <c r="AE412" i="1"/>
  <c r="AO412" i="1"/>
  <c r="AD412" i="1"/>
  <c r="AN412" i="1"/>
  <c r="AM412" i="1"/>
  <c r="AJ412" i="1"/>
  <c r="AH412" i="1"/>
  <c r="AQ444" i="1"/>
  <c r="AO444" i="1"/>
  <c r="AM444" i="1"/>
  <c r="AK444" i="1"/>
  <c r="AJ444" i="1"/>
  <c r="AH444" i="1"/>
  <c r="AF444" i="1"/>
  <c r="AS476" i="1"/>
  <c r="AQ476" i="1"/>
  <c r="AH476" i="1"/>
  <c r="AP476" i="1"/>
  <c r="AG476" i="1"/>
  <c r="AO476" i="1"/>
  <c r="AF476" i="1"/>
  <c r="AN476" i="1"/>
  <c r="AE476" i="1"/>
  <c r="AM476" i="1"/>
  <c r="AD476" i="1"/>
  <c r="AT476" i="1"/>
  <c r="AR476" i="1"/>
  <c r="AL476" i="1"/>
  <c r="AJ476" i="1"/>
  <c r="AI476" i="1"/>
  <c r="AO508" i="1"/>
  <c r="AN508" i="1"/>
  <c r="AK508" i="1"/>
  <c r="AJ508" i="1"/>
  <c r="AP508" i="1"/>
  <c r="AM540" i="1"/>
  <c r="AS540" i="1"/>
  <c r="AR540" i="1"/>
  <c r="AO540" i="1"/>
  <c r="AK540" i="1"/>
  <c r="AJ540" i="1"/>
  <c r="AG540" i="1"/>
  <c r="AH540" i="1"/>
  <c r="AE540" i="1"/>
  <c r="A54" i="12" l="1"/>
  <c r="B54" i="12"/>
  <c r="B41" i="12"/>
  <c r="A41" i="12"/>
  <c r="A27" i="12"/>
  <c r="B55" i="12" l="1"/>
  <c r="A55" i="12"/>
  <c r="B42" i="12"/>
  <c r="A42" i="12"/>
  <c r="A28" i="12"/>
  <c r="B56" i="12" l="1"/>
  <c r="A56" i="12"/>
  <c r="B43" i="12"/>
  <c r="A43" i="12"/>
  <c r="A29" i="12"/>
  <c r="B57" i="12" l="1"/>
  <c r="A57" i="12"/>
  <c r="B44" i="12"/>
  <c r="A44" i="12"/>
  <c r="A30" i="12"/>
  <c r="A31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<sst xmlns="http://schemas.openxmlformats.org/spreadsheetml/2006/main" count="7923" uniqueCount="2245">
  <si>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</si>
  <si>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</si>
  <si>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</si>
  <si>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</si>
  <si>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</si>
  <si>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</si>
  <si>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</si>
  <si>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</si>
  <si>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</si>
  <si>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</si>
  <si>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</si>
  <si>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</si>
  <si>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</si>
  <si>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</si>
  <si>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</si>
  <si>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</si>
  <si>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</si>
  <si>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Gol 0' - 10' Mandante</t>
  </si>
  <si>
    <t>Gol 0' - 10' Visitante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</si>
  <si>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</si>
  <si>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</si>
  <si>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</si>
  <si>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</si>
  <si>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</si>
  <si>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</si>
  <si>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</si>
  <si>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</si>
  <si>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</si>
  <si>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</si>
  <si>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</si>
  <si>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</si>
  <si>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</si>
  <si>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</si>
  <si>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</si>
  <si>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</si>
  <si>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</si>
  <si>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</si>
  <si>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</si>
  <si>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</si>
  <si>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</si>
  <si>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</si>
  <si>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</si>
  <si>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</si>
  <si>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</si>
  <si>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</si>
  <si>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</si>
  <si>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</si>
  <si>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</si>
  <si>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</si>
  <si>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</si>
  <si>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</si>
  <si>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</si>
  <si>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</si>
  <si>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</si>
  <si>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</si>
  <si>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</si>
  <si>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</si>
  <si>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</si>
  <si>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</si>
  <si>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</si>
  <si>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</si>
  <si>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</si>
  <si>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</si>
  <si>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</si>
  <si>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</si>
  <si>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</si>
  <si>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</si>
  <si>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</si>
  <si>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</si>
  <si>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</si>
  <si>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</si>
  <si>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</si>
  <si>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</si>
  <si>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</si>
  <si>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</si>
  <si>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</si>
  <si>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</si>
  <si>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</si>
  <si>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</si>
  <si>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</si>
  <si>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</si>
  <si>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</si>
  <si>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</si>
  <si>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</si>
  <si>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</si>
  <si>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</si>
  <si>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</si>
  <si>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</si>
  <si>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</si>
  <si>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</si>
  <si>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</si>
  <si>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</si>
  <si>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</si>
  <si>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</si>
  <si>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</si>
  <si>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</si>
  <si>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</si>
  <si>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</si>
  <si>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</si>
  <si>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</si>
  <si>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</si>
  <si>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</si>
  <si>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</si>
  <si>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</si>
  <si>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</si>
  <si>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</si>
  <si>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</si>
  <si>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</si>
  <si>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</si>
  <si>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</si>
  <si>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</si>
  <si>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</si>
  <si>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</si>
  <si>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</si>
  <si>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</si>
  <si>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</si>
  <si>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</si>
  <si>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</si>
  <si>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</si>
  <si>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</si>
  <si>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</si>
  <si>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</si>
  <si>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</si>
  <si>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</si>
  <si>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</si>
  <si>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</si>
  <si>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</si>
  <si>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</si>
  <si>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</si>
  <si>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</si>
  <si>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</si>
  <si>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</si>
  <si>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</si>
  <si>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</si>
  <si>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</si>
  <si>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</si>
  <si>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</si>
  <si>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</si>
  <si>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</si>
  <si>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</si>
  <si>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</si>
  <si>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</si>
  <si>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</si>
  <si>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</si>
  <si>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</si>
  <si>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</si>
  <si>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</si>
  <si>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</si>
  <si>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</si>
  <si>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</si>
  <si>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</si>
  <si>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</si>
  <si>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</si>
  <si>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</si>
  <si>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</si>
  <si>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</si>
  <si>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</si>
  <si>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</si>
  <si>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</si>
  <si>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</si>
  <si>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</si>
  <si>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</si>
  <si>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</si>
  <si>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</si>
  <si>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</si>
  <si>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</si>
  <si>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</si>
  <si>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</si>
  <si>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</si>
  <si>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</si>
  <si>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</si>
  <si>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</si>
  <si>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</si>
  <si>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</si>
  <si>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</si>
  <si>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</si>
  <si>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</si>
  <si>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</si>
  <si>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</si>
  <si>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</si>
  <si>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</si>
  <si>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</si>
  <si>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</si>
  <si>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</si>
  <si>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</si>
  <si>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</si>
  <si>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</si>
  <si>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</si>
  <si>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</si>
  <si>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</si>
  <si>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</si>
  <si>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</si>
  <si>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</si>
  <si>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</si>
  <si>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</si>
  <si>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</si>
  <si>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</si>
  <si>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</si>
  <si>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</si>
  <si>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</si>
  <si>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</si>
  <si>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</si>
  <si>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</si>
  <si>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</si>
  <si>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</si>
  <si>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</si>
  <si>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</si>
  <si>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</si>
  <si>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</si>
  <si>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</si>
  <si>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</si>
  <si>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</si>
  <si>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</si>
  <si>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</si>
  <si>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</si>
  <si>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</si>
  <si>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</si>
  <si>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</si>
  <si>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</si>
  <si>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</si>
  <si>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</si>
  <si>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</si>
  <si>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</si>
  <si>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</si>
  <si>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</si>
  <si>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</si>
  <si>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</si>
  <si>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</si>
  <si>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</si>
  <si>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</si>
  <si>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</si>
  <si>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</si>
  <si>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</si>
  <si>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</si>
  <si>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</si>
  <si>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</si>
  <si>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</si>
  <si>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</si>
  <si>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</si>
  <si>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</si>
  <si>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</si>
  <si>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</si>
  <si>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</si>
  <si>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</si>
  <si>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</si>
  <si>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</si>
  <si>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</si>
  <si>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</si>
  <si>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</si>
  <si>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</si>
  <si>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</si>
  <si>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</si>
  <si>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</si>
  <si>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</si>
  <si>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</si>
  <si>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</si>
  <si>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</si>
  <si>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</si>
  <si>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</si>
  <si>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</si>
  <si>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</si>
  <si>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</si>
  <si>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</si>
  <si>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</si>
  <si>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</si>
  <si>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</si>
  <si>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</si>
  <si>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</si>
  <si>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</si>
  <si>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</si>
  <si>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</si>
  <si>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</si>
  <si>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</si>
  <si>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</si>
  <si>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</si>
  <si>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</si>
  <si>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</si>
  <si>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</si>
  <si>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</si>
  <si>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</si>
  <si>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</si>
  <si>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</si>
  <si>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</si>
  <si>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</si>
  <si>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</si>
  <si>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</si>
  <si>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</si>
  <si>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</si>
  <si>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</si>
  <si>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</si>
  <si>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</si>
  <si>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</si>
  <si>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</si>
  <si>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</si>
  <si>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</si>
  <si>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</si>
  <si>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</si>
  <si>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</si>
  <si>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</si>
  <si>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</si>
  <si>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</si>
  <si>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</si>
  <si>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</si>
  <si>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</si>
  <si>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</si>
  <si>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</si>
  <si>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</si>
  <si>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</si>
  <si>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</si>
  <si>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</si>
  <si>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</si>
  <si>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</si>
  <si>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</si>
  <si>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</si>
  <si>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</si>
  <si>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</si>
  <si>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</si>
  <si>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</si>
  <si>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</si>
  <si>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</si>
  <si>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</si>
  <si>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</si>
  <si>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</si>
  <si>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</si>
  <si>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</si>
  <si>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</si>
  <si>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</si>
  <si>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</si>
  <si>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</si>
  <si>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</si>
  <si>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</si>
  <si>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</si>
  <si>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</si>
  <si>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</si>
  <si>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</si>
  <si>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</si>
  <si>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</si>
  <si>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</si>
  <si>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</si>
  <si>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</si>
  <si>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</si>
  <si>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</si>
  <si>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</si>
  <si>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</si>
  <si>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</si>
  <si>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</si>
  <si>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</si>
  <si>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</si>
  <si>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</si>
  <si>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</si>
  <si>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</si>
  <si>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</si>
  <si>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</si>
  <si>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</si>
  <si>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</si>
  <si>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</si>
  <si>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</si>
  <si>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</si>
  <si>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</si>
  <si>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</si>
  <si>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</si>
  <si>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</si>
  <si>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</si>
  <si>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</si>
  <si>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</si>
  <si>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</si>
  <si>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</si>
  <si>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</si>
  <si>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</si>
  <si>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</si>
  <si>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</si>
  <si>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</si>
  <si>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</si>
  <si>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</si>
  <si>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</si>
  <si>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</si>
  <si>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</si>
  <si>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</si>
  <si>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</si>
  <si>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</si>
  <si>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</si>
  <si>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</si>
  <si>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</si>
  <si>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</si>
  <si>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</si>
  <si>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</si>
  <si>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</si>
  <si>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</si>
  <si>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</si>
  <si>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</si>
  <si>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</si>
  <si>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</si>
  <si>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</si>
  <si>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</si>
  <si>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</si>
  <si>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</si>
  <si>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</si>
  <si>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</si>
  <si>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</si>
  <si>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</si>
  <si>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</si>
  <si>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</si>
  <si>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</si>
  <si>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</si>
  <si>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</si>
  <si>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</si>
  <si>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</si>
  <si>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</si>
  <si>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</si>
  <si>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</si>
  <si>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</si>
  <si>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</si>
  <si>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</si>
  <si>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</si>
  <si>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</si>
  <si>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</si>
  <si>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</si>
  <si>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</si>
  <si>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</si>
  <si>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</si>
  <si>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</si>
  <si>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</si>
  <si>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</si>
  <si>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</si>
  <si>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</si>
  <si>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</si>
  <si>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</si>
  <si>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</si>
  <si>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</si>
  <si>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</si>
  <si>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</si>
  <si>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</si>
  <si>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</si>
  <si>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</si>
  <si>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</si>
  <si>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</si>
  <si>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</si>
  <si>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</si>
  <si>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</si>
  <si>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</si>
  <si>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</si>
  <si>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</si>
  <si>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</si>
  <si>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</si>
  <si>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</si>
  <si>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IFK Mariehamn|FC Lahti</t>
  </si>
  <si>
    <t>SK Super Nova|SC Grobinas</t>
  </si>
  <si>
    <t>Orgryte IS|Djurgardens IF</t>
  </si>
  <si>
    <t>Keflavik|IA Akranes</t>
  </si>
  <si>
    <t>TPS|FC Ilves</t>
  </si>
  <si>
    <t>FK Jelgava|Rigas FS</t>
  </si>
  <si>
    <t>FK Transinvest II|FK Neptunas Klaipeda</t>
  </si>
  <si>
    <t>Suduva Marijampole|Hegelmann Litauen</t>
  </si>
  <si>
    <t>FK Tukums 2000/TSS II|RFS II</t>
  </si>
  <si>
    <t>Kalmar FF|Malmo FF</t>
  </si>
  <si>
    <t>Norrby IF|GIF Sundsvall</t>
  </si>
  <si>
    <t>San Antonio Bulo Bulo|Academia de Balompie Boliviano</t>
  </si>
  <si>
    <t>Mushuc Runa|Orense</t>
  </si>
  <si>
    <t>FH Hafnarfjordur|Breidablik</t>
  </si>
  <si>
    <t>HK Kopavogur|IF Vestri</t>
  </si>
  <si>
    <t>Nacional Potosí|Real Oruro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</si>
  <si>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</si>
  <si>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</si>
  <si>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</si>
  <si>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</si>
  <si>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</si>
  <si>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</si>
  <si>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</si>
  <si>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</si>
  <si>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</si>
  <si>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</si>
  <si>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</si>
  <si>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</si>
  <si>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</si>
  <si>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</si>
  <si>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</si>
  <si>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</si>
  <si>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</si>
  <si>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</si>
  <si>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</si>
  <si>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</si>
  <si>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</si>
  <si>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</si>
  <si>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</si>
  <si>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</si>
  <si>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</si>
  <si>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</si>
  <si>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</si>
  <si>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</si>
  <si>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</si>
  <si>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</si>
  <si>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</si>
  <si>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</si>
  <si>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</si>
  <si>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</si>
  <si>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</si>
  <si>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</si>
  <si>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</si>
  <si>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</si>
  <si>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</si>
  <si>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</si>
  <si>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</si>
  <si>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</si>
  <si>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</si>
  <si>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</si>
  <si>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</si>
  <si>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</si>
  <si>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</si>
  <si>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</si>
  <si>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</si>
  <si>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</si>
  <si>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</si>
  <si>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</si>
  <si>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</si>
  <si>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</si>
  <si>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</si>
  <si>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</si>
  <si>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</si>
  <si>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</si>
  <si>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</si>
  <si>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</si>
  <si>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</si>
  <si>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</si>
  <si>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</si>
  <si>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</si>
  <si>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</si>
  <si>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</si>
  <si>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</si>
  <si>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</si>
  <si>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</si>
  <si>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</si>
  <si>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</si>
  <si>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</si>
  <si>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</si>
  <si>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</si>
  <si>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</si>
  <si>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</si>
  <si>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</si>
  <si>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</si>
  <si>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</si>
  <si>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</si>
  <si>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</si>
  <si>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</si>
  <si>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</si>
  <si>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</si>
  <si>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</si>
  <si>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</si>
  <si>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</si>
  <si>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</si>
  <si>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</si>
  <si>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</si>
  <si>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</si>
  <si>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</si>
  <si>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</si>
  <si>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</si>
  <si>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</si>
  <si>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</si>
  <si>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</si>
  <si>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</si>
  <si>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</si>
  <si>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</si>
  <si>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</si>
  <si>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</si>
  <si>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</si>
  <si>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</si>
  <si>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</si>
  <si>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</si>
  <si>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</si>
  <si>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</si>
  <si>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</si>
  <si>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</si>
  <si>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</si>
  <si>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</si>
  <si>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</si>
  <si>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</si>
  <si>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</si>
  <si>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</si>
  <si>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</si>
  <si>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</si>
  <si>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</si>
  <si>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</si>
  <si>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</si>
  <si>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</si>
  <si>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</si>
  <si>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</si>
  <si>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</si>
  <si>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</si>
  <si>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</si>
  <si>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</si>
  <si>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</si>
  <si>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</si>
  <si>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</si>
  <si>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</si>
  <si>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</si>
  <si>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</si>
  <si>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</si>
  <si>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</si>
  <si>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</si>
  <si>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</si>
  <si>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</si>
  <si>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</si>
  <si>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</si>
  <si>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</si>
  <si>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</si>
  <si>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</si>
  <si>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</si>
  <si>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</si>
  <si>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</si>
  <si>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</si>
  <si>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</si>
  <si>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</si>
  <si>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</si>
  <si>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</si>
  <si>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</si>
  <si>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</si>
  <si>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</si>
  <si>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</si>
  <si>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</si>
  <si>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</si>
  <si>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</si>
  <si>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</si>
  <si>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</si>
  <si>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</si>
  <si>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</si>
  <si>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</si>
  <si>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</si>
  <si>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</si>
  <si>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</si>
  <si>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</si>
  <si>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</si>
  <si>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</si>
  <si>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</si>
  <si>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</si>
  <si>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</si>
  <si>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</si>
  <si>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</si>
  <si>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</si>
  <si>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</si>
  <si>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</si>
  <si>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</si>
  <si>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</si>
  <si>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</si>
  <si>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</si>
  <si>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</si>
  <si>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</si>
  <si>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</si>
  <si>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</si>
  <si>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</si>
  <si>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</si>
  <si>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</si>
  <si>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</si>
  <si>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</si>
  <si>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</si>
  <si>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</si>
  <si>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</si>
  <si>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</si>
  <si>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</si>
  <si>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</si>
  <si>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</si>
  <si>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</si>
  <si>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</si>
  <si>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</si>
  <si>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</si>
  <si>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</si>
  <si>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</si>
  <si>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</si>
  <si>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</si>
  <si>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</si>
  <si>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</si>
  <si>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</si>
  <si>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</si>
  <si>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</si>
  <si>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</si>
  <si>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</si>
  <si>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</si>
  <si>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</si>
  <si>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</si>
  <si>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</si>
  <si>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</si>
  <si>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</si>
  <si>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</si>
  <si>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</si>
  <si>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</si>
  <si>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</si>
  <si>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</si>
  <si>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</si>
  <si>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</si>
  <si>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</si>
  <si>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</si>
  <si>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</si>
  <si>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</si>
  <si>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</si>
  <si>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</si>
  <si>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</si>
  <si>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</si>
  <si>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</si>
  <si>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</si>
  <si>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</si>
  <si>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</si>
  <si>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</si>
  <si>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</si>
  <si>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</si>
  <si>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</si>
  <si>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</si>
  <si>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</si>
  <si>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</si>
  <si>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</si>
  <si>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</si>
  <si>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</si>
  <si>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</si>
  <si>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</si>
  <si>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</si>
  <si>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</si>
  <si>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</si>
  <si>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</si>
  <si>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</si>
  <si>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</si>
  <si>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</si>
  <si>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</si>
  <si>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</si>
  <si>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</si>
  <si>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</si>
  <si>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</si>
  <si>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</si>
  <si>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</si>
  <si>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</si>
  <si>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</si>
  <si>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</si>
  <si>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</si>
  <si>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</si>
  <si>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</si>
  <si>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</si>
  <si>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</si>
  <si>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</si>
  <si>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</si>
  <si>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</si>
  <si>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</si>
  <si>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</si>
  <si>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</si>
  <si>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</si>
  <si>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</si>
  <si>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</si>
  <si>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</si>
  <si>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</si>
  <si>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</si>
  <si>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</si>
  <si>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</si>
  <si>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</si>
  <si>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</si>
  <si>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</si>
  <si>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</si>
  <si>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</si>
  <si>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</si>
  <si>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</si>
  <si>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</si>
  <si>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</si>
  <si>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</si>
  <si>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</si>
  <si>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</si>
  <si>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</si>
  <si>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</si>
  <si>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</si>
  <si>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</si>
  <si>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</si>
  <si>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</si>
  <si>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</si>
  <si>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</si>
  <si>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</si>
  <si>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</si>
  <si>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</si>
  <si>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</si>
  <si>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</si>
  <si>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</si>
  <si>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</si>
  <si>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</si>
  <si>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</si>
  <si>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</si>
  <si>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</si>
  <si>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</si>
  <si>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</si>
  <si>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</si>
  <si>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</si>
  <si>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</si>
  <si>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</si>
  <si>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</si>
  <si>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</si>
  <si>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</si>
  <si>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</si>
  <si>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</si>
  <si>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</si>
  <si>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</si>
  <si>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</si>
  <si>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</si>
  <si>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</si>
  <si>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</si>
  <si>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</si>
  <si>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</si>
  <si>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</si>
  <si>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</si>
  <si>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</si>
  <si>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</si>
  <si>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</si>
  <si>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</si>
  <si>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</si>
  <si>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</si>
  <si>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</si>
  <si>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</si>
  <si>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</si>
  <si>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</si>
  <si>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</si>
  <si>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</si>
  <si>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</si>
  <si>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</si>
  <si>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</si>
  <si>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</si>
  <si>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</si>
  <si>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</si>
  <si>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</si>
  <si>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</si>
  <si>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</si>
  <si>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</si>
  <si>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</si>
  <si>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</si>
  <si>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</si>
  <si>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</si>
  <si>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</si>
  <si>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</si>
  <si>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</si>
  <si>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</si>
  <si>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</si>
  <si>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</si>
  <si>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</si>
  <si>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</si>
  <si>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</si>
  <si>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</si>
  <si>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</si>
  <si>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</si>
  <si>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</si>
  <si>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</si>
  <si>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</si>
  <si>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</si>
  <si>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</si>
  <si>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</si>
  <si>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</si>
  <si>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</si>
  <si>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</si>
  <si>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</si>
  <si>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</si>
  <si>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</si>
  <si>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</si>
  <si>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</si>
  <si>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</si>
  <si>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</si>
  <si>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</si>
  <si>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</si>
  <si>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</si>
  <si>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</si>
  <si>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</si>
  <si>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</si>
  <si>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</si>
  <si>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</si>
  <si>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</si>
  <si>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</si>
  <si>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</si>
  <si>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</si>
  <si>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</si>
  <si>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</si>
  <si>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</si>
  <si>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</si>
  <si>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</si>
  <si>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</si>
  <si>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</si>
  <si>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</si>
  <si>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</si>
  <si>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</si>
  <si>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</si>
  <si>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</si>
  <si>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</si>
  <si>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</si>
  <si>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</si>
  <si>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</si>
  <si>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</si>
  <si>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</si>
  <si>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</si>
  <si>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</si>
  <si>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</si>
  <si>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</si>
  <si>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</si>
  <si>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</si>
  <si>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</si>
  <si>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</si>
  <si>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</si>
  <si>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</si>
  <si>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</si>
  <si>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</si>
  <si>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</si>
  <si>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</si>
  <si>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</si>
  <si>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</si>
  <si>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</si>
  <si>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</si>
  <si>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</si>
  <si>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</si>
  <si>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</si>
  <si>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</si>
  <si>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</si>
  <si>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</si>
  <si>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</si>
  <si>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</si>
  <si>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</si>
  <si>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</si>
  <si>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</si>
  <si>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</si>
  <si>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</si>
  <si>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</si>
  <si>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</si>
  <si>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</si>
  <si>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</si>
  <si>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</si>
  <si>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</si>
  <si>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</si>
  <si>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</si>
  <si>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</si>
  <si>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</si>
  <si>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</si>
  <si>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</si>
  <si>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</si>
  <si>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</si>
  <si>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</si>
  <si>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</si>
  <si>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</si>
  <si>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</si>
  <si>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</si>
  <si>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</si>
  <si>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</si>
  <si>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</si>
  <si>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</si>
  <si>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</si>
  <si>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</si>
  <si>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</si>
  <si>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</si>
  <si>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</si>
  <si>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</si>
  <si>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</si>
  <si>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</si>
  <si>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</si>
  <si>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</si>
  <si>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</si>
  <si>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</si>
  <si>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</si>
  <si>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</si>
  <si>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</si>
  <si>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</si>
  <si>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</si>
  <si>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</si>
  <si>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</si>
  <si>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</si>
  <si>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</si>
  <si>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</si>
  <si>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</si>
  <si>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</si>
  <si>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</si>
  <si>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</si>
  <si>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</si>
  <si>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</si>
  <si>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</si>
  <si>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</si>
  <si>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</si>
  <si>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</si>
  <si>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</si>
  <si>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</si>
  <si>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</si>
  <si>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</si>
  <si>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</si>
  <si>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</si>
  <si>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</si>
  <si>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</si>
  <si>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</si>
  <si>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</si>
  <si>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</si>
  <si>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</si>
  <si>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</si>
  <si>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</si>
  <si>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</si>
  <si>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</si>
  <si>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</si>
  <si>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</si>
  <si>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</si>
  <si>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</si>
  <si>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</si>
  <si>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</si>
  <si>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</si>
  <si>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</si>
  <si>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</si>
  <si>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</si>
  <si>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</si>
  <si>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</si>
  <si>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</si>
  <si>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</si>
  <si>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</si>
  <si>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</si>
  <si>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</si>
  <si>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</si>
  <si>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</si>
  <si>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</si>
  <si>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</si>
  <si>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</si>
  <si>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</si>
  <si>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</si>
  <si>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</si>
  <si>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</si>
  <si>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</si>
  <si>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</si>
  <si>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</si>
  <si>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</si>
  <si>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</si>
  <si>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</si>
  <si>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</si>
  <si>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</si>
  <si>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</si>
  <si>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</si>
  <si>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</si>
  <si>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</si>
  <si>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</si>
  <si>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</si>
  <si>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</si>
  <si>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</si>
  <si>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</si>
  <si>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</si>
  <si>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</si>
  <si>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</si>
  <si>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</si>
  <si>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</si>
  <si>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</si>
  <si>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</si>
  <si>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</si>
  <si>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</si>
  <si>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</si>
  <si>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</si>
  <si>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</si>
  <si>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</si>
  <si>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</si>
  <si>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</si>
  <si>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</si>
  <si>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</si>
  <si>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</si>
  <si>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</si>
  <si>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</si>
  <si>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</si>
  <si>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</si>
  <si>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</si>
  <si>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</si>
  <si>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</si>
  <si>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</si>
  <si>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</si>
  <si>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</si>
  <si>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</si>
  <si>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</si>
  <si>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</si>
  <si>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</si>
  <si>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</si>
  <si>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</si>
  <si>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</si>
  <si>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</si>
  <si>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</si>
  <si>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</si>
  <si>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</si>
  <si>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</si>
  <si>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</si>
  <si>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</si>
  <si>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</si>
  <si>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</si>
  <si>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</si>
  <si>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</si>
  <si>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</si>
  <si>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</si>
  <si>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</si>
  <si>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</si>
  <si>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</si>
  <si>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</si>
  <si>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</si>
  <si>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</si>
  <si>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</si>
  <si>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</si>
  <si>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</si>
  <si>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</si>
  <si>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</si>
  <si>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</si>
  <si>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</si>
  <si>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</si>
  <si>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</si>
  <si>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</si>
  <si>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</si>
  <si>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</si>
  <si>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</si>
  <si>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</si>
  <si>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</si>
  <si>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</si>
  <si>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</si>
  <si>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</si>
  <si>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</si>
  <si>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</si>
  <si>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</si>
  <si>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</si>
  <si>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</si>
  <si>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</si>
  <si>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</si>
  <si>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</si>
  <si>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</si>
  <si>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</si>
  <si>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</si>
  <si>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</si>
  <si>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</si>
  <si>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</si>
  <si>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</si>
  <si>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</si>
  <si>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</si>
  <si>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</si>
  <si>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</si>
  <si>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</si>
  <si>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</si>
  <si>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</si>
  <si>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</si>
  <si>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</si>
  <si>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</si>
  <si>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</si>
  <si>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</si>
  <si>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</si>
  <si>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</si>
  <si>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</si>
  <si>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</si>
  <si>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</si>
  <si>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</si>
  <si>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</si>
  <si>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</si>
  <si>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</si>
  <si>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</si>
  <si>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</si>
  <si>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</si>
  <si>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</si>
  <si>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</si>
  <si>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</si>
  <si>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</si>
  <si>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</si>
  <si>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</si>
  <si>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</si>
  <si>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</si>
  <si>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</si>
  <si>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</si>
  <si>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</si>
  <si>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</si>
  <si>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</si>
  <si>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</si>
  <si>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</si>
  <si>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</si>
  <si>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</si>
  <si>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</si>
  <si>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</si>
  <si>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</si>
  <si>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</si>
  <si>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</si>
  <si>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</si>
  <si>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</si>
  <si>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</si>
  <si>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</si>
  <si>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</si>
  <si>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</si>
  <si>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</si>
  <si>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</si>
  <si>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</si>
  <si>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</si>
  <si>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</si>
  <si>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</si>
  <si>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</si>
  <si>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</si>
  <si>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</si>
  <si>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</si>
  <si>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</si>
  <si>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</si>
  <si>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</si>
  <si>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</si>
  <si>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</si>
  <si>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</si>
  <si>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</si>
  <si>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</si>
  <si>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</si>
  <si>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</si>
  <si>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</si>
  <si>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</si>
  <si>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</si>
  <si>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</si>
  <si>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</si>
  <si>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</si>
  <si>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</si>
  <si>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</si>
  <si>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</si>
  <si>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</si>
  <si>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</si>
  <si>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</si>
  <si>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</si>
  <si>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</si>
  <si>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</si>
  <si>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</si>
  <si>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</si>
  <si>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</si>
  <si>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</si>
  <si>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</si>
  <si>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</si>
  <si>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</si>
  <si>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</si>
  <si>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</si>
  <si>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</si>
  <si>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</si>
  <si>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</si>
  <si>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</si>
  <si>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</si>
  <si>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</si>
  <si>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</si>
  <si>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</si>
  <si>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</si>
  <si>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</si>
  <si>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</si>
  <si>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</si>
  <si>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</si>
  <si>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</si>
  <si>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</si>
  <si>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</si>
  <si>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</si>
  <si>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</si>
  <si>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</si>
  <si>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</si>
  <si>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</si>
  <si>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</si>
  <si>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</si>
  <si>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</si>
  <si>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</si>
  <si>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</si>
  <si>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</si>
  <si>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</si>
  <si>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</si>
  <si>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</si>
  <si>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</si>
  <si>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</si>
  <si>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</si>
  <si>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</si>
  <si>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</si>
  <si>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</si>
  <si>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</si>
  <si>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</si>
  <si>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</si>
  <si>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</si>
  <si>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</si>
  <si>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</si>
  <si>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</si>
  <si>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</si>
  <si>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</si>
  <si>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</si>
  <si>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</si>
  <si>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</si>
  <si>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</si>
  <si>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</si>
  <si>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</si>
  <si>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</si>
  <si>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</si>
  <si>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</si>
  <si>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</si>
  <si>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</si>
  <si>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</si>
  <si>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</si>
  <si>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</si>
  <si>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</si>
  <si>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</si>
  <si>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</si>
  <si>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</si>
  <si>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</si>
  <si>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</si>
  <si>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</si>
  <si>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</si>
  <si>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</si>
  <si>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</si>
  <si>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</si>
  <si>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</si>
  <si>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</si>
  <si>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</si>
  <si>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</si>
  <si>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</si>
  <si>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</si>
  <si>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</si>
  <si>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</si>
  <si>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</si>
  <si>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</si>
  <si>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</si>
  <si>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</si>
  <si>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</si>
  <si>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</si>
  <si>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</si>
  <si>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</si>
  <si>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</si>
  <si>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</si>
  <si>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</si>
  <si>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</si>
  <si>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</si>
  <si>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</si>
  <si>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</si>
  <si>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</si>
  <si>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</si>
  <si>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</si>
  <si>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</si>
  <si>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</si>
  <si>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</si>
  <si>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</si>
  <si>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</si>
  <si>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</si>
  <si>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</si>
  <si>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</si>
  <si>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</si>
  <si>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</si>
  <si>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</si>
  <si>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</si>
  <si>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</si>
  <si>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</si>
  <si>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</si>
  <si>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</si>
  <si>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</si>
  <si>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</si>
  <si>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</si>
  <si>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</si>
  <si>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</si>
  <si>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</si>
  <si>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</si>
  <si>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</si>
  <si>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</si>
  <si>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</si>
  <si>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</si>
  <si>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</si>
  <si>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</si>
  <si>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</si>
  <si>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</si>
  <si>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</si>
  <si>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</si>
  <si>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</si>
  <si>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</si>
  <si>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</si>
  <si>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</si>
  <si>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</si>
  <si>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</si>
  <si>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</si>
  <si>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</si>
  <si>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</si>
  <si>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</si>
  <si>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</si>
  <si>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</si>
  <si>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</si>
  <si>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</si>
  <si>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</si>
  <si>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</si>
  <si>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</si>
  <si>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</si>
  <si>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</si>
  <si>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</si>
  <si>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</si>
  <si>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</si>
  <si>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</si>
  <si>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</si>
  <si>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</si>
  <si>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</si>
  <si>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</si>
  <si>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</si>
  <si>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</si>
  <si>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</si>
  <si>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</si>
  <si>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</si>
  <si>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</si>
  <si>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</si>
  <si>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</si>
  <si>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</si>
  <si>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</si>
  <si>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</si>
  <si>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</si>
  <si>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</si>
  <si>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</si>
  <si>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</si>
  <si>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</si>
  <si>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</si>
  <si>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</si>
  <si>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</si>
  <si>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</si>
  <si>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</si>
  <si>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</si>
  <si>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</si>
  <si>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</si>
  <si>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</si>
  <si>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</si>
  <si>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</si>
  <si>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</si>
  <si>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</si>
  <si>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</si>
  <si>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</si>
  <si>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</si>
  <si>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</si>
  <si>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</si>
  <si>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</si>
  <si>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</si>
  <si>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</si>
  <si>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</si>
  <si>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</si>
  <si>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</si>
  <si>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</si>
  <si>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</si>
  <si>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</si>
  <si>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</si>
  <si>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</si>
  <si>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</si>
  <si>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</si>
  <si>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</si>
  <si>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</si>
  <si>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</si>
  <si>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</si>
  <si>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</si>
  <si>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</si>
  <si>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</si>
  <si>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</si>
  <si>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</si>
  <si>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</si>
  <si>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</si>
  <si>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</si>
  <si>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</si>
  <si>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</si>
  <si>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</si>
  <si>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</si>
  <si>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</si>
  <si>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</si>
  <si>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</si>
  <si>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</si>
  <si>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</si>
  <si>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</si>
  <si>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</si>
  <si>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</si>
  <si>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</si>
  <si>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</si>
  <si>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</si>
  <si>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</si>
  <si>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</si>
  <si>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</si>
  <si>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</si>
  <si>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</si>
  <si>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</si>
  <si>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</si>
  <si>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</si>
  <si>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</si>
  <si>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</si>
  <si>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</si>
  <si>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</si>
  <si>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</si>
  <si>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</si>
  <si>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</si>
  <si>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</si>
  <si>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</si>
  <si>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</si>
  <si>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</si>
  <si>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</si>
  <si>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</si>
  <si>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</si>
  <si>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</si>
  <si>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</si>
  <si>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</si>
  <si>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</si>
  <si>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</si>
  <si>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</si>
  <si>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</si>
  <si>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</si>
  <si>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</si>
  <si>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</si>
  <si>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</si>
  <si>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</si>
  <si>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</si>
  <si>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</si>
  <si>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</si>
  <si>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</si>
  <si>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</si>
  <si>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</si>
  <si>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</si>
  <si>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</si>
  <si>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</si>
  <si>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</si>
  <si>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</si>
  <si>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</si>
  <si>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</si>
  <si>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</si>
  <si>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</si>
  <si>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</si>
  <si>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</si>
  <si>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</si>
  <si>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</si>
  <si>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</si>
  <si>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</si>
  <si>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</si>
  <si>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</si>
  <si>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</si>
  <si>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</si>
  <si>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</si>
  <si>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</si>
  <si>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</si>
  <si>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</si>
  <si>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</si>
  <si>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</si>
  <si>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</si>
  <si>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</si>
  <si>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</si>
  <si>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</si>
  <si>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</si>
  <si>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</si>
  <si>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</si>
  <si>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</si>
  <si>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</si>
  <si>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</si>
  <si>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</si>
  <si>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</si>
  <si>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</si>
  <si>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</si>
  <si>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</si>
  <si>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</si>
  <si>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</si>
  <si>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</si>
  <si>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</si>
  <si>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</si>
  <si>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</si>
  <si>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</si>
  <si>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</si>
  <si>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</si>
  <si>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</si>
  <si>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</si>
  <si>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</si>
  <si>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</si>
  <si>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</si>
  <si>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</si>
  <si>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</si>
  <si>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</si>
  <si>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</si>
  <si>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</si>
  <si>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</si>
  <si>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</si>
  <si>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</si>
  <si>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</si>
  <si>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</si>
  <si>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</si>
  <si>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</si>
  <si>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</si>
  <si>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</si>
  <si>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</si>
  <si>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</si>
  <si>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</si>
  <si>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</si>
  <si>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</si>
  <si>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</si>
  <si>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</si>
  <si>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</si>
  <si>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</si>
  <si>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</si>
  <si>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</si>
  <si>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</si>
  <si>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</si>
  <si>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</si>
  <si>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</si>
  <si>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</si>
  <si>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</si>
  <si>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</si>
  <si>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</si>
  <si>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</si>
  <si>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</si>
  <si>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</si>
  <si>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</si>
  <si>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</si>
  <si>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</si>
  <si>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</si>
  <si>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</si>
  <si>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</si>
  <si>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</si>
  <si>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</si>
  <si>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</si>
  <si>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</si>
  <si>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</si>
  <si>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</si>
  <si>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</si>
  <si>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</si>
  <si>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</si>
  <si>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</si>
  <si>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</si>
  <si>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</si>
  <si>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</si>
  <si>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</si>
  <si>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</si>
  <si>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</si>
  <si>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</si>
  <si>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</si>
  <si>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</si>
  <si>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</si>
  <si>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</si>
  <si>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</si>
  <si>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</si>
  <si>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</si>
  <si>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</si>
  <si>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</si>
  <si>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</si>
  <si>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</si>
  <si>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</si>
  <si>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</si>
  <si>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</si>
  <si>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</si>
  <si>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</si>
  <si>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</si>
  <si>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</si>
  <si>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</si>
  <si>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</si>
  <si>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</si>
  <si>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</si>
  <si>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</si>
  <si>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</si>
  <si>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</si>
  <si>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</si>
  <si>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</si>
  <si>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</si>
  <si>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</si>
  <si>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</si>
  <si>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</si>
  <si>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</si>
  <si>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</si>
  <si>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</si>
  <si>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</si>
  <si>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</si>
  <si>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</si>
  <si>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</si>
  <si>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</si>
  <si>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</si>
  <si>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</si>
  <si>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</si>
  <si>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</si>
  <si>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</si>
  <si>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</si>
  <si>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</si>
  <si>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</si>
  <si>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</si>
  <si>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</si>
  <si>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</si>
  <si>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</si>
  <si>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</si>
  <si>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</si>
  <si>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</si>
  <si>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</si>
  <si>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</si>
  <si>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</si>
  <si>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</si>
  <si>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</si>
  <si>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</si>
  <si>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</si>
  <si>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</si>
  <si>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</si>
  <si>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</si>
  <si>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</si>
  <si>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</si>
  <si>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</si>
  <si>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</si>
  <si>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</si>
  <si>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</si>
  <si>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</si>
  <si>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</si>
  <si>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</si>
  <si>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</si>
  <si>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</si>
  <si>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</si>
  <si>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</si>
  <si>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</si>
  <si>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</si>
  <si>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</si>
  <si>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</si>
  <si>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</si>
  <si>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</si>
  <si>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</si>
  <si>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</si>
  <si>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</si>
  <si>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</si>
  <si>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</si>
  <si>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</si>
  <si>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</si>
  <si>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</si>
  <si>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</si>
  <si>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</si>
  <si>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</si>
  <si>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</si>
  <si>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</si>
  <si>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</si>
  <si>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</si>
  <si>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</si>
  <si>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</si>
  <si>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</si>
  <si>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</si>
  <si>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</si>
  <si>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</si>
  <si>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</si>
  <si>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</si>
  <si>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</si>
  <si>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</si>
  <si>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</si>
  <si>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</si>
  <si>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</si>
  <si>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</si>
  <si>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</si>
  <si>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</si>
  <si>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</si>
  <si>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</si>
  <si>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</si>
  <si>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</si>
  <si>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</si>
  <si>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</si>
  <si>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</si>
  <si>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</si>
  <si>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</si>
  <si>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</si>
  <si>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</si>
  <si>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</si>
  <si>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</si>
  <si>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</si>
  <si>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</si>
  <si>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</si>
  <si>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</si>
  <si>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</si>
  <si>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</si>
  <si>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</si>
  <si>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</si>
  <si>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</si>
  <si>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</si>
  <si>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</si>
  <si>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</si>
  <si>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</si>
  <si>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</si>
  <si>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</si>
  <si>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</si>
  <si>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</si>
  <si>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</si>
  <si>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</si>
  <si>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</si>
  <si>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</si>
  <si>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</si>
  <si>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</si>
  <si>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</si>
  <si>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</si>
  <si>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</si>
  <si>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</si>
  <si>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</si>
  <si>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</si>
  <si>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</si>
  <si>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</si>
  <si>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</si>
  <si>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</si>
  <si>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</si>
  <si>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</si>
  <si>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</si>
  <si>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</si>
  <si>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</si>
  <si>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</si>
  <si>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</si>
  <si>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</si>
  <si>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</si>
  <si>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</si>
  <si>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</si>
  <si>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</si>
  <si>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</si>
  <si>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</si>
  <si>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</si>
  <si>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</si>
  <si>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</si>
  <si>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</si>
  <si>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</si>
  <si>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</si>
  <si>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</si>
  <si>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</si>
  <si>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</si>
  <si>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</si>
  <si>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</si>
  <si>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</si>
  <si>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</si>
  <si>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</si>
  <si>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</si>
  <si>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</si>
  <si>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</si>
  <si>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</si>
  <si>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</si>
  <si>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</si>
  <si>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</si>
  <si>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</si>
  <si>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</si>
  <si>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</si>
  <si>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</si>
  <si>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</si>
  <si>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</si>
  <si>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</si>
  <si>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</si>
  <si>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</si>
  <si>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</si>
  <si>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</si>
  <si>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</si>
  <si>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</si>
  <si>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</si>
  <si>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</si>
  <si>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</si>
  <si>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</si>
  <si>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</si>
  <si>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</si>
  <si>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</si>
  <si>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</si>
  <si>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</si>
  <si>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</si>
  <si>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</si>
  <si>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</si>
  <si>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</si>
  <si>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</si>
  <si>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</si>
  <si>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</si>
  <si>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</si>
  <si>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</si>
  <si>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</si>
  <si>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</si>
  <si>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</si>
  <si>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</si>
  <si>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</si>
  <si>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</si>
  <si>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</si>
  <si>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</si>
  <si>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</si>
  <si>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</si>
  <si>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</si>
  <si>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</si>
  <si>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</si>
  <si>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</si>
  <si>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</si>
  <si>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</si>
  <si>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</si>
  <si>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</si>
  <si>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</si>
  <si>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</si>
  <si>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</si>
  <si>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</si>
  <si>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</si>
  <si>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</si>
  <si>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</si>
  <si>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</si>
  <si>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</si>
  <si>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</si>
  <si>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</si>
  <si>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</si>
  <si>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</si>
  <si>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</si>
  <si>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</si>
  <si>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</si>
  <si>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</si>
  <si>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</si>
  <si>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</si>
  <si>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</si>
  <si>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</si>
  <si>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</si>
  <si>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</si>
  <si>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</si>
  <si>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</si>
  <si>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</si>
  <si>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</si>
  <si>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</si>
  <si>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</si>
  <si>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</si>
  <si>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</si>
  <si>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</si>
  <si>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</si>
  <si>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</si>
  <si>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</si>
  <si>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</si>
  <si>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</si>
  <si>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</si>
  <si>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</si>
  <si>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</si>
  <si>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</si>
  <si>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</si>
  <si>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</si>
  <si>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</si>
  <si>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</si>
  <si>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</si>
  <si>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</si>
  <si>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</si>
  <si>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</si>
  <si>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</si>
  <si>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</si>
  <si>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</si>
  <si>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</si>
  <si>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</si>
  <si>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</si>
  <si>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</si>
  <si>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</si>
  <si>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</si>
  <si>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</si>
  <si>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</si>
  <si>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</si>
  <si>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</si>
  <si>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</si>
  <si>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</si>
  <si>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</si>
  <si>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</si>
  <si>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</si>
  <si>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</si>
  <si>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</si>
  <si>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</si>
  <si>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</si>
  <si>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</si>
  <si>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</si>
  <si>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</si>
  <si>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</si>
  <si>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</si>
  <si>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</si>
  <si>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</si>
  <si>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</si>
  <si>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</si>
  <si>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</si>
  <si>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</si>
  <si>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</si>
  <si>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</si>
  <si>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</si>
  <si>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</si>
  <si>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</si>
  <si>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</si>
  <si>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</si>
  <si>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</si>
  <si>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</si>
  <si>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</si>
  <si>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</si>
  <si>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</si>
  <si>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</si>
  <si>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</si>
  <si>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</si>
  <si>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</si>
  <si>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</si>
  <si>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</si>
  <si>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</si>
  <si>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</si>
  <si>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</si>
  <si>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</si>
  <si>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</si>
  <si>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</si>
  <si>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</si>
  <si>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</si>
  <si>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</si>
  <si>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</si>
  <si>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</si>
  <si>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</si>
  <si>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</si>
  <si>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</si>
  <si>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</si>
  <si>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</si>
  <si>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</si>
  <si>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</si>
  <si>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</si>
  <si>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</si>
  <si>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</si>
  <si>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</si>
  <si>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</si>
  <si>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</si>
  <si>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</si>
  <si>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</si>
  <si>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</si>
  <si>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</si>
  <si>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</si>
  <si>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</si>
  <si>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</si>
  <si>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</si>
  <si>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</si>
  <si>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</si>
  <si>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</si>
  <si>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</si>
  <si>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</si>
  <si>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</si>
  <si>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</si>
  <si>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</si>
  <si>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</si>
  <si>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</si>
  <si>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</si>
  <si>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</si>
  <si>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</si>
  <si>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</si>
  <si>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</si>
  <si>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</si>
  <si>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</si>
  <si>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</si>
  <si>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</si>
  <si>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</si>
  <si>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</si>
  <si>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</si>
  <si>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</si>
  <si>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</si>
  <si>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</si>
  <si>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</si>
  <si>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</si>
  <si>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</si>
  <si>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</si>
  <si>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</si>
  <si>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</si>
  <si>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</si>
  <si>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</si>
  <si>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</si>
  <si>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</si>
  <si>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</si>
  <si>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</si>
  <si>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</si>
  <si>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</si>
  <si>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</si>
  <si>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</si>
  <si>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</si>
  <si>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</si>
  <si>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</si>
  <si>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</si>
  <si>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</si>
  <si>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</si>
  <si>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</si>
  <si>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</si>
  <si>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</si>
  <si>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</si>
  <si>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</si>
  <si>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</si>
  <si>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</si>
  <si>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</si>
  <si>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</si>
  <si>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</si>
  <si>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</si>
  <si>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</si>
  <si>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</si>
  <si>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</si>
  <si>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</si>
  <si>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</si>
  <si>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</si>
  <si>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</si>
  <si>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</si>
  <si>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</si>
  <si>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</si>
  <si>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</si>
  <si>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</si>
  <si>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</si>
  <si>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</si>
  <si>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</si>
  <si>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</si>
  <si>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</si>
  <si>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</si>
  <si>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</si>
  <si>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</si>
  <si>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</si>
  <si>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</si>
  <si>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</si>
  <si>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</si>
  <si>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</si>
  <si>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</si>
  <si>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</si>
  <si>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</si>
  <si>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</si>
  <si>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</si>
  <si>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</si>
  <si>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</si>
  <si>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</si>
  <si>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</si>
  <si>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</si>
  <si>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</si>
  <si>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</si>
  <si>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</si>
  <si>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</si>
  <si>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</si>
  <si>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</si>
  <si>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</si>
  <si>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</si>
  <si>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</si>
  <si>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</si>
  <si>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</si>
  <si>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</si>
  <si>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</si>
  <si>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</si>
  <si>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</si>
  <si>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</si>
  <si>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</si>
  <si>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</si>
  <si>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</si>
  <si>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</si>
  <si>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</si>
  <si>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</si>
  <si>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</si>
  <si>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</si>
  <si>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</si>
  <si>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</si>
  <si>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</si>
  <si>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</si>
  <si>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</si>
  <si>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</si>
  <si>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</si>
  <si>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</si>
  <si>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</si>
  <si>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</si>
  <si>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</si>
  <si>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</si>
  <si>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</si>
  <si>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</si>
  <si>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</si>
  <si>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</si>
  <si>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</si>
  <si>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</si>
  <si>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</si>
  <si>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</si>
  <si>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</si>
  <si>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</si>
  <si>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</si>
  <si>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</si>
  <si>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</si>
  <si>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</si>
  <si>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</si>
  <si>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</si>
  <si>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</si>
  <si>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</si>
  <si>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</si>
  <si>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</si>
  <si>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</si>
  <si>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</si>
  <si>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</si>
  <si>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</si>
  <si>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</si>
  <si>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</si>
  <si>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Monterrey not found</t>
  </si>
  <si>
    <t>Phoenix not found</t>
  </si>
  <si>
    <t>Rockdale not found</t>
  </si>
  <si>
    <t>Colon de Santa Fe</t>
  </si>
  <si>
    <t>Blumenau</t>
  </si>
  <si>
    <t>KAPYLAN PALLO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</si>
  <si>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</si>
  <si>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</si>
  <si>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</si>
  <si>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</si>
  <si>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</si>
  <si>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</si>
  <si>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</si>
  <si>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</si>
  <si>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</si>
  <si>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</si>
  <si>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</si>
  <si>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</si>
  <si>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</si>
  <si>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</si>
  <si>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</si>
  <si>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</si>
  <si>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</si>
  <si>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</si>
  <si>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</si>
  <si>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</si>
  <si>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</si>
  <si>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</si>
  <si>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</si>
  <si>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</si>
  <si>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</si>
  <si>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</si>
  <si>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</si>
  <si>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</si>
  <si>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</si>
  <si>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</si>
  <si>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</si>
  <si>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</si>
  <si>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</si>
  <si>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</si>
  <si>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</si>
  <si>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</si>
  <si>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</si>
  <si>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</si>
  <si>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</si>
  <si>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</si>
  <si>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</si>
  <si>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</si>
  <si>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</si>
  <si>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</si>
  <si>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</si>
  <si>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</si>
  <si>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</si>
  <si>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</si>
  <si>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</si>
  <si>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</si>
  <si>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</si>
  <si>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</si>
  <si>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</si>
  <si>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</si>
  <si>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</si>
  <si>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</si>
  <si>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</si>
  <si>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</si>
  <si>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</si>
  <si>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</si>
  <si>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</si>
  <si>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</si>
  <si>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</si>
  <si>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</si>
  <si>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</si>
  <si>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</si>
  <si>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</si>
  <si>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</si>
  <si>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</si>
  <si>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</si>
  <si>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</si>
  <si>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</si>
  <si>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</si>
  <si>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</si>
  <si>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</si>
  <si>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</si>
  <si>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</si>
  <si>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</si>
  <si>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</si>
  <si>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</si>
  <si>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</si>
  <si>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</si>
  <si>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</si>
  <si>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</si>
  <si>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</si>
  <si>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</si>
  <si>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</si>
  <si>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</si>
  <si>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</si>
  <si>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</si>
  <si>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</si>
  <si>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</si>
  <si>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</si>
  <si>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</si>
  <si>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</si>
  <si>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</si>
  <si>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</si>
  <si>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</si>
  <si>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</si>
  <si>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</si>
  <si>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</si>
  <si>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</si>
  <si>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</si>
  <si>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</si>
  <si>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</si>
  <si>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Market</t>
  </si>
  <si>
    <t>Expected</t>
  </si>
  <si>
    <t>Real</t>
  </si>
  <si>
    <t>Min. Range</t>
  </si>
  <si>
    <t>Max. Range</t>
  </si>
  <si>
    <t>DC</t>
  </si>
  <si>
    <t>Total</t>
  </si>
  <si>
    <t>Total Green</t>
  </si>
  <si>
    <t>Total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</si>
</sst>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44">
    <xf numFmtId="0" fontId="0" fillId="0" borderId="0" xfId="0"/>
    <xf numFmtId="0" fontId="4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5" fillId="2" borderId="0" xfId="1" applyFont="1" applyFill="1"/>
    <xf numFmtId="0" fontId="5" fillId="2" borderId="2" xfId="1" applyFont="1" applyFill="1" applyBorder="1"/>
    <xf numFmtId="0" fontId="6" fillId="4" borderId="1" xfId="0" applyFont="1" applyFill="1" applyBorder="1"/>
    <xf numFmtId="0" fontId="6" fillId="3" borderId="1" xfId="0" applyFont="1" applyFill="1" applyBorder="1"/>
    <xf numFmtId="0" fontId="6" fillId="4" borderId="5" xfId="0" applyFont="1" applyFill="1" applyBorder="1"/>
    <xf numFmtId="0" fontId="7" fillId="2" borderId="0" xfId="0" applyFont="1" applyFill="1"/>
    <xf numFmtId="0" fontId="7" fillId="2" borderId="2" xfId="0" applyFont="1" applyFill="1" applyBorder="1"/>
    <xf numFmtId="49" fontId="7" fillId="2" borderId="2" xfId="0" applyNumberFormat="1" applyFont="1" applyFill="1" applyBorder="1"/>
    <xf numFmtId="0" fontId="6" fillId="4" borderId="3" xfId="0" applyFont="1" applyFill="1" applyBorder="1"/>
    <xf numFmtId="0" fontId="6" fillId="4" borderId="4" xfId="0" applyFont="1" applyFill="1" applyBorder="1"/>
    <xf numFmtId="20" fontId="6" fillId="4" borderId="4" xfId="0" applyNumberFormat="1" applyFont="1" applyFill="1" applyBorder="1"/>
    <xf numFmtId="49" fontId="6" fillId="4" borderId="4" xfId="0" applyNumberFormat="1" applyFont="1" applyFill="1" applyBorder="1"/>
    <xf numFmtId="0" fontId="6" fillId="3" borderId="5" xfId="0" applyFont="1" applyFill="1" applyBorder="1"/>
    <xf numFmtId="20" fontId="6" fillId="3" borderId="1" xfId="0" applyNumberFormat="1" applyFont="1" applyFill="1" applyBorder="1"/>
    <xf numFmtId="49" fontId="6" fillId="3" borderId="1" xfId="0" applyNumberFormat="1" applyFont="1" applyFill="1" applyBorder="1"/>
    <xf numFmtId="20" fontId="6" fillId="4" borderId="1" xfId="0" applyNumberFormat="1" applyFont="1" applyFill="1" applyBorder="1"/>
    <xf numFmtId="49" fontId="6" fillId="4" borderId="1" xfId="0" applyNumberFormat="1" applyFont="1" applyFill="1" applyBorder="1"/>
    <xf numFmtId="0" fontId="3" fillId="3" borderId="0" xfId="1" applyFont="1" applyFill="1"/>
    <xf numFmtId="21" fontId="3" fillId="3" borderId="0" xfId="1" applyNumberFormat="1" applyFont="1" applyFill="1"/>
    <xf numFmtId="0" fontId="2" fillId="0" borderId="0" xfId="1" applyFont="1"/>
    <xf numFmtId="20" fontId="0" fillId="0" borderId="0" xfId="0" applyNumberFormat="1"/>
    <xf numFmtId="0" fontId="7" fillId="5" borderId="2" xfId="0" applyFont="1" applyFill="1" applyBorder="1"/>
    <xf numFmtId="49" fontId="7" fillId="5" borderId="2" xfId="0" applyNumberFormat="1" applyFont="1" applyFill="1" applyBorder="1"/>
    <xf numFmtId="0" fontId="9" fillId="0" borderId="0" xfId="0" applyFont="1"/>
    <xf numFmtId="0" fontId="1" fillId="3" borderId="0" xfId="1" applyFont="1" applyFill="1"/>
    <xf numFmtId="0" fontId="3" fillId="6" borderId="0" xfId="1" applyFont="1" applyFill="1"/>
    <xf numFmtId="21" fontId="3" fillId="6" borderId="0" xfId="1" applyNumberFormat="1" applyFont="1" applyFill="1"/>
    <xf numFmtId="9" fontId="0" fillId="0" borderId="0" xfId="3" applyFont="1"/>
    <xf numFmtId="0" fontId="9" fillId="0" borderId="6" xfId="0" applyFont="1" applyBorder="1"/>
    <xf numFmtId="0" fontId="0" fillId="0" borderId="6" xfId="0" applyBorder="1"/>
    <xf numFmtId="9" fontId="0" fillId="0" borderId="6" xfId="3" applyFont="1" applyBorder="1"/>
    <xf numFmtId="164" fontId="0" fillId="0" borderId="6" xfId="3" applyNumberFormat="1" applyFont="1" applyBorder="1"/>
    <xf numFmtId="49" fontId="0" fillId="0" borderId="6" xfId="0" applyNumberFormat="1" applyBorder="1"/>
    <xf numFmtId="49" fontId="0" fillId="0" borderId="0" xfId="0" applyNumberFormat="1" applyFont="1" applyFill="1" applyBorder="1"/>
    <xf numFmtId="49" fontId="0" fillId="0" borderId="6" xfId="0" applyNumberFormat="1" applyFont="1" applyFill="1" applyBorder="1"/>
    <xf numFmtId="43" fontId="9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49" fontId="9" fillId="0" borderId="0" xfId="0" applyNumberFormat="1" applyFont="1" applyFill="1" applyBorder="1"/>
  </cellXfs>
  <cellStyles count="4">
    <cellStyle name="Comma" xfId="2" builtinId="3"/>
    <cellStyle name="Normal" xfId="0" builtinId="0"/>
    <cellStyle name="Normal 2" xfId="1" xr:uid="{D366C6B8-29CB-47F1-8CB5-78F57F211074}"/>
    <cellStyle name="Percent" xfId="3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537</xdr:row>
      <xdr:rowOff>85725</xdr:rowOff>
    </xdr:from>
    <xdr:to>
      <xdr:col>5</xdr:col>
      <xdr:colOff>1952625</xdr:colOff>
      <xdr:row>550</xdr:row>
      <xdr:rowOff>9525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F365273-D21A-4C42-A80F-6D7EAA8947CE}"/>
            </a:ext>
          </a:extLst>
        </xdr:cNvPr>
        <xdr:cNvSpPr/>
      </xdr:nvSpPr>
      <xdr:spPr>
        <a:xfrm>
          <a:off x="5400675" y="102403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16</xdr:row>
      <xdr:rowOff>0</xdr:rowOff>
    </xdr:from>
    <xdr:to>
      <xdr:col>7</xdr:col>
      <xdr:colOff>219075</xdr:colOff>
      <xdr:row>28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548</xdr:row>
      <xdr:rowOff>180975</xdr:rowOff>
    </xdr:from>
    <xdr:to>
      <xdr:col>10</xdr:col>
      <xdr:colOff>504825</xdr:colOff>
      <xdr:row>561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</a:t>
          </a:r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T545"/>
  <sheetViews>
    <sheetView topLeftCell="A525" workbookViewId="0">
      <selection activeCell="C552" sqref="C552"/>
    </sheetView>
  </sheetViews>
  <sheetFormatPr defaultRowHeight="15" outlineLevelCol="1" x14ac:dyDescent="0.25"/>
  <cols>
    <col min="2" max="2" width="48" bestFit="1" customWidth="1"/>
    <col min="3" max="3" width="13.42578125" customWidth="1"/>
    <col min="4" max="4" width="9.42578125" bestFit="1" customWidth="1"/>
    <col min="5" max="5" width="41.85546875" customWidth="1"/>
    <col min="6" max="6" width="33.7109375" customWidth="1"/>
    <col min="7" max="7" width="8.28515625" style="4" customWidth="1" outlineLevel="1"/>
    <col min="8" max="8" width="6.5703125" customWidth="1" outlineLevel="1"/>
    <col min="9" max="13" width="6" customWidth="1" outlineLevel="1"/>
    <col min="14" max="14" width="6.85546875" customWidth="1" outlineLevel="1"/>
    <col min="15" max="15" width="7" customWidth="1" outlineLevel="1"/>
    <col min="16" max="16" width="6.85546875" customWidth="1" outlineLevel="1"/>
    <col min="17" max="17" width="18.85546875" customWidth="1" outlineLevel="1"/>
    <col min="18" max="19" width="14.85546875" customWidth="1" outlineLevel="1"/>
    <col min="20" max="21" width="16.28515625" customWidth="1" outlineLevel="1"/>
    <col min="22" max="22" width="10.85546875" customWidth="1" outlineLevel="1"/>
    <col min="23" max="23" width="11.140625" customWidth="1" outlineLevel="1"/>
    <col min="24" max="24" width="28.28515625" customWidth="1" outlineLevel="1"/>
    <col min="25" max="25" width="29.7109375" customWidth="1" outlineLevel="1"/>
    <col min="26" max="26" width="29.7109375" style="4" customWidth="1"/>
    <col min="27" max="27" width="23.5703125" bestFit="1" customWidth="1"/>
    <col min="28" max="28" width="27" bestFit="1" customWidth="1"/>
    <col min="29" max="29" width="22.85546875" bestFit="1" customWidth="1"/>
  </cols>
  <sheetData>
    <row r="2" spans="1:46" x14ac:dyDescent="0.25">
      <c r="AD2">
        <v>14</v>
      </c>
      <c r="AE2">
        <v>15</v>
      </c>
      <c r="AF2">
        <v>16</v>
      </c>
      <c r="AG2">
        <v>17</v>
      </c>
      <c r="AH2">
        <v>18</v>
      </c>
      <c r="AI2">
        <v>19</v>
      </c>
      <c r="AJ2">
        <v>20</v>
      </c>
      <c r="AK2">
        <v>21</v>
      </c>
      <c r="AL2">
        <v>22</v>
      </c>
      <c r="AM2">
        <v>23</v>
      </c>
      <c r="AN2">
        <v>24</v>
      </c>
      <c r="AO2">
        <v>25</v>
      </c>
      <c r="AP2">
        <v>26</v>
      </c>
      <c r="AQ2">
        <v>27</v>
      </c>
      <c r="AR2">
        <v>28</v>
      </c>
      <c r="AS2">
        <v>29</v>
      </c>
      <c r="AT2">
        <v>30</v>
      </c>
    </row>
    <row r="3" spans="1:46" ht="15.75" thickBot="1" x14ac:dyDescent="0.3">
      <c r="A3" s="10" t="s">
        <v>875</v>
      </c>
      <c r="B3" s="10" t="s">
        <v>461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462</v>
      </c>
      <c r="H3" s="11" t="s">
        <v>441</v>
      </c>
      <c r="I3" s="11" t="s">
        <v>4</v>
      </c>
      <c r="J3" s="11" t="s">
        <v>442</v>
      </c>
      <c r="K3" s="11" t="s">
        <v>5</v>
      </c>
      <c r="L3" s="11" t="s">
        <v>6</v>
      </c>
      <c r="M3" s="11" t="s">
        <v>443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11" t="s">
        <v>17</v>
      </c>
      <c r="Y3" s="11" t="s">
        <v>18</v>
      </c>
      <c r="Z3" s="12" t="s">
        <v>444</v>
      </c>
      <c r="AA3" s="26" t="s">
        <v>2131</v>
      </c>
      <c r="AB3" s="26" t="s">
        <v>2132</v>
      </c>
      <c r="AC3" s="26" t="s">
        <v>444</v>
      </c>
      <c r="AD3" s="27" t="s">
        <v>462</v>
      </c>
      <c r="AE3" s="26" t="s">
        <v>441</v>
      </c>
      <c r="AF3" s="26" t="s">
        <v>4</v>
      </c>
      <c r="AG3" s="26" t="s">
        <v>442</v>
      </c>
      <c r="AH3" s="26" t="s">
        <v>5</v>
      </c>
      <c r="AI3" s="26" t="s">
        <v>6</v>
      </c>
      <c r="AJ3" s="26" t="s">
        <v>443</v>
      </c>
      <c r="AK3" s="26" t="s">
        <v>7</v>
      </c>
      <c r="AL3" s="26" t="s">
        <v>8</v>
      </c>
      <c r="AM3" s="26" t="s">
        <v>9</v>
      </c>
      <c r="AN3" s="26" t="s">
        <v>2133</v>
      </c>
      <c r="AO3" s="26" t="s">
        <v>2134</v>
      </c>
      <c r="AP3" s="26" t="s">
        <v>2135</v>
      </c>
      <c r="AQ3" s="26" t="s">
        <v>2136</v>
      </c>
      <c r="AR3" s="26" t="s">
        <v>2137</v>
      </c>
      <c r="AS3" s="26" t="s">
        <v>15</v>
      </c>
      <c r="AT3" s="26" t="s">
        <v>16</v>
      </c>
    </row>
    <row r="4" spans="1:46" ht="15.75" thickTop="1" x14ac:dyDescent="0.25">
      <c r="B4" s="13"/>
      <c r="C4" s="14" t="s">
        <v>244</v>
      </c>
      <c r="D4" s="15">
        <v>0.5</v>
      </c>
      <c r="E4" s="14" t="s">
        <v>245</v>
      </c>
      <c r="F4" s="14" t="s">
        <v>246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s="14">
        <v>25</v>
      </c>
      <c r="Y4" s="14">
        <v>37.5</v>
      </c>
      <c r="Z4" s="16" t="s">
        <v>449</v>
      </c>
      <c r="AA4" t="str">
        <f>VLOOKUP(E4,'Transform table'!A:B,2,0)</f>
        <v>Turku PS</v>
      </c>
      <c r="AB4" t="str">
        <f>VLOOKUP(F4,'Transform table'!A:B,2,0)</f>
        <v>Ilves</v>
      </c>
      <c r="AC4" t="str">
        <f>C4&amp;AA4&amp;AB4</f>
        <v>20/07/2026Turku PSIlves</v>
      </c>
      <c r="AD4" t="str">
        <f>VLOOKUP($AC4,'oddspedia-matches'!$A:$AD,AD$2,0)</f>
        <v>1 - 3</v>
      </c>
      <c r="AE4" t="str">
        <f>VLOOKUP($AC4,'oddspedia-matches'!$A:$AD,AE$2,0)</f>
        <v>Red</v>
      </c>
      <c r="AF4" t="str">
        <f>VLOOKUP($AC4,'oddspedia-matches'!$A:$AD,AF$2,0)</f>
        <v>Red</v>
      </c>
      <c r="AG4" t="str">
        <f>VLOOKUP($AC4,'oddspedia-matches'!$A:$AD,AG$2,0)</f>
        <v>Green</v>
      </c>
      <c r="AH4" t="str">
        <f>VLOOKUP($AC4,'oddspedia-matches'!$A:$AD,AH$2,0)</f>
        <v>Red</v>
      </c>
      <c r="AI4" t="str">
        <f>VLOOKUP($AC4,'oddspedia-matches'!$A:$AD,AI$2,0)</f>
        <v>Green</v>
      </c>
      <c r="AJ4" t="str">
        <f>VLOOKUP($AC4,'oddspedia-matches'!$A:$AD,AJ$2,0)</f>
        <v>Green</v>
      </c>
      <c r="AK4" t="str">
        <f>VLOOKUP($AC4,'oddspedia-matches'!$A:$AD,AK$2,0)</f>
        <v>Red</v>
      </c>
      <c r="AL4" t="str">
        <f>VLOOKUP($AC4,'oddspedia-matches'!$A:$AD,AL$2,0)</f>
        <v>Red</v>
      </c>
      <c r="AM4" t="str">
        <f>VLOOKUP($AC4,'oddspedia-matches'!$A:$AD,AM$2,0)</f>
        <v>Green</v>
      </c>
      <c r="AN4" t="str">
        <f>VLOOKUP($AC4,'oddspedia-matches'!$A:$AD,AN$2,0)</f>
        <v>Green</v>
      </c>
      <c r="AO4" t="str">
        <f>VLOOKUP($AC4,'oddspedia-matches'!$A:$AD,AO$2,0)</f>
        <v>Green</v>
      </c>
      <c r="AP4" t="str">
        <f>VLOOKUP($AC4,'oddspedia-matches'!$A:$AD,AP$2,0)</f>
        <v>Green</v>
      </c>
      <c r="AQ4" t="str">
        <f>VLOOKUP($AC4,'oddspedia-matches'!$A:$AD,AQ$2,0)</f>
        <v>Red</v>
      </c>
      <c r="AR4" t="str">
        <f>VLOOKUP($AC4,'oddspedia-matches'!$A:$AD,AR$2,0)</f>
        <v>Red</v>
      </c>
      <c r="AS4" t="str">
        <f>VLOOKUP($AC4,'oddspedia-matches'!$A:$AD,AS$2,0)</f>
        <v>Green</v>
      </c>
      <c r="AT4" t="str">
        <f>VLOOKUP($AC4,'oddspedia-matches'!$A:$AD,AT$2,0)</f>
        <v>Red</v>
      </c>
    </row>
    <row r="5" spans="1:46" x14ac:dyDescent="0.25">
      <c r="B5" s="17"/>
      <c r="C5" s="8" t="s">
        <v>244</v>
      </c>
      <c r="D5" s="18">
        <v>0.5</v>
      </c>
      <c r="E5" s="8" t="s">
        <v>247</v>
      </c>
      <c r="F5" s="8" t="s">
        <v>248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s="8">
        <v>0</v>
      </c>
      <c r="Y5" s="8">
        <v>9.1</v>
      </c>
      <c r="Z5" s="19" t="s">
        <v>450</v>
      </c>
      <c r="AA5" t="str">
        <f>VLOOKUP(E5,'Transform table'!A:B,2,0)</f>
        <v>Jelgava</v>
      </c>
      <c r="AB5" t="str">
        <f>VLOOKUP(F5,'Transform table'!A:B,2,0)</f>
        <v>Rigas Futbola Skola</v>
      </c>
      <c r="AC5" t="str">
        <f t="shared" ref="AC5:AC68" si="0">C5&amp;AA5&amp;AB5</f>
        <v>20/07/2026JelgavaRigas Futbola Skola</v>
      </c>
      <c r="AD5" t="str">
        <f>VLOOKUP($AC5,'oddspedia-matches'!$A:$AD,AD$2,0)</f>
        <v>0 - 1</v>
      </c>
      <c r="AE5" t="str">
        <f>VLOOKUP($AC5,'oddspedia-matches'!$A:$AD,AE$2,0)</f>
        <v>Red</v>
      </c>
      <c r="AF5" t="str">
        <f>VLOOKUP($AC5,'oddspedia-matches'!$A:$AD,AF$2,0)</f>
        <v>Red</v>
      </c>
      <c r="AG5" t="str">
        <f>VLOOKUP($AC5,'oddspedia-matches'!$A:$AD,AG$2,0)</f>
        <v>Green</v>
      </c>
      <c r="AH5" t="str">
        <f>VLOOKUP($AC5,'oddspedia-matches'!$A:$AD,AH$2,0)</f>
        <v>Red</v>
      </c>
      <c r="AI5" t="str">
        <f>VLOOKUP($AC5,'oddspedia-matches'!$A:$AD,AI$2,0)</f>
        <v>Green</v>
      </c>
      <c r="AJ5" t="str">
        <f>VLOOKUP($AC5,'oddspedia-matches'!$A:$AD,AJ$2,0)</f>
        <v>Green</v>
      </c>
      <c r="AK5" t="str">
        <f>VLOOKUP($AC5,'oddspedia-matches'!$A:$AD,AK$2,0)</f>
        <v>Red</v>
      </c>
      <c r="AL5" t="str">
        <f>VLOOKUP($AC5,'oddspedia-matches'!$A:$AD,AL$2,0)</f>
        <v>Red</v>
      </c>
      <c r="AM5" t="str">
        <f>VLOOKUP($AC5,'oddspedia-matches'!$A:$AD,AM$2,0)</f>
        <v>Green</v>
      </c>
      <c r="AN5" t="str">
        <f>VLOOKUP($AC5,'oddspedia-matches'!$A:$AD,AN$2,0)</f>
        <v>Green</v>
      </c>
      <c r="AO5" t="str">
        <f>VLOOKUP($AC5,'oddspedia-matches'!$A:$AD,AO$2,0)</f>
        <v>Red</v>
      </c>
      <c r="AP5" t="str">
        <f>VLOOKUP($AC5,'oddspedia-matches'!$A:$AD,AP$2,0)</f>
        <v>Red</v>
      </c>
      <c r="AQ5" t="str">
        <f>VLOOKUP($AC5,'oddspedia-matches'!$A:$AD,AQ$2,0)</f>
        <v>Green</v>
      </c>
      <c r="AR5" t="str">
        <f>VLOOKUP($AC5,'oddspedia-matches'!$A:$AD,AR$2,0)</f>
        <v>Green</v>
      </c>
      <c r="AS5" t="str">
        <f>VLOOKUP($AC5,'oddspedia-matches'!$A:$AD,AS$2,0)</f>
        <v>Red</v>
      </c>
      <c r="AT5" t="str">
        <f>VLOOKUP($AC5,'oddspedia-matches'!$A:$AD,AT$2,0)</f>
        <v>Green</v>
      </c>
    </row>
    <row r="6" spans="1:46" x14ac:dyDescent="0.25">
      <c r="B6" s="9"/>
      <c r="C6" s="7" t="s">
        <v>244</v>
      </c>
      <c r="D6" s="20">
        <v>0.5</v>
      </c>
      <c r="E6" s="7" t="s">
        <v>249</v>
      </c>
      <c r="F6" s="7" t="s">
        <v>250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s="7">
        <v>0</v>
      </c>
      <c r="Y6" s="7">
        <v>14.3</v>
      </c>
      <c r="Z6" s="21" t="s">
        <v>451</v>
      </c>
      <c r="AA6" t="str">
        <f>VLOOKUP(E6,'Transform table'!A:B,2,0)</f>
        <v>FK Transinvest II</v>
      </c>
      <c r="AB6" t="str">
        <f>VLOOKUP(F6,'Transform table'!A:B,2,0)</f>
        <v>Neptunas Klaipeda</v>
      </c>
      <c r="AC6" t="str">
        <f t="shared" si="0"/>
        <v>20/07/2026FK Transinvest IINeptunas Klaipeda</v>
      </c>
      <c r="AD6" t="str">
        <f>VLOOKUP($AC6,'oddspedia-matches'!$A:$AD,AD$2,0)</f>
        <v>2 - 2</v>
      </c>
      <c r="AE6" t="str">
        <f>VLOOKUP($AC6,'oddspedia-matches'!$A:$AD,AE$2,0)</f>
        <v>Red</v>
      </c>
      <c r="AF6" t="str">
        <f>VLOOKUP($AC6,'oddspedia-matches'!$A:$AD,AF$2,0)</f>
        <v>Green</v>
      </c>
      <c r="AG6" t="str">
        <f>VLOOKUP($AC6,'oddspedia-matches'!$A:$AD,AG$2,0)</f>
        <v>Red</v>
      </c>
      <c r="AH6" t="str">
        <f>VLOOKUP($AC6,'oddspedia-matches'!$A:$AD,AH$2,0)</f>
        <v>Green</v>
      </c>
      <c r="AI6" t="str">
        <f>VLOOKUP($AC6,'oddspedia-matches'!$A:$AD,AI$2,0)</f>
        <v>Green</v>
      </c>
      <c r="AJ6" t="str">
        <f>VLOOKUP($AC6,'oddspedia-matches'!$A:$AD,AJ$2,0)</f>
        <v>Red</v>
      </c>
      <c r="AK6" t="str">
        <f>VLOOKUP($AC6,'oddspedia-matches'!$A:$AD,AK$2,0)</f>
        <v>Red</v>
      </c>
      <c r="AL6" t="str">
        <f>VLOOKUP($AC6,'oddspedia-matches'!$A:$AD,AL$2,0)</f>
        <v>Green</v>
      </c>
      <c r="AM6" t="str">
        <f>VLOOKUP($AC6,'oddspedia-matches'!$A:$AD,AM$2,0)</f>
        <v>Red</v>
      </c>
      <c r="AN6" t="str">
        <f>VLOOKUP($AC6,'oddspedia-matches'!$A:$AD,AN$2,0)</f>
        <v>Green</v>
      </c>
      <c r="AO6" t="str">
        <f>VLOOKUP($AC6,'oddspedia-matches'!$A:$AD,AO$2,0)</f>
        <v>Green</v>
      </c>
      <c r="AP6" t="str">
        <f>VLOOKUP($AC6,'oddspedia-matches'!$A:$AD,AP$2,0)</f>
        <v>Green</v>
      </c>
      <c r="AQ6" t="str">
        <f>VLOOKUP($AC6,'oddspedia-matches'!$A:$AD,AQ$2,0)</f>
        <v>Red</v>
      </c>
      <c r="AR6" t="str">
        <f>VLOOKUP($AC6,'oddspedia-matches'!$A:$AD,AR$2,0)</f>
        <v>Red</v>
      </c>
      <c r="AS6" t="str">
        <f>VLOOKUP($AC6,'oddspedia-matches'!$A:$AD,AS$2,0)</f>
        <v>Green</v>
      </c>
      <c r="AT6" t="str">
        <f>VLOOKUP($AC6,'oddspedia-matches'!$A:$AD,AT$2,0)</f>
        <v>Red</v>
      </c>
    </row>
    <row r="7" spans="1:46" x14ac:dyDescent="0.25">
      <c r="B7" s="17"/>
      <c r="C7" s="8" t="s">
        <v>244</v>
      </c>
      <c r="D7" s="18">
        <v>0.53125</v>
      </c>
      <c r="E7" s="8" t="s">
        <v>251</v>
      </c>
      <c r="F7" s="8" t="s">
        <v>146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s="8">
        <v>9.1</v>
      </c>
      <c r="Y7" s="8">
        <v>33.299999999999997</v>
      </c>
      <c r="Z7" s="19" t="s">
        <v>452</v>
      </c>
      <c r="AA7" t="str">
        <f>VLOOKUP(E7,'Transform table'!A:B,2,0)</f>
        <v>FK Suduva Marijampole</v>
      </c>
      <c r="AB7" t="str">
        <f>VLOOKUP(F7,'Transform table'!A:B,2,0)</f>
        <v>Hegelmann Litauen</v>
      </c>
      <c r="AC7" t="str">
        <f t="shared" si="0"/>
        <v>20/07/2026FK Suduva MarijampoleHegelmann Litauen</v>
      </c>
      <c r="AD7" t="str">
        <f>VLOOKUP($AC7,'oddspedia-matches'!$A:$AD,AD$2,0)</f>
        <v>5 - 1</v>
      </c>
      <c r="AE7" t="str">
        <f>VLOOKUP($AC7,'oddspedia-matches'!$A:$AD,AE$2,0)</f>
        <v>Green</v>
      </c>
      <c r="AF7" t="str">
        <f>VLOOKUP($AC7,'oddspedia-matches'!$A:$AD,AF$2,0)</f>
        <v>Red</v>
      </c>
      <c r="AG7" t="str">
        <f>VLOOKUP($AC7,'oddspedia-matches'!$A:$AD,AG$2,0)</f>
        <v>Red</v>
      </c>
      <c r="AH7" t="str">
        <f>VLOOKUP($AC7,'oddspedia-matches'!$A:$AD,AH$2,0)</f>
        <v>Green</v>
      </c>
      <c r="AI7" t="str">
        <f>VLOOKUP($AC7,'oddspedia-matches'!$A:$AD,AI$2,0)</f>
        <v>Red</v>
      </c>
      <c r="AJ7" t="str">
        <f>VLOOKUP($AC7,'oddspedia-matches'!$A:$AD,AJ$2,0)</f>
        <v>Green</v>
      </c>
      <c r="AK7" t="str">
        <f>VLOOKUP($AC7,'oddspedia-matches'!$A:$AD,AK$2,0)</f>
        <v>Green</v>
      </c>
      <c r="AL7" t="str">
        <f>VLOOKUP($AC7,'oddspedia-matches'!$A:$AD,AL$2,0)</f>
        <v>Red</v>
      </c>
      <c r="AM7" t="str">
        <f>VLOOKUP($AC7,'oddspedia-matches'!$A:$AD,AM$2,0)</f>
        <v>Red</v>
      </c>
      <c r="AN7" t="str">
        <f>VLOOKUP($AC7,'oddspedia-matches'!$A:$AD,AN$2,0)</f>
        <v>Green</v>
      </c>
      <c r="AO7" t="str">
        <f>VLOOKUP($AC7,'oddspedia-matches'!$A:$AD,AO$2,0)</f>
        <v>Green</v>
      </c>
      <c r="AP7" t="str">
        <f>VLOOKUP($AC7,'oddspedia-matches'!$A:$AD,AP$2,0)</f>
        <v>Green</v>
      </c>
      <c r="AQ7" t="str">
        <f>VLOOKUP($AC7,'oddspedia-matches'!$A:$AD,AQ$2,0)</f>
        <v>Red</v>
      </c>
      <c r="AR7" t="str">
        <f>VLOOKUP($AC7,'oddspedia-matches'!$A:$AD,AR$2,0)</f>
        <v>Red</v>
      </c>
      <c r="AS7" t="str">
        <f>VLOOKUP($AC7,'oddspedia-matches'!$A:$AD,AS$2,0)</f>
        <v>Green</v>
      </c>
      <c r="AT7" t="str">
        <f>VLOOKUP($AC7,'oddspedia-matches'!$A:$AD,AT$2,0)</f>
        <v>Red</v>
      </c>
    </row>
    <row r="8" spans="1:46" x14ac:dyDescent="0.25">
      <c r="B8" s="9"/>
      <c r="C8" s="7" t="s">
        <v>244</v>
      </c>
      <c r="D8" s="20">
        <v>0.54166666666666663</v>
      </c>
      <c r="E8" s="7" t="s">
        <v>252</v>
      </c>
      <c r="F8" s="7" t="s">
        <v>253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s="7">
        <v>0</v>
      </c>
      <c r="Y8" s="7">
        <v>16.7</v>
      </c>
      <c r="Z8" s="21" t="s">
        <v>445</v>
      </c>
      <c r="AA8" t="str">
        <f>VLOOKUP(E8,'Transform table'!A:B,2,0)</f>
        <v>IFK Mariehamn</v>
      </c>
      <c r="AB8" t="str">
        <f>VLOOKUP(F8,'Transform table'!A:B,2,0)</f>
        <v>FC Lahti</v>
      </c>
      <c r="AC8" t="str">
        <f t="shared" si="0"/>
        <v>20/07/2026IFK MariehamnFC Lahti</v>
      </c>
      <c r="AD8" t="str">
        <f>VLOOKUP($AC8,'oddspedia-matches'!$A:$AD,AD$2,0)</f>
        <v>0 - 2</v>
      </c>
      <c r="AE8" t="str">
        <f>VLOOKUP($AC8,'oddspedia-matches'!$A:$AD,AE$2,0)</f>
        <v>Red</v>
      </c>
      <c r="AF8" t="str">
        <f>VLOOKUP($AC8,'oddspedia-matches'!$A:$AD,AF$2,0)</f>
        <v>Red</v>
      </c>
      <c r="AG8" t="str">
        <f>VLOOKUP($AC8,'oddspedia-matches'!$A:$AD,AG$2,0)</f>
        <v>Green</v>
      </c>
      <c r="AH8" t="str">
        <f>VLOOKUP($AC8,'oddspedia-matches'!$A:$AD,AH$2,0)</f>
        <v>Red</v>
      </c>
      <c r="AI8" t="str">
        <f>VLOOKUP($AC8,'oddspedia-matches'!$A:$AD,AI$2,0)</f>
        <v>Green</v>
      </c>
      <c r="AJ8" t="str">
        <f>VLOOKUP($AC8,'oddspedia-matches'!$A:$AD,AJ$2,0)</f>
        <v>Green</v>
      </c>
      <c r="AK8" t="str">
        <f>VLOOKUP($AC8,'oddspedia-matches'!$A:$AD,AK$2,0)</f>
        <v>Red</v>
      </c>
      <c r="AL8" t="str">
        <f>VLOOKUP($AC8,'oddspedia-matches'!$A:$AD,AL$2,0)</f>
        <v>Red</v>
      </c>
      <c r="AM8" t="str">
        <f>VLOOKUP($AC8,'oddspedia-matches'!$A:$AD,AM$2,0)</f>
        <v>Green</v>
      </c>
      <c r="AN8" t="str">
        <f>VLOOKUP($AC8,'oddspedia-matches'!$A:$AD,AN$2,0)</f>
        <v>Green</v>
      </c>
      <c r="AO8" t="str">
        <f>VLOOKUP($AC8,'oddspedia-matches'!$A:$AD,AO$2,0)</f>
        <v>Green</v>
      </c>
      <c r="AP8" t="str">
        <f>VLOOKUP($AC8,'oddspedia-matches'!$A:$AD,AP$2,0)</f>
        <v>Red</v>
      </c>
      <c r="AQ8" t="str">
        <f>VLOOKUP($AC8,'oddspedia-matches'!$A:$AD,AQ$2,0)</f>
        <v>Green</v>
      </c>
      <c r="AR8" t="str">
        <f>VLOOKUP($AC8,'oddspedia-matches'!$A:$AD,AR$2,0)</f>
        <v>Green</v>
      </c>
      <c r="AS8" t="str">
        <f>VLOOKUP($AC8,'oddspedia-matches'!$A:$AD,AS$2,0)</f>
        <v>Red</v>
      </c>
      <c r="AT8" t="str">
        <f>VLOOKUP($AC8,'oddspedia-matches'!$A:$AD,AT$2,0)</f>
        <v>Green</v>
      </c>
    </row>
    <row r="9" spans="1:46" x14ac:dyDescent="0.25">
      <c r="B9" s="17"/>
      <c r="C9" s="8" t="s">
        <v>244</v>
      </c>
      <c r="D9" s="18">
        <v>0.54166666666666663</v>
      </c>
      <c r="E9" s="8" t="s">
        <v>254</v>
      </c>
      <c r="F9" s="8" t="s">
        <v>255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s="8">
        <v>10</v>
      </c>
      <c r="Y9" s="8">
        <v>10</v>
      </c>
      <c r="Z9" s="19" t="s">
        <v>446</v>
      </c>
      <c r="AA9" t="str">
        <f>VLOOKUP(E9,'Transform table'!A:B,2,0)</f>
        <v>SK Super Nova</v>
      </c>
      <c r="AB9" t="str">
        <f>VLOOKUP(F9,'Transform table'!A:B,2,0)</f>
        <v>SC Grobinas</v>
      </c>
      <c r="AC9" t="str">
        <f t="shared" si="0"/>
        <v>20/07/2026SK Super NovaSC Grobinas</v>
      </c>
      <c r="AD9" t="str">
        <f>VLOOKUP($AC9,'oddspedia-matches'!$A:$AD,AD$2,0)</f>
        <v>2 - 0</v>
      </c>
      <c r="AE9" t="str">
        <f>VLOOKUP($AC9,'oddspedia-matches'!$A:$AD,AE$2,0)</f>
        <v>Green</v>
      </c>
      <c r="AF9" t="str">
        <f>VLOOKUP($AC9,'oddspedia-matches'!$A:$AD,AF$2,0)</f>
        <v>Red</v>
      </c>
      <c r="AG9" t="str">
        <f>VLOOKUP($AC9,'oddspedia-matches'!$A:$AD,AG$2,0)</f>
        <v>Red</v>
      </c>
      <c r="AH9" t="str">
        <f>VLOOKUP($AC9,'oddspedia-matches'!$A:$AD,AH$2,0)</f>
        <v>Green</v>
      </c>
      <c r="AI9" t="str">
        <f>VLOOKUP($AC9,'oddspedia-matches'!$A:$AD,AI$2,0)</f>
        <v>Red</v>
      </c>
      <c r="AJ9" t="str">
        <f>VLOOKUP($AC9,'oddspedia-matches'!$A:$AD,AJ$2,0)</f>
        <v>Green</v>
      </c>
      <c r="AK9" t="str">
        <f>VLOOKUP($AC9,'oddspedia-matches'!$A:$AD,AK$2,0)</f>
        <v>Red</v>
      </c>
      <c r="AL9" t="str">
        <f>VLOOKUP($AC9,'oddspedia-matches'!$A:$AD,AL$2,0)</f>
        <v>Green</v>
      </c>
      <c r="AM9" t="str">
        <f>VLOOKUP($AC9,'oddspedia-matches'!$A:$AD,AM$2,0)</f>
        <v>Red</v>
      </c>
      <c r="AN9" t="str">
        <f>VLOOKUP($AC9,'oddspedia-matches'!$A:$AD,AN$2,0)</f>
        <v>Red</v>
      </c>
      <c r="AO9" t="str">
        <f>VLOOKUP($AC9,'oddspedia-matches'!$A:$AD,AO$2,0)</f>
        <v>Green</v>
      </c>
      <c r="AP9" t="str">
        <f>VLOOKUP($AC9,'oddspedia-matches'!$A:$AD,AP$2,0)</f>
        <v>Red</v>
      </c>
      <c r="AQ9" t="str">
        <f>VLOOKUP($AC9,'oddspedia-matches'!$A:$AD,AQ$2,0)</f>
        <v>Green</v>
      </c>
      <c r="AR9" t="str">
        <f>VLOOKUP($AC9,'oddspedia-matches'!$A:$AD,AR$2,0)</f>
        <v>Green</v>
      </c>
      <c r="AS9" t="str">
        <f>VLOOKUP($AC9,'oddspedia-matches'!$A:$AD,AS$2,0)</f>
        <v>Red</v>
      </c>
      <c r="AT9" t="str">
        <f>VLOOKUP($AC9,'oddspedia-matches'!$A:$AD,AT$2,0)</f>
        <v>Green</v>
      </c>
    </row>
    <row r="10" spans="1:46" x14ac:dyDescent="0.25">
      <c r="B10" s="9"/>
      <c r="C10" s="7" t="s">
        <v>244</v>
      </c>
      <c r="D10" s="20">
        <v>0.54166666666666663</v>
      </c>
      <c r="E10" s="7" t="s">
        <v>256</v>
      </c>
      <c r="F10" s="7" t="s">
        <v>257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s="7" t="s">
        <v>22</v>
      </c>
      <c r="Y10" s="7" t="s">
        <v>22</v>
      </c>
      <c r="Z10" s="21" t="s">
        <v>453</v>
      </c>
      <c r="AA10" t="str">
        <f>VLOOKUP(E10,'Transform table'!A:B,2,0)</f>
        <v>FK Tukums 2000 II</v>
      </c>
      <c r="AB10" t="str">
        <f>VLOOKUP(F10,'Transform table'!A:B,2,0)</f>
        <v>Rigas Futbola Skola II</v>
      </c>
      <c r="AC10" t="str">
        <f t="shared" si="0"/>
        <v>20/07/2026FK Tukums 2000 IIRigas Futbola Skola II</v>
      </c>
      <c r="AD10" t="str">
        <f>VLOOKUP($AC10,'oddspedia-matches'!$A:$AD,AD$2,0)</f>
        <v>2 - 0</v>
      </c>
      <c r="AE10" t="str">
        <f>VLOOKUP($AC10,'oddspedia-matches'!$A:$AD,AE$2,0)</f>
        <v>Green</v>
      </c>
      <c r="AF10" t="str">
        <f>VLOOKUP($AC10,'oddspedia-matches'!$A:$AD,AF$2,0)</f>
        <v>Red</v>
      </c>
      <c r="AG10" t="str">
        <f>VLOOKUP($AC10,'oddspedia-matches'!$A:$AD,AG$2,0)</f>
        <v>Red</v>
      </c>
      <c r="AH10" t="str">
        <f>VLOOKUP($AC10,'oddspedia-matches'!$A:$AD,AH$2,0)</f>
        <v>Green</v>
      </c>
      <c r="AI10" t="str">
        <f>VLOOKUP($AC10,'oddspedia-matches'!$A:$AD,AI$2,0)</f>
        <v>Red</v>
      </c>
      <c r="AJ10" t="str">
        <f>VLOOKUP($AC10,'oddspedia-matches'!$A:$AD,AJ$2,0)</f>
        <v>Green</v>
      </c>
      <c r="AK10" t="str">
        <f>VLOOKUP($AC10,'oddspedia-matches'!$A:$AD,AK$2,0)</f>
        <v>Red</v>
      </c>
      <c r="AL10" t="str">
        <f>VLOOKUP($AC10,'oddspedia-matches'!$A:$AD,AL$2,0)</f>
        <v>Green</v>
      </c>
      <c r="AM10" t="str">
        <f>VLOOKUP($AC10,'oddspedia-matches'!$A:$AD,AM$2,0)</f>
        <v>Red</v>
      </c>
      <c r="AN10" t="str">
        <f>VLOOKUP($AC10,'oddspedia-matches'!$A:$AD,AN$2,0)</f>
        <v>Red</v>
      </c>
      <c r="AO10" t="str">
        <f>VLOOKUP($AC10,'oddspedia-matches'!$A:$AD,AO$2,0)</f>
        <v>Green</v>
      </c>
      <c r="AP10" t="str">
        <f>VLOOKUP($AC10,'oddspedia-matches'!$A:$AD,AP$2,0)</f>
        <v>Red</v>
      </c>
      <c r="AQ10" t="str">
        <f>VLOOKUP($AC10,'oddspedia-matches'!$A:$AD,AQ$2,0)</f>
        <v>Green</v>
      </c>
      <c r="AR10" t="str">
        <f>VLOOKUP($AC10,'oddspedia-matches'!$A:$AD,AR$2,0)</f>
        <v>Green</v>
      </c>
      <c r="AS10" t="str">
        <f>VLOOKUP($AC10,'oddspedia-matches'!$A:$AD,AS$2,0)</f>
        <v>Red</v>
      </c>
      <c r="AT10" t="str">
        <f>VLOOKUP($AC10,'oddspedia-matches'!$A:$AD,AT$2,0)</f>
        <v>Green</v>
      </c>
    </row>
    <row r="11" spans="1:46" x14ac:dyDescent="0.25">
      <c r="B11" s="17"/>
      <c r="C11" s="8" t="s">
        <v>244</v>
      </c>
      <c r="D11" s="18">
        <v>0.58333333333333337</v>
      </c>
      <c r="E11" s="8" t="s">
        <v>258</v>
      </c>
      <c r="F11" s="8" t="s">
        <v>259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s="8">
        <v>33.299999999999997</v>
      </c>
      <c r="Y11" s="8">
        <v>20</v>
      </c>
      <c r="Z11" s="19" t="s">
        <v>454</v>
      </c>
      <c r="AA11" t="str">
        <f>VLOOKUP(E11,'Transform table'!A:B,2,0)</f>
        <v>Kalmar</v>
      </c>
      <c r="AB11" t="str">
        <f>VLOOKUP(F11,'Transform table'!A:B,2,0)</f>
        <v>Malmo</v>
      </c>
      <c r="AC11" t="str">
        <f t="shared" si="0"/>
        <v>20/07/2026KalmarMalmo</v>
      </c>
      <c r="AD11" t="str">
        <f>VLOOKUP($AC11,'oddspedia-matches'!$A:$AD,AD$2,0)</f>
        <v>2 - 2</v>
      </c>
      <c r="AE11" t="str">
        <f>VLOOKUP($AC11,'oddspedia-matches'!$A:$AD,AE$2,0)</f>
        <v>Red</v>
      </c>
      <c r="AF11" t="str">
        <f>VLOOKUP($AC11,'oddspedia-matches'!$A:$AD,AF$2,0)</f>
        <v>Green</v>
      </c>
      <c r="AG11" t="str">
        <f>VLOOKUP($AC11,'oddspedia-matches'!$A:$AD,AG$2,0)</f>
        <v>Red</v>
      </c>
      <c r="AH11" t="str">
        <f>VLOOKUP($AC11,'oddspedia-matches'!$A:$AD,AH$2,0)</f>
        <v>Green</v>
      </c>
      <c r="AI11" t="str">
        <f>VLOOKUP($AC11,'oddspedia-matches'!$A:$AD,AI$2,0)</f>
        <v>Green</v>
      </c>
      <c r="AJ11" t="str">
        <f>VLOOKUP($AC11,'oddspedia-matches'!$A:$AD,AJ$2,0)</f>
        <v>Red</v>
      </c>
      <c r="AK11" t="str">
        <f>VLOOKUP($AC11,'oddspedia-matches'!$A:$AD,AK$2,0)</f>
        <v>Green</v>
      </c>
      <c r="AL11" t="str">
        <f>VLOOKUP($AC11,'oddspedia-matches'!$A:$AD,AL$2,0)</f>
        <v>Red</v>
      </c>
      <c r="AM11" t="str">
        <f>VLOOKUP($AC11,'oddspedia-matches'!$A:$AD,AM$2,0)</f>
        <v>Red</v>
      </c>
      <c r="AN11" t="str">
        <f>VLOOKUP($AC11,'oddspedia-matches'!$A:$AD,AN$2,0)</f>
        <v>Green</v>
      </c>
      <c r="AO11" t="str">
        <f>VLOOKUP($AC11,'oddspedia-matches'!$A:$AD,AO$2,0)</f>
        <v>Green</v>
      </c>
      <c r="AP11" t="str">
        <f>VLOOKUP($AC11,'oddspedia-matches'!$A:$AD,AP$2,0)</f>
        <v>Green</v>
      </c>
      <c r="AQ11" t="str">
        <f>VLOOKUP($AC11,'oddspedia-matches'!$A:$AD,AQ$2,0)</f>
        <v>Red</v>
      </c>
      <c r="AR11" t="str">
        <f>VLOOKUP($AC11,'oddspedia-matches'!$A:$AD,AR$2,0)</f>
        <v>Red</v>
      </c>
      <c r="AS11" t="str">
        <f>VLOOKUP($AC11,'oddspedia-matches'!$A:$AD,AS$2,0)</f>
        <v>Green</v>
      </c>
      <c r="AT11" t="str">
        <f>VLOOKUP($AC11,'oddspedia-matches'!$A:$AD,AT$2,0)</f>
        <v>Red</v>
      </c>
    </row>
    <row r="12" spans="1:46" x14ac:dyDescent="0.25">
      <c r="B12" s="9"/>
      <c r="C12" s="7" t="s">
        <v>244</v>
      </c>
      <c r="D12" s="20">
        <v>0.58333333333333337</v>
      </c>
      <c r="E12" s="7" t="s">
        <v>148</v>
      </c>
      <c r="F12" s="7" t="s">
        <v>260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s="7">
        <v>16.7</v>
      </c>
      <c r="Y12" s="7">
        <v>50</v>
      </c>
      <c r="Z12" s="21" t="s">
        <v>447</v>
      </c>
      <c r="AA12" t="str">
        <f>VLOOKUP(E12,'Transform table'!A:B,2,0)</f>
        <v>Orgryte IS</v>
      </c>
      <c r="AB12" t="str">
        <f>VLOOKUP(F12,'Transform table'!A:B,2,0)</f>
        <v>Djurgardens IF</v>
      </c>
      <c r="AC12" t="str">
        <f t="shared" si="0"/>
        <v>20/07/2026Orgryte ISDjurgardens IF</v>
      </c>
      <c r="AD12" t="str">
        <f>VLOOKUP($AC12,'oddspedia-matches'!$A:$AD,AD$2,0)</f>
        <v>0 - 0</v>
      </c>
      <c r="AE12" t="str">
        <f>VLOOKUP($AC12,'oddspedia-matches'!$A:$AD,AE$2,0)</f>
        <v>Red</v>
      </c>
      <c r="AF12" t="str">
        <f>VLOOKUP($AC12,'oddspedia-matches'!$A:$AD,AF$2,0)</f>
        <v>Green</v>
      </c>
      <c r="AG12" t="str">
        <f>VLOOKUP($AC12,'oddspedia-matches'!$A:$AD,AG$2,0)</f>
        <v>Red</v>
      </c>
      <c r="AH12" t="str">
        <f>VLOOKUP($AC12,'oddspedia-matches'!$A:$AD,AH$2,0)</f>
        <v>Green</v>
      </c>
      <c r="AI12" t="str">
        <f>VLOOKUP($AC12,'oddspedia-matches'!$A:$AD,AI$2,0)</f>
        <v>Green</v>
      </c>
      <c r="AJ12" t="str">
        <f>VLOOKUP($AC12,'oddspedia-matches'!$A:$AD,AJ$2,0)</f>
        <v>Red</v>
      </c>
      <c r="AK12" t="str">
        <f>VLOOKUP($AC12,'oddspedia-matches'!$A:$AD,AK$2,0)</f>
        <v>Red</v>
      </c>
      <c r="AL12" t="str">
        <f>VLOOKUP($AC12,'oddspedia-matches'!$A:$AD,AL$2,0)</f>
        <v>Green</v>
      </c>
      <c r="AM12" t="str">
        <f>VLOOKUP($AC12,'oddspedia-matches'!$A:$AD,AM$2,0)</f>
        <v>Red</v>
      </c>
      <c r="AN12" t="str">
        <f>VLOOKUP($AC12,'oddspedia-matches'!$A:$AD,AN$2,0)</f>
        <v>Red</v>
      </c>
      <c r="AO12" t="str">
        <f>VLOOKUP($AC12,'oddspedia-matches'!$A:$AD,AO$2,0)</f>
        <v>Red</v>
      </c>
      <c r="AP12" t="str">
        <f>VLOOKUP($AC12,'oddspedia-matches'!$A:$AD,AP$2,0)</f>
        <v>Red</v>
      </c>
      <c r="AQ12" t="str">
        <f>VLOOKUP($AC12,'oddspedia-matches'!$A:$AD,AQ$2,0)</f>
        <v>Green</v>
      </c>
      <c r="AR12" t="str">
        <f>VLOOKUP($AC12,'oddspedia-matches'!$A:$AD,AR$2,0)</f>
        <v>Green</v>
      </c>
      <c r="AS12" t="str">
        <f>VLOOKUP($AC12,'oddspedia-matches'!$A:$AD,AS$2,0)</f>
        <v>Red</v>
      </c>
      <c r="AT12" t="str">
        <f>VLOOKUP($AC12,'oddspedia-matches'!$A:$AD,AT$2,0)</f>
        <v>Green</v>
      </c>
    </row>
    <row r="13" spans="1:46" x14ac:dyDescent="0.25">
      <c r="B13" s="17"/>
      <c r="C13" s="8" t="s">
        <v>244</v>
      </c>
      <c r="D13" s="18">
        <v>0.58333333333333337</v>
      </c>
      <c r="E13" s="8" t="s">
        <v>261</v>
      </c>
      <c r="F13" s="8" t="s">
        <v>262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s="8" t="s">
        <v>22</v>
      </c>
      <c r="Y13" s="8" t="s">
        <v>22</v>
      </c>
      <c r="Z13" s="19" t="s">
        <v>455</v>
      </c>
      <c r="AA13" t="str">
        <f>VLOOKUP(E13,'Transform table'!A:B,2,0)</f>
        <v>Norrby</v>
      </c>
      <c r="AB13" t="str">
        <f>VLOOKUP(F13,'Transform table'!A:B,2,0)</f>
        <v>Sundsvall</v>
      </c>
      <c r="AC13" t="str">
        <f t="shared" si="0"/>
        <v>20/07/2026NorrbySundsvall</v>
      </c>
      <c r="AD13" t="str">
        <f>VLOOKUP($AC13,'oddspedia-matches'!$A:$AD,AD$2,0)</f>
        <v>3 - 1</v>
      </c>
      <c r="AE13" t="str">
        <f>VLOOKUP($AC13,'oddspedia-matches'!$A:$AD,AE$2,0)</f>
        <v>Green</v>
      </c>
      <c r="AF13" t="str">
        <f>VLOOKUP($AC13,'oddspedia-matches'!$A:$AD,AF$2,0)</f>
        <v>Red</v>
      </c>
      <c r="AG13" t="str">
        <f>VLOOKUP($AC13,'oddspedia-matches'!$A:$AD,AG$2,0)</f>
        <v>Red</v>
      </c>
      <c r="AH13" t="str">
        <f>VLOOKUP($AC13,'oddspedia-matches'!$A:$AD,AH$2,0)</f>
        <v>Green</v>
      </c>
      <c r="AI13" t="str">
        <f>VLOOKUP($AC13,'oddspedia-matches'!$A:$AD,AI$2,0)</f>
        <v>Red</v>
      </c>
      <c r="AJ13" t="str">
        <f>VLOOKUP($AC13,'oddspedia-matches'!$A:$AD,AJ$2,0)</f>
        <v>Green</v>
      </c>
      <c r="AK13" t="str">
        <f>VLOOKUP($AC13,'oddspedia-matches'!$A:$AD,AK$2,0)</f>
        <v>Red</v>
      </c>
      <c r="AL13" t="str">
        <f>VLOOKUP($AC13,'oddspedia-matches'!$A:$AD,AL$2,0)</f>
        <v>Green</v>
      </c>
      <c r="AM13" t="str">
        <f>VLOOKUP($AC13,'oddspedia-matches'!$A:$AD,AM$2,0)</f>
        <v>Red</v>
      </c>
      <c r="AN13" t="str">
        <f>VLOOKUP($AC13,'oddspedia-matches'!$A:$AD,AN$2,0)</f>
        <v>Red</v>
      </c>
      <c r="AO13" t="str">
        <f>VLOOKUP($AC13,'oddspedia-matches'!$A:$AD,AO$2,0)</f>
        <v>Green</v>
      </c>
      <c r="AP13" t="str">
        <f>VLOOKUP($AC13,'oddspedia-matches'!$A:$AD,AP$2,0)</f>
        <v>Green</v>
      </c>
      <c r="AQ13" t="str">
        <f>VLOOKUP($AC13,'oddspedia-matches'!$A:$AD,AQ$2,0)</f>
        <v>Red</v>
      </c>
      <c r="AR13" t="str">
        <f>VLOOKUP($AC13,'oddspedia-matches'!$A:$AD,AR$2,0)</f>
        <v>Red</v>
      </c>
      <c r="AS13" t="str">
        <f>VLOOKUP($AC13,'oddspedia-matches'!$A:$AD,AS$2,0)</f>
        <v>Green</v>
      </c>
      <c r="AT13" t="str">
        <f>VLOOKUP($AC13,'oddspedia-matches'!$A:$AD,AT$2,0)</f>
        <v>Red</v>
      </c>
    </row>
    <row r="14" spans="1:46" x14ac:dyDescent="0.25">
      <c r="B14" s="9"/>
      <c r="C14" s="7" t="s">
        <v>244</v>
      </c>
      <c r="D14" s="20">
        <v>0.66666666666666663</v>
      </c>
      <c r="E14" s="7" t="s">
        <v>263</v>
      </c>
      <c r="F14" s="7" t="s">
        <v>190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s="7">
        <v>20</v>
      </c>
      <c r="Y14" s="7">
        <v>25</v>
      </c>
      <c r="Z14" s="21" t="s">
        <v>456</v>
      </c>
      <c r="AA14" t="str">
        <f>VLOOKUP(E14,'Transform table'!A:B,2,0)</f>
        <v>SA Bulo Bulo</v>
      </c>
      <c r="AB14" t="str">
        <f>VLOOKUP(F14,'Transform table'!A:B,2,0)</f>
        <v>ABB</v>
      </c>
      <c r="AC14" t="str">
        <f t="shared" si="0"/>
        <v>20/07/2026SA Bulo BuloABB</v>
      </c>
      <c r="AD14" t="str">
        <f>VLOOKUP($AC14,'oddspedia-matches'!$A:$AD,AD$2,0)</f>
        <v>2 - 1</v>
      </c>
      <c r="AE14" t="str">
        <f>VLOOKUP($AC14,'oddspedia-matches'!$A:$AD,AE$2,0)</f>
        <v>Green</v>
      </c>
      <c r="AF14" t="str">
        <f>VLOOKUP($AC14,'oddspedia-matches'!$A:$AD,AF$2,0)</f>
        <v>Red</v>
      </c>
      <c r="AG14" t="str">
        <f>VLOOKUP($AC14,'oddspedia-matches'!$A:$AD,AG$2,0)</f>
        <v>Red</v>
      </c>
      <c r="AH14" t="str">
        <f>VLOOKUP($AC14,'oddspedia-matches'!$A:$AD,AH$2,0)</f>
        <v>Green</v>
      </c>
      <c r="AI14" t="str">
        <f>VLOOKUP($AC14,'oddspedia-matches'!$A:$AD,AI$2,0)</f>
        <v>Red</v>
      </c>
      <c r="AJ14" t="str">
        <f>VLOOKUP($AC14,'oddspedia-matches'!$A:$AD,AJ$2,0)</f>
        <v>Green</v>
      </c>
      <c r="AK14" t="str">
        <f>VLOOKUP($AC14,'oddspedia-matches'!$A:$AD,AK$2,0)</f>
        <v>Red</v>
      </c>
      <c r="AL14" t="str">
        <f>VLOOKUP($AC14,'oddspedia-matches'!$A:$AD,AL$2,0)</f>
        <v>Green</v>
      </c>
      <c r="AM14" t="str">
        <f>VLOOKUP($AC14,'oddspedia-matches'!$A:$AD,AM$2,0)</f>
        <v>Red</v>
      </c>
      <c r="AN14" t="str">
        <f>VLOOKUP($AC14,'oddspedia-matches'!$A:$AD,AN$2,0)</f>
        <v>Green</v>
      </c>
      <c r="AO14" t="str">
        <f>VLOOKUP($AC14,'oddspedia-matches'!$A:$AD,AO$2,0)</f>
        <v>Green</v>
      </c>
      <c r="AP14" t="str">
        <f>VLOOKUP($AC14,'oddspedia-matches'!$A:$AD,AP$2,0)</f>
        <v>Green</v>
      </c>
      <c r="AQ14" t="str">
        <f>VLOOKUP($AC14,'oddspedia-matches'!$A:$AD,AQ$2,0)</f>
        <v>Red</v>
      </c>
      <c r="AR14" t="str">
        <f>VLOOKUP($AC14,'oddspedia-matches'!$A:$AD,AR$2,0)</f>
        <v>Green</v>
      </c>
      <c r="AS14" t="str">
        <f>VLOOKUP($AC14,'oddspedia-matches'!$A:$AD,AS$2,0)</f>
        <v>Green</v>
      </c>
      <c r="AT14" t="str">
        <f>VLOOKUP($AC14,'oddspedia-matches'!$A:$AD,AT$2,0)</f>
        <v>Red</v>
      </c>
    </row>
    <row r="15" spans="1:46" x14ac:dyDescent="0.25">
      <c r="B15" s="17"/>
      <c r="C15" s="8" t="s">
        <v>244</v>
      </c>
      <c r="D15" s="18">
        <v>0.66666666666666663</v>
      </c>
      <c r="E15" s="8" t="s">
        <v>119</v>
      </c>
      <c r="F15" s="8" t="s">
        <v>104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s="8">
        <v>10</v>
      </c>
      <c r="Y15" s="8">
        <v>22.2</v>
      </c>
      <c r="Z15" s="19" t="s">
        <v>457</v>
      </c>
      <c r="AA15" t="str">
        <f>VLOOKUP(E15,'Transform table'!A:B,2,0)</f>
        <v>Mushuc Runa</v>
      </c>
      <c r="AB15" t="str">
        <f>VLOOKUP(F15,'Transform table'!A:B,2,0)</f>
        <v>Orense SC</v>
      </c>
      <c r="AC15" t="str">
        <f t="shared" si="0"/>
        <v>20/07/2026Mushuc RunaOrense SC</v>
      </c>
      <c r="AD15" t="str">
        <f>VLOOKUP($AC15,'oddspedia-matches'!$A:$AD,AD$2,0)</f>
        <v>2 - 1</v>
      </c>
      <c r="AE15" t="str">
        <f>VLOOKUP($AC15,'oddspedia-matches'!$A:$AD,AE$2,0)</f>
        <v>Green</v>
      </c>
      <c r="AF15" t="str">
        <f>VLOOKUP($AC15,'oddspedia-matches'!$A:$AD,AF$2,0)</f>
        <v>Red</v>
      </c>
      <c r="AG15" t="str">
        <f>VLOOKUP($AC15,'oddspedia-matches'!$A:$AD,AG$2,0)</f>
        <v>Red</v>
      </c>
      <c r="AH15" t="str">
        <f>VLOOKUP($AC15,'oddspedia-matches'!$A:$AD,AH$2,0)</f>
        <v>Green</v>
      </c>
      <c r="AI15" t="str">
        <f>VLOOKUP($AC15,'oddspedia-matches'!$A:$AD,AI$2,0)</f>
        <v>Red</v>
      </c>
      <c r="AJ15" t="str">
        <f>VLOOKUP($AC15,'oddspedia-matches'!$A:$AD,AJ$2,0)</f>
        <v>Green</v>
      </c>
      <c r="AK15" t="str">
        <f>VLOOKUP($AC15,'oddspedia-matches'!$A:$AD,AK$2,0)</f>
        <v>Red</v>
      </c>
      <c r="AL15" t="str">
        <f>VLOOKUP($AC15,'oddspedia-matches'!$A:$AD,AL$2,0)</f>
        <v>Green</v>
      </c>
      <c r="AM15" t="str">
        <f>VLOOKUP($AC15,'oddspedia-matches'!$A:$AD,AM$2,0)</f>
        <v>Red</v>
      </c>
      <c r="AN15" t="str">
        <f>VLOOKUP($AC15,'oddspedia-matches'!$A:$AD,AN$2,0)</f>
        <v>Green</v>
      </c>
      <c r="AO15" t="str">
        <f>VLOOKUP($AC15,'oddspedia-matches'!$A:$AD,AO$2,0)</f>
        <v>Green</v>
      </c>
      <c r="AP15" t="str">
        <f>VLOOKUP($AC15,'oddspedia-matches'!$A:$AD,AP$2,0)</f>
        <v>Green</v>
      </c>
      <c r="AQ15" t="str">
        <f>VLOOKUP($AC15,'oddspedia-matches'!$A:$AD,AQ$2,0)</f>
        <v>Red</v>
      </c>
      <c r="AR15" t="str">
        <f>VLOOKUP($AC15,'oddspedia-matches'!$A:$AD,AR$2,0)</f>
        <v>Green</v>
      </c>
      <c r="AS15" t="str">
        <f>VLOOKUP($AC15,'oddspedia-matches'!$A:$AD,AS$2,0)</f>
        <v>Green</v>
      </c>
      <c r="AT15" t="str">
        <f>VLOOKUP($AC15,'oddspedia-matches'!$A:$AD,AT$2,0)</f>
        <v>Red</v>
      </c>
    </row>
    <row r="16" spans="1:46" x14ac:dyDescent="0.25">
      <c r="B16" s="9"/>
      <c r="C16" s="7" t="s">
        <v>244</v>
      </c>
      <c r="D16" s="20">
        <v>0.67708333333333337</v>
      </c>
      <c r="E16" s="7" t="s">
        <v>264</v>
      </c>
      <c r="F16" s="7" t="s">
        <v>265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s="7">
        <v>28.6</v>
      </c>
      <c r="Y16" s="7">
        <v>57.1</v>
      </c>
      <c r="Z16" s="21" t="s">
        <v>458</v>
      </c>
      <c r="AA16" t="str">
        <f>VLOOKUP(E16,'Transform table'!A:B,2,0)</f>
        <v>Hafnarfjordur</v>
      </c>
      <c r="AB16" t="str">
        <f>VLOOKUP(F16,'Transform table'!A:B,2,0)</f>
        <v>Breidablik</v>
      </c>
      <c r="AC16" t="str">
        <f t="shared" si="0"/>
        <v>20/07/2026HafnarfjordurBreidablik</v>
      </c>
      <c r="AD16" t="str">
        <f>VLOOKUP($AC16,'oddspedia-matches'!$A:$AD,AD$2,0)</f>
        <v>0 - 0</v>
      </c>
      <c r="AE16" t="str">
        <f>VLOOKUP($AC16,'oddspedia-matches'!$A:$AD,AE$2,0)</f>
        <v>Red</v>
      </c>
      <c r="AF16" t="str">
        <f>VLOOKUP($AC16,'oddspedia-matches'!$A:$AD,AF$2,0)</f>
        <v>Green</v>
      </c>
      <c r="AG16" t="str">
        <f>VLOOKUP($AC16,'oddspedia-matches'!$A:$AD,AG$2,0)</f>
        <v>Red</v>
      </c>
      <c r="AH16" t="str">
        <f>VLOOKUP($AC16,'oddspedia-matches'!$A:$AD,AH$2,0)</f>
        <v>Green</v>
      </c>
      <c r="AI16" t="str">
        <f>VLOOKUP($AC16,'oddspedia-matches'!$A:$AD,AI$2,0)</f>
        <v>Green</v>
      </c>
      <c r="AJ16" t="str">
        <f>VLOOKUP($AC16,'oddspedia-matches'!$A:$AD,AJ$2,0)</f>
        <v>Red</v>
      </c>
      <c r="AK16" t="str">
        <f>VLOOKUP($AC16,'oddspedia-matches'!$A:$AD,AK$2,0)</f>
        <v>Red</v>
      </c>
      <c r="AL16" t="str">
        <f>VLOOKUP($AC16,'oddspedia-matches'!$A:$AD,AL$2,0)</f>
        <v>Green</v>
      </c>
      <c r="AM16" t="str">
        <f>VLOOKUP($AC16,'oddspedia-matches'!$A:$AD,AM$2,0)</f>
        <v>Red</v>
      </c>
      <c r="AN16" t="str">
        <f>VLOOKUP($AC16,'oddspedia-matches'!$A:$AD,AN$2,0)</f>
        <v>Red</v>
      </c>
      <c r="AO16" t="str">
        <f>VLOOKUP($AC16,'oddspedia-matches'!$A:$AD,AO$2,0)</f>
        <v>Red</v>
      </c>
      <c r="AP16" t="str">
        <f>VLOOKUP($AC16,'oddspedia-matches'!$A:$AD,AP$2,0)</f>
        <v>Red</v>
      </c>
      <c r="AQ16" t="str">
        <f>VLOOKUP($AC16,'oddspedia-matches'!$A:$AD,AQ$2,0)</f>
        <v>Green</v>
      </c>
      <c r="AR16" t="str">
        <f>VLOOKUP($AC16,'oddspedia-matches'!$A:$AD,AR$2,0)</f>
        <v>Green</v>
      </c>
      <c r="AS16" t="str">
        <f>VLOOKUP($AC16,'oddspedia-matches'!$A:$AD,AS$2,0)</f>
        <v>Red</v>
      </c>
      <c r="AT16" t="str">
        <f>VLOOKUP($AC16,'oddspedia-matches'!$A:$AD,AT$2,0)</f>
        <v>Green</v>
      </c>
    </row>
    <row r="17" spans="2:46" x14ac:dyDescent="0.25">
      <c r="B17" s="17"/>
      <c r="C17" s="8" t="s">
        <v>244</v>
      </c>
      <c r="D17" s="18">
        <v>0.67708333333333337</v>
      </c>
      <c r="E17" s="8" t="s">
        <v>170</v>
      </c>
      <c r="F17" s="8" t="s">
        <v>266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s="8" t="s">
        <v>22</v>
      </c>
      <c r="Y17" s="8" t="s">
        <v>22</v>
      </c>
      <c r="Z17" s="19" t="s">
        <v>448</v>
      </c>
      <c r="AA17" t="str">
        <f>VLOOKUP(E17,'Transform table'!A:B,2,0)</f>
        <v>Keflavik</v>
      </c>
      <c r="AB17" t="str">
        <f>VLOOKUP(F17,'Transform table'!A:B,2,0)</f>
        <v>IA Akranes</v>
      </c>
      <c r="AC17" t="str">
        <f t="shared" si="0"/>
        <v>20/07/2026KeflavikIA Akranes</v>
      </c>
      <c r="AD17" t="str">
        <f>VLOOKUP($AC17,'oddspedia-matches'!$A:$AD,AD$2,0)</f>
        <v>5 - 2</v>
      </c>
      <c r="AE17" t="str">
        <f>VLOOKUP($AC17,'oddspedia-matches'!$A:$AD,AE$2,0)</f>
        <v>Green</v>
      </c>
      <c r="AF17" t="str">
        <f>VLOOKUP($AC17,'oddspedia-matches'!$A:$AD,AF$2,0)</f>
        <v>Red</v>
      </c>
      <c r="AG17" t="str">
        <f>VLOOKUP($AC17,'oddspedia-matches'!$A:$AD,AG$2,0)</f>
        <v>Red</v>
      </c>
      <c r="AH17" t="str">
        <f>VLOOKUP($AC17,'oddspedia-matches'!$A:$AD,AH$2,0)</f>
        <v>Green</v>
      </c>
      <c r="AI17" t="str">
        <f>VLOOKUP($AC17,'oddspedia-matches'!$A:$AD,AI$2,0)</f>
        <v>Red</v>
      </c>
      <c r="AJ17" t="str">
        <f>VLOOKUP($AC17,'oddspedia-matches'!$A:$AD,AJ$2,0)</f>
        <v>Green</v>
      </c>
      <c r="AK17" t="str">
        <f>VLOOKUP($AC17,'oddspedia-matches'!$A:$AD,AK$2,0)</f>
        <v>Green</v>
      </c>
      <c r="AL17" t="str">
        <f>VLOOKUP($AC17,'oddspedia-matches'!$A:$AD,AL$2,0)</f>
        <v>Red</v>
      </c>
      <c r="AM17" t="str">
        <f>VLOOKUP($AC17,'oddspedia-matches'!$A:$AD,AM$2,0)</f>
        <v>Red</v>
      </c>
      <c r="AN17" t="str">
        <f>VLOOKUP($AC17,'oddspedia-matches'!$A:$AD,AN$2,0)</f>
        <v>Green</v>
      </c>
      <c r="AO17" t="str">
        <f>VLOOKUP($AC17,'oddspedia-matches'!$A:$AD,AO$2,0)</f>
        <v>Green</v>
      </c>
      <c r="AP17" t="str">
        <f>VLOOKUP($AC17,'oddspedia-matches'!$A:$AD,AP$2,0)</f>
        <v>Green</v>
      </c>
      <c r="AQ17" t="str">
        <f>VLOOKUP($AC17,'oddspedia-matches'!$A:$AD,AQ$2,0)</f>
        <v>Red</v>
      </c>
      <c r="AR17" t="str">
        <f>VLOOKUP($AC17,'oddspedia-matches'!$A:$AD,AR$2,0)</f>
        <v>Red</v>
      </c>
      <c r="AS17" t="str">
        <f>VLOOKUP($AC17,'oddspedia-matches'!$A:$AD,AS$2,0)</f>
        <v>Green</v>
      </c>
      <c r="AT17" t="str">
        <f>VLOOKUP($AC17,'oddspedia-matches'!$A:$AD,AT$2,0)</f>
        <v>Red</v>
      </c>
    </row>
    <row r="18" spans="2:46" x14ac:dyDescent="0.25">
      <c r="B18" s="9"/>
      <c r="C18" s="7" t="s">
        <v>244</v>
      </c>
      <c r="D18" s="20">
        <v>0.67708333333333337</v>
      </c>
      <c r="E18" s="7" t="s">
        <v>164</v>
      </c>
      <c r="F18" s="7" t="s">
        <v>267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s="7" t="s">
        <v>22</v>
      </c>
      <c r="Y18" s="7" t="s">
        <v>22</v>
      </c>
      <c r="Z18" s="21" t="s">
        <v>459</v>
      </c>
      <c r="AA18" t="str">
        <f>VLOOKUP(E18,'Transform table'!A:B,2,0)</f>
        <v>Kopavogs</v>
      </c>
      <c r="AB18" t="str">
        <f>VLOOKUP(F18,'Transform table'!A:B,2,0)</f>
        <v>IF Vestri</v>
      </c>
      <c r="AC18" t="str">
        <f t="shared" si="0"/>
        <v>20/07/2026KopavogsIF Vestri</v>
      </c>
      <c r="AD18" t="str">
        <f>VLOOKUP($AC18,'oddspedia-matches'!$A:$AD,AD$2,0)</f>
        <v>6 - 2</v>
      </c>
      <c r="AE18" t="str">
        <f>VLOOKUP($AC18,'oddspedia-matches'!$A:$AD,AE$2,0)</f>
        <v>Green</v>
      </c>
      <c r="AF18" t="str">
        <f>VLOOKUP($AC18,'oddspedia-matches'!$A:$AD,AF$2,0)</f>
        <v>Red</v>
      </c>
      <c r="AG18" t="str">
        <f>VLOOKUP($AC18,'oddspedia-matches'!$A:$AD,AG$2,0)</f>
        <v>Red</v>
      </c>
      <c r="AH18" t="str">
        <f>VLOOKUP($AC18,'oddspedia-matches'!$A:$AD,AH$2,0)</f>
        <v>Green</v>
      </c>
      <c r="AI18" t="str">
        <f>VLOOKUP($AC18,'oddspedia-matches'!$A:$AD,AI$2,0)</f>
        <v>Red</v>
      </c>
      <c r="AJ18" t="str">
        <f>VLOOKUP($AC18,'oddspedia-matches'!$A:$AD,AJ$2,0)</f>
        <v>Green</v>
      </c>
      <c r="AK18" t="str">
        <f>VLOOKUP($AC18,'oddspedia-matches'!$A:$AD,AK$2,0)</f>
        <v>Green</v>
      </c>
      <c r="AL18" t="str">
        <f>VLOOKUP($AC18,'oddspedia-matches'!$A:$AD,AL$2,0)</f>
        <v>Red</v>
      </c>
      <c r="AM18" t="str">
        <f>VLOOKUP($AC18,'oddspedia-matches'!$A:$AD,AM$2,0)</f>
        <v>Red</v>
      </c>
      <c r="AN18" t="str">
        <f>VLOOKUP($AC18,'oddspedia-matches'!$A:$AD,AN$2,0)</f>
        <v>Green</v>
      </c>
      <c r="AO18" t="str">
        <f>VLOOKUP($AC18,'oddspedia-matches'!$A:$AD,AO$2,0)</f>
        <v>Green</v>
      </c>
      <c r="AP18" t="str">
        <f>VLOOKUP($AC18,'oddspedia-matches'!$A:$AD,AP$2,0)</f>
        <v>Green</v>
      </c>
      <c r="AQ18" t="str">
        <f>VLOOKUP($AC18,'oddspedia-matches'!$A:$AD,AQ$2,0)</f>
        <v>Red</v>
      </c>
      <c r="AR18" t="str">
        <f>VLOOKUP($AC18,'oddspedia-matches'!$A:$AD,AR$2,0)</f>
        <v>Red</v>
      </c>
      <c r="AS18" t="str">
        <f>VLOOKUP($AC18,'oddspedia-matches'!$A:$AD,AS$2,0)</f>
        <v>Green</v>
      </c>
      <c r="AT18" t="str">
        <f>VLOOKUP($AC18,'oddspedia-matches'!$A:$AD,AT$2,0)</f>
        <v>Red</v>
      </c>
    </row>
    <row r="19" spans="2:46" x14ac:dyDescent="0.25">
      <c r="B19" s="17"/>
      <c r="C19" s="8" t="s">
        <v>244</v>
      </c>
      <c r="D19" s="18">
        <v>0.83333333333333337</v>
      </c>
      <c r="E19" s="8" t="s">
        <v>268</v>
      </c>
      <c r="F19" s="8" t="s">
        <v>269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s="8">
        <v>0</v>
      </c>
      <c r="Y19" s="8">
        <v>25</v>
      </c>
      <c r="Z19" s="19" t="s">
        <v>460</v>
      </c>
      <c r="AA19" t="str">
        <f>VLOOKUP(E19,'Transform table'!A:B,2,0)</f>
        <v>Nacional Potosi</v>
      </c>
      <c r="AB19" t="str">
        <f>VLOOKUP(F19,'Transform table'!A:B,2,0)</f>
        <v>Real Oruro</v>
      </c>
      <c r="AC19" t="str">
        <f t="shared" si="0"/>
        <v>20/07/2026Nacional PotosiReal Oruro</v>
      </c>
      <c r="AD19" t="str">
        <f>VLOOKUP($AC19,'oddspedia-matches'!$A:$AD,AD$2,0)</f>
        <v>1 - 4</v>
      </c>
      <c r="AE19" t="str">
        <f>VLOOKUP($AC19,'oddspedia-matches'!$A:$AD,AE$2,0)</f>
        <v>Red</v>
      </c>
      <c r="AF19" t="str">
        <f>VLOOKUP($AC19,'oddspedia-matches'!$A:$AD,AF$2,0)</f>
        <v>Red</v>
      </c>
      <c r="AG19" t="str">
        <f>VLOOKUP($AC19,'oddspedia-matches'!$A:$AD,AG$2,0)</f>
        <v>Green</v>
      </c>
      <c r="AH19" t="str">
        <f>VLOOKUP($AC19,'oddspedia-matches'!$A:$AD,AH$2,0)</f>
        <v>Red</v>
      </c>
      <c r="AI19" t="str">
        <f>VLOOKUP($AC19,'oddspedia-matches'!$A:$AD,AI$2,0)</f>
        <v>Green</v>
      </c>
      <c r="AJ19" t="str">
        <f>VLOOKUP($AC19,'oddspedia-matches'!$A:$AD,AJ$2,0)</f>
        <v>Green</v>
      </c>
      <c r="AK19" t="str">
        <f>VLOOKUP($AC19,'oddspedia-matches'!$A:$AD,AK$2,0)</f>
        <v>Red</v>
      </c>
      <c r="AL19" t="str">
        <f>VLOOKUP($AC19,'oddspedia-matches'!$A:$AD,AL$2,0)</f>
        <v>Red</v>
      </c>
      <c r="AM19" t="str">
        <f>VLOOKUP($AC19,'oddspedia-matches'!$A:$AD,AM$2,0)</f>
        <v>Green</v>
      </c>
      <c r="AN19" t="str">
        <f>VLOOKUP($AC19,'oddspedia-matches'!$A:$AD,AN$2,0)</f>
        <v>Green</v>
      </c>
      <c r="AO19" t="str">
        <f>VLOOKUP($AC19,'oddspedia-matches'!$A:$AD,AO$2,0)</f>
        <v>Green</v>
      </c>
      <c r="AP19" t="str">
        <f>VLOOKUP($AC19,'oddspedia-matches'!$A:$AD,AP$2,0)</f>
        <v>Green</v>
      </c>
      <c r="AQ19" t="str">
        <f>VLOOKUP($AC19,'oddspedia-matches'!$A:$AD,AQ$2,0)</f>
        <v>Red</v>
      </c>
      <c r="AR19" t="str">
        <f>VLOOKUP($AC19,'oddspedia-matches'!$A:$AD,AR$2,0)</f>
        <v>Red</v>
      </c>
      <c r="AS19" t="str">
        <f>VLOOKUP($AC19,'oddspedia-matches'!$A:$AD,AS$2,0)</f>
        <v>Green</v>
      </c>
      <c r="AT19" t="str">
        <f>VLOOKUP($AC19,'oddspedia-matches'!$A:$AD,AT$2,0)</f>
        <v>Red</v>
      </c>
    </row>
    <row r="20" spans="2:46" x14ac:dyDescent="0.25">
      <c r="B20" s="9" t="s">
        <v>463</v>
      </c>
      <c r="C20" s="7" t="s">
        <v>215</v>
      </c>
      <c r="D20" s="20">
        <v>0.27083333333333331</v>
      </c>
      <c r="E20" s="7" t="s">
        <v>216</v>
      </c>
      <c r="F20" s="7" t="s">
        <v>217</v>
      </c>
      <c r="G20" s="21" t="s">
        <v>476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s="7">
        <v>0</v>
      </c>
      <c r="Y20" s="7">
        <v>12.5</v>
      </c>
      <c r="Z20" s="21"/>
      <c r="AA20" t="str">
        <f>VLOOKUP(E20,'Transform table'!A:B,2,0)</f>
        <v>Gungahlin Juventus U23</v>
      </c>
      <c r="AB20" t="str">
        <f>VLOOKUP(F20,'Transform table'!A:B,2,0)</f>
        <v>Canberra Croatia U23</v>
      </c>
      <c r="AC20" t="str">
        <f t="shared" si="0"/>
        <v>21/07/2026Gungahlin Juventus U23Canberra Croatia U23</v>
      </c>
      <c r="AD20" t="str">
        <f>VLOOKUP($AC20,'oddspedia-matches'!$A:$AD,AD$2,0)</f>
        <v>2 - 1</v>
      </c>
      <c r="AE20" t="str">
        <f>VLOOKUP($AC20,'oddspedia-matches'!$A:$AD,AE$2,0)</f>
        <v>Green</v>
      </c>
      <c r="AF20" t="str">
        <f>VLOOKUP($AC20,'oddspedia-matches'!$A:$AD,AF$2,0)</f>
        <v>Red</v>
      </c>
      <c r="AG20" t="str">
        <f>VLOOKUP($AC20,'oddspedia-matches'!$A:$AD,AG$2,0)</f>
        <v>Red</v>
      </c>
      <c r="AH20" t="str">
        <f>VLOOKUP($AC20,'oddspedia-matches'!$A:$AD,AH$2,0)</f>
        <v>Green</v>
      </c>
      <c r="AI20" t="str">
        <f>VLOOKUP($AC20,'oddspedia-matches'!$A:$AD,AI$2,0)</f>
        <v>Red</v>
      </c>
      <c r="AJ20" t="str">
        <f>VLOOKUP($AC20,'oddspedia-matches'!$A:$AD,AJ$2,0)</f>
        <v>Green</v>
      </c>
      <c r="AK20" t="str">
        <f>VLOOKUP($AC20,'oddspedia-matches'!$A:$AD,AK$2,0)</f>
        <v>Green</v>
      </c>
      <c r="AL20" t="str">
        <f>VLOOKUP($AC20,'oddspedia-matches'!$A:$AD,AL$2,0)</f>
        <v>Red</v>
      </c>
      <c r="AM20" t="str">
        <f>VLOOKUP($AC20,'oddspedia-matches'!$A:$AD,AM$2,0)</f>
        <v>Red</v>
      </c>
      <c r="AN20" t="str">
        <f>VLOOKUP($AC20,'oddspedia-matches'!$A:$AD,AN$2,0)</f>
        <v>Green</v>
      </c>
      <c r="AO20" t="str">
        <f>VLOOKUP($AC20,'oddspedia-matches'!$A:$AD,AO$2,0)</f>
        <v>Green</v>
      </c>
      <c r="AP20" t="str">
        <f>VLOOKUP($AC20,'oddspedia-matches'!$A:$AD,AP$2,0)</f>
        <v>Green</v>
      </c>
      <c r="AQ20" t="str">
        <f>VLOOKUP($AC20,'oddspedia-matches'!$A:$AD,AQ$2,0)</f>
        <v>Red</v>
      </c>
      <c r="AR20" t="str">
        <f>VLOOKUP($AC20,'oddspedia-matches'!$A:$AD,AR$2,0)</f>
        <v>Green</v>
      </c>
      <c r="AS20" t="str">
        <f>VLOOKUP($AC20,'oddspedia-matches'!$A:$AD,AS$2,0)</f>
        <v>Green</v>
      </c>
      <c r="AT20" t="str">
        <f>VLOOKUP($AC20,'oddspedia-matches'!$A:$AD,AT$2,0)</f>
        <v>Red</v>
      </c>
    </row>
    <row r="21" spans="2:46" x14ac:dyDescent="0.25">
      <c r="B21" s="17" t="s">
        <v>464</v>
      </c>
      <c r="C21" s="8" t="s">
        <v>215</v>
      </c>
      <c r="D21" s="18">
        <v>0.3125</v>
      </c>
      <c r="E21" s="8" t="s">
        <v>218</v>
      </c>
      <c r="F21" s="8" t="s">
        <v>219</v>
      </c>
      <c r="G21" s="19" t="s">
        <v>477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s="8">
        <v>0</v>
      </c>
      <c r="Y21" s="8">
        <v>0</v>
      </c>
      <c r="Z21" s="19"/>
      <c r="AA21" t="str">
        <f>VLOOKUP(E21,'Transform table'!A:B,2,0)</f>
        <v>Jeju United</v>
      </c>
      <c r="AB21" t="str">
        <f>VLOOKUP(F21,'Transform table'!A:B,2,0)</f>
        <v>Gangwon</v>
      </c>
      <c r="AC21" t="str">
        <f t="shared" si="0"/>
        <v>21/07/2026Jeju UnitedGangwon</v>
      </c>
      <c r="AD21" t="str">
        <f>VLOOKUP($AC21,'oddspedia-matches'!$A:$AD,AD$2,0)</f>
        <v>1 - 1</v>
      </c>
      <c r="AE21" t="str">
        <f>VLOOKUP($AC21,'oddspedia-matches'!$A:$AD,AE$2,0)</f>
        <v>Red</v>
      </c>
      <c r="AF21" t="str">
        <f>VLOOKUP($AC21,'oddspedia-matches'!$A:$AD,AF$2,0)</f>
        <v>Green</v>
      </c>
      <c r="AG21" t="str">
        <f>VLOOKUP($AC21,'oddspedia-matches'!$A:$AD,AG$2,0)</f>
        <v>Red</v>
      </c>
      <c r="AH21" t="str">
        <f>VLOOKUP($AC21,'oddspedia-matches'!$A:$AD,AH$2,0)</f>
        <v>Green</v>
      </c>
      <c r="AI21" t="str">
        <f>VLOOKUP($AC21,'oddspedia-matches'!$A:$AD,AI$2,0)</f>
        <v>Green</v>
      </c>
      <c r="AJ21" t="str">
        <f>VLOOKUP($AC21,'oddspedia-matches'!$A:$AD,AJ$2,0)</f>
        <v>Red</v>
      </c>
      <c r="AK21" t="str">
        <f>VLOOKUP($AC21,'oddspedia-matches'!$A:$AD,AK$2,0)</f>
        <v>Red</v>
      </c>
      <c r="AL21" t="str">
        <f>VLOOKUP($AC21,'oddspedia-matches'!$A:$AD,AL$2,0)</f>
        <v>Green</v>
      </c>
      <c r="AM21" t="str">
        <f>VLOOKUP($AC21,'oddspedia-matches'!$A:$AD,AM$2,0)</f>
        <v>Red</v>
      </c>
      <c r="AN21" t="str">
        <f>VLOOKUP($AC21,'oddspedia-matches'!$A:$AD,AN$2,0)</f>
        <v>Green</v>
      </c>
      <c r="AO21" t="str">
        <f>VLOOKUP($AC21,'oddspedia-matches'!$A:$AD,AO$2,0)</f>
        <v>Green</v>
      </c>
      <c r="AP21" t="str">
        <f>VLOOKUP($AC21,'oddspedia-matches'!$A:$AD,AP$2,0)</f>
        <v>Red</v>
      </c>
      <c r="AQ21" t="str">
        <f>VLOOKUP($AC21,'oddspedia-matches'!$A:$AD,AQ$2,0)</f>
        <v>Green</v>
      </c>
      <c r="AR21" t="str">
        <f>VLOOKUP($AC21,'oddspedia-matches'!$A:$AD,AR$2,0)</f>
        <v>Green</v>
      </c>
      <c r="AS21" t="str">
        <f>VLOOKUP($AC21,'oddspedia-matches'!$A:$AD,AS$2,0)</f>
        <v>Green</v>
      </c>
      <c r="AT21" t="str">
        <f>VLOOKUP($AC21,'oddspedia-matches'!$A:$AD,AT$2,0)</f>
        <v>Red</v>
      </c>
    </row>
    <row r="22" spans="2:46" x14ac:dyDescent="0.25">
      <c r="B22" s="9" t="s">
        <v>464</v>
      </c>
      <c r="C22" s="7" t="s">
        <v>215</v>
      </c>
      <c r="D22" s="20">
        <v>0.3125</v>
      </c>
      <c r="E22" s="7" t="s">
        <v>220</v>
      </c>
      <c r="F22" s="7" t="s">
        <v>221</v>
      </c>
      <c r="G22" s="21" t="s">
        <v>465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s="7">
        <v>25</v>
      </c>
      <c r="Y22" s="7">
        <v>25</v>
      </c>
      <c r="Z22" s="21"/>
      <c r="AA22" t="str">
        <f>VLOOKUP(E22,'Transform table'!A:B,2,0)</f>
        <v>Jeonbuk Hyundai Motors</v>
      </c>
      <c r="AB22" t="str">
        <f>VLOOKUP(F22,'Transform table'!A:B,2,0)</f>
        <v>Daejeon Citizen</v>
      </c>
      <c r="AC22" t="str">
        <f t="shared" si="0"/>
        <v>21/07/2026Jeonbuk Hyundai MotorsDaejeon Citizen</v>
      </c>
      <c r="AD22" t="str">
        <f>VLOOKUP($AC22,'oddspedia-matches'!$A:$AD,AD$2,0)</f>
        <v>0 - 0</v>
      </c>
      <c r="AE22" t="str">
        <f>VLOOKUP($AC22,'oddspedia-matches'!$A:$AD,AE$2,0)</f>
        <v>Red</v>
      </c>
      <c r="AF22" t="str">
        <f>VLOOKUP($AC22,'oddspedia-matches'!$A:$AD,AF$2,0)</f>
        <v>Green</v>
      </c>
      <c r="AG22" t="str">
        <f>VLOOKUP($AC22,'oddspedia-matches'!$A:$AD,AG$2,0)</f>
        <v>Red</v>
      </c>
      <c r="AH22" t="str">
        <f>VLOOKUP($AC22,'oddspedia-matches'!$A:$AD,AH$2,0)</f>
        <v>Green</v>
      </c>
      <c r="AI22" t="str">
        <f>VLOOKUP($AC22,'oddspedia-matches'!$A:$AD,AI$2,0)</f>
        <v>Green</v>
      </c>
      <c r="AJ22" t="str">
        <f>VLOOKUP($AC22,'oddspedia-matches'!$A:$AD,AJ$2,0)</f>
        <v>Red</v>
      </c>
      <c r="AK22" t="str">
        <f>VLOOKUP($AC22,'oddspedia-matches'!$A:$AD,AK$2,0)</f>
        <v>Red</v>
      </c>
      <c r="AL22" t="str">
        <f>VLOOKUP($AC22,'oddspedia-matches'!$A:$AD,AL$2,0)</f>
        <v>Green</v>
      </c>
      <c r="AM22" t="str">
        <f>VLOOKUP($AC22,'oddspedia-matches'!$A:$AD,AM$2,0)</f>
        <v>Red</v>
      </c>
      <c r="AN22" t="str">
        <f>VLOOKUP($AC22,'oddspedia-matches'!$A:$AD,AN$2,0)</f>
        <v>Red</v>
      </c>
      <c r="AO22" t="str">
        <f>VLOOKUP($AC22,'oddspedia-matches'!$A:$AD,AO$2,0)</f>
        <v>Red</v>
      </c>
      <c r="AP22" t="str">
        <f>VLOOKUP($AC22,'oddspedia-matches'!$A:$AD,AP$2,0)</f>
        <v>Red</v>
      </c>
      <c r="AQ22" t="str">
        <f>VLOOKUP($AC22,'oddspedia-matches'!$A:$AD,AQ$2,0)</f>
        <v>Green</v>
      </c>
      <c r="AR22" t="str">
        <f>VLOOKUP($AC22,'oddspedia-matches'!$A:$AD,AR$2,0)</f>
        <v>Green</v>
      </c>
      <c r="AS22" t="str">
        <f>VLOOKUP($AC22,'oddspedia-matches'!$A:$AD,AS$2,0)</f>
        <v>Red</v>
      </c>
      <c r="AT22" t="str">
        <f>VLOOKUP($AC22,'oddspedia-matches'!$A:$AD,AT$2,0)</f>
        <v>Green</v>
      </c>
    </row>
    <row r="23" spans="2:46" x14ac:dyDescent="0.25">
      <c r="B23" s="17" t="s">
        <v>464</v>
      </c>
      <c r="C23" s="8" t="s">
        <v>215</v>
      </c>
      <c r="D23" s="18">
        <v>0.3125</v>
      </c>
      <c r="E23" s="8" t="s">
        <v>222</v>
      </c>
      <c r="F23" s="8" t="s">
        <v>223</v>
      </c>
      <c r="G23" s="19" t="s">
        <v>478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s="8">
        <v>12.5</v>
      </c>
      <c r="Y23" s="8">
        <v>0</v>
      </c>
      <c r="Z23" s="19"/>
      <c r="AA23" t="str">
        <f>VLOOKUP(E23,'Transform table'!A:B,2,0)</f>
        <v>Ulsan Hyundai</v>
      </c>
      <c r="AB23" t="str">
        <f>VLOOKUP(F23,'Transform table'!A:B,2,0)</f>
        <v>Incheon United</v>
      </c>
      <c r="AC23" t="str">
        <f t="shared" si="0"/>
        <v>21/07/2026Ulsan HyundaiIncheon United</v>
      </c>
      <c r="AD23" t="str">
        <f>VLOOKUP($AC23,'oddspedia-matches'!$A:$AD,AD$2,0)</f>
        <v>1 - 2</v>
      </c>
      <c r="AE23" t="str">
        <f>VLOOKUP($AC23,'oddspedia-matches'!$A:$AD,AE$2,0)</f>
        <v>Red</v>
      </c>
      <c r="AF23" t="str">
        <f>VLOOKUP($AC23,'oddspedia-matches'!$A:$AD,AF$2,0)</f>
        <v>Red</v>
      </c>
      <c r="AG23" t="str">
        <f>VLOOKUP($AC23,'oddspedia-matches'!$A:$AD,AG$2,0)</f>
        <v>Green</v>
      </c>
      <c r="AH23" t="str">
        <f>VLOOKUP($AC23,'oddspedia-matches'!$A:$AD,AH$2,0)</f>
        <v>Red</v>
      </c>
      <c r="AI23" t="str">
        <f>VLOOKUP($AC23,'oddspedia-matches'!$A:$AD,AI$2,0)</f>
        <v>Green</v>
      </c>
      <c r="AJ23" t="str">
        <f>VLOOKUP($AC23,'oddspedia-matches'!$A:$AD,AJ$2,0)</f>
        <v>Green</v>
      </c>
      <c r="AK23" t="str">
        <f>VLOOKUP($AC23,'oddspedia-matches'!$A:$AD,AK$2,0)</f>
        <v>Red</v>
      </c>
      <c r="AL23" t="str">
        <f>VLOOKUP($AC23,'oddspedia-matches'!$A:$AD,AL$2,0)</f>
        <v>Green</v>
      </c>
      <c r="AM23" t="str">
        <f>VLOOKUP($AC23,'oddspedia-matches'!$A:$AD,AM$2,0)</f>
        <v>Red</v>
      </c>
      <c r="AN23" t="str">
        <f>VLOOKUP($AC23,'oddspedia-matches'!$A:$AD,AN$2,0)</f>
        <v>Green</v>
      </c>
      <c r="AO23" t="str">
        <f>VLOOKUP($AC23,'oddspedia-matches'!$A:$AD,AO$2,0)</f>
        <v>Green</v>
      </c>
      <c r="AP23" t="str">
        <f>VLOOKUP($AC23,'oddspedia-matches'!$A:$AD,AP$2,0)</f>
        <v>Green</v>
      </c>
      <c r="AQ23" t="str">
        <f>VLOOKUP($AC23,'oddspedia-matches'!$A:$AD,AQ$2,0)</f>
        <v>Red</v>
      </c>
      <c r="AR23" t="str">
        <f>VLOOKUP($AC23,'oddspedia-matches'!$A:$AD,AR$2,0)</f>
        <v>Green</v>
      </c>
      <c r="AS23" t="str">
        <f>VLOOKUP($AC23,'oddspedia-matches'!$A:$AD,AS$2,0)</f>
        <v>Green</v>
      </c>
      <c r="AT23" t="str">
        <f>VLOOKUP($AC23,'oddspedia-matches'!$A:$AD,AT$2,0)</f>
        <v>Red</v>
      </c>
    </row>
    <row r="24" spans="2:46" x14ac:dyDescent="0.25">
      <c r="B24" s="9" t="s">
        <v>466</v>
      </c>
      <c r="C24" s="7" t="s">
        <v>215</v>
      </c>
      <c r="D24" s="20">
        <v>0.54166666666666663</v>
      </c>
      <c r="E24" s="7" t="s">
        <v>224</v>
      </c>
      <c r="F24" s="7" t="s">
        <v>225</v>
      </c>
      <c r="G24" s="21" t="s">
        <v>467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s="7">
        <v>14.3</v>
      </c>
      <c r="Y24" s="7">
        <v>0</v>
      </c>
      <c r="Z24" s="21"/>
      <c r="AA24" t="str">
        <f>VLOOKUP(E24,'Transform table'!A:B,2,0)</f>
        <v>Kapylan Pallo</v>
      </c>
      <c r="AB24" t="str">
        <f>VLOOKUP(F24,'Transform table'!A:B,2,0)</f>
        <v>Klubi 04</v>
      </c>
      <c r="AC24" t="str">
        <f t="shared" si="0"/>
        <v>21/07/2026Kapylan PalloKlubi 04</v>
      </c>
      <c r="AD24" t="str">
        <f>VLOOKUP($AC24,'oddspedia-matches'!$A:$AD,AD$2,0)</f>
        <v>0 - 2</v>
      </c>
      <c r="AE24" t="str">
        <f>VLOOKUP($AC24,'oddspedia-matches'!$A:$AD,AE$2,0)</f>
        <v>Red</v>
      </c>
      <c r="AF24" t="str">
        <f>VLOOKUP($AC24,'oddspedia-matches'!$A:$AD,AF$2,0)</f>
        <v>Red</v>
      </c>
      <c r="AG24" t="str">
        <f>VLOOKUP($AC24,'oddspedia-matches'!$A:$AD,AG$2,0)</f>
        <v>Green</v>
      </c>
      <c r="AH24" t="str">
        <f>VLOOKUP($AC24,'oddspedia-matches'!$A:$AD,AH$2,0)</f>
        <v>Red</v>
      </c>
      <c r="AI24" t="str">
        <f>VLOOKUP($AC24,'oddspedia-matches'!$A:$AD,AI$2,0)</f>
        <v>Green</v>
      </c>
      <c r="AJ24" t="str">
        <f>VLOOKUP($AC24,'oddspedia-matches'!$A:$AD,AJ$2,0)</f>
        <v>Green</v>
      </c>
      <c r="AK24" t="str">
        <f>VLOOKUP($AC24,'oddspedia-matches'!$A:$AD,AK$2,0)</f>
        <v>Red</v>
      </c>
      <c r="AL24" t="str">
        <f>VLOOKUP($AC24,'oddspedia-matches'!$A:$AD,AL$2,0)</f>
        <v>Red</v>
      </c>
      <c r="AM24" t="str">
        <f>VLOOKUP($AC24,'oddspedia-matches'!$A:$AD,AM$2,0)</f>
        <v>Green</v>
      </c>
      <c r="AN24" t="str">
        <f>VLOOKUP($AC24,'oddspedia-matches'!$A:$AD,AN$2,0)</f>
        <v>Green</v>
      </c>
      <c r="AO24" t="str">
        <f>VLOOKUP($AC24,'oddspedia-matches'!$A:$AD,AO$2,0)</f>
        <v>Green</v>
      </c>
      <c r="AP24" t="str">
        <f>VLOOKUP($AC24,'oddspedia-matches'!$A:$AD,AP$2,0)</f>
        <v>Red</v>
      </c>
      <c r="AQ24" t="str">
        <f>VLOOKUP($AC24,'oddspedia-matches'!$A:$AD,AQ$2,0)</f>
        <v>Green</v>
      </c>
      <c r="AR24" t="str">
        <f>VLOOKUP($AC24,'oddspedia-matches'!$A:$AD,AR$2,0)</f>
        <v>Green</v>
      </c>
      <c r="AS24" t="str">
        <f>VLOOKUP($AC24,'oddspedia-matches'!$A:$AD,AS$2,0)</f>
        <v>Red</v>
      </c>
      <c r="AT24" t="str">
        <f>VLOOKUP($AC24,'oddspedia-matches'!$A:$AD,AT$2,0)</f>
        <v>Green</v>
      </c>
    </row>
    <row r="25" spans="2:46" x14ac:dyDescent="0.25">
      <c r="B25" s="17" t="s">
        <v>468</v>
      </c>
      <c r="C25" s="8" t="s">
        <v>215</v>
      </c>
      <c r="D25" s="18">
        <v>0.54166666666666663</v>
      </c>
      <c r="E25" s="8" t="s">
        <v>226</v>
      </c>
      <c r="F25" s="8" t="s">
        <v>227</v>
      </c>
      <c r="G25" s="19" t="s">
        <v>467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s="8">
        <v>0</v>
      </c>
      <c r="Y25" s="8">
        <v>0</v>
      </c>
      <c r="Z25" s="19"/>
      <c r="AA25" t="str">
        <f>VLOOKUP(E25,'Transform table'!A:B,2,0)</f>
        <v>Hegelmann Litauen II</v>
      </c>
      <c r="AB25" t="str">
        <f>VLOOKUP(F25,'Transform table'!A:B,2,0)</f>
        <v>VMFD Zalgiris Vilnius II</v>
      </c>
      <c r="AC25" t="str">
        <f t="shared" si="0"/>
        <v>21/07/2026Hegelmann Litauen IIVMFD Zalgiris Vilnius II</v>
      </c>
      <c r="AD25" t="str">
        <f>VLOOKUP($AC25,'oddspedia-matches'!$A:$AD,AD$2,0)</f>
        <v>0 - 2</v>
      </c>
      <c r="AE25" t="str">
        <f>VLOOKUP($AC25,'oddspedia-matches'!$A:$AD,AE$2,0)</f>
        <v>Red</v>
      </c>
      <c r="AF25" t="str">
        <f>VLOOKUP($AC25,'oddspedia-matches'!$A:$AD,AF$2,0)</f>
        <v>Red</v>
      </c>
      <c r="AG25" t="str">
        <f>VLOOKUP($AC25,'oddspedia-matches'!$A:$AD,AG$2,0)</f>
        <v>Green</v>
      </c>
      <c r="AH25" t="str">
        <f>VLOOKUP($AC25,'oddspedia-matches'!$A:$AD,AH$2,0)</f>
        <v>Red</v>
      </c>
      <c r="AI25" t="str">
        <f>VLOOKUP($AC25,'oddspedia-matches'!$A:$AD,AI$2,0)</f>
        <v>Green</v>
      </c>
      <c r="AJ25" t="str">
        <f>VLOOKUP($AC25,'oddspedia-matches'!$A:$AD,AJ$2,0)</f>
        <v>Green</v>
      </c>
      <c r="AK25" t="str">
        <f>VLOOKUP($AC25,'oddspedia-matches'!$A:$AD,AK$2,0)</f>
        <v>Red</v>
      </c>
      <c r="AL25" t="str">
        <f>VLOOKUP($AC25,'oddspedia-matches'!$A:$AD,AL$2,0)</f>
        <v>Red</v>
      </c>
      <c r="AM25" t="str">
        <f>VLOOKUP($AC25,'oddspedia-matches'!$A:$AD,AM$2,0)</f>
        <v>Green</v>
      </c>
      <c r="AN25" t="str">
        <f>VLOOKUP($AC25,'oddspedia-matches'!$A:$AD,AN$2,0)</f>
        <v>Green</v>
      </c>
      <c r="AO25" t="str">
        <f>VLOOKUP($AC25,'oddspedia-matches'!$A:$AD,AO$2,0)</f>
        <v>Green</v>
      </c>
      <c r="AP25" t="str">
        <f>VLOOKUP($AC25,'oddspedia-matches'!$A:$AD,AP$2,0)</f>
        <v>Red</v>
      </c>
      <c r="AQ25" t="str">
        <f>VLOOKUP($AC25,'oddspedia-matches'!$A:$AD,AQ$2,0)</f>
        <v>Green</v>
      </c>
      <c r="AR25" t="str">
        <f>VLOOKUP($AC25,'oddspedia-matches'!$A:$AD,AR$2,0)</f>
        <v>Green</v>
      </c>
      <c r="AS25" t="str">
        <f>VLOOKUP($AC25,'oddspedia-matches'!$A:$AD,AS$2,0)</f>
        <v>Red</v>
      </c>
      <c r="AT25" t="str">
        <f>VLOOKUP($AC25,'oddspedia-matches'!$A:$AD,AT$2,0)</f>
        <v>Green</v>
      </c>
    </row>
    <row r="26" spans="2:46" x14ac:dyDescent="0.25">
      <c r="B26" s="9" t="s">
        <v>469</v>
      </c>
      <c r="C26" s="7" t="s">
        <v>215</v>
      </c>
      <c r="D26" s="20">
        <v>0.58333333333333337</v>
      </c>
      <c r="E26" s="7" t="s">
        <v>228</v>
      </c>
      <c r="F26" s="7" t="s">
        <v>229</v>
      </c>
      <c r="G26" s="21" t="s">
        <v>479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s="7">
        <v>14.3</v>
      </c>
      <c r="Y26" s="7">
        <v>16.7</v>
      </c>
      <c r="Z26" s="21"/>
      <c r="AA26" t="str">
        <f>VLOOKUP(E26,'Transform table'!A:B,2,0)</f>
        <v>Falkenberg</v>
      </c>
      <c r="AB26" t="str">
        <f>VLOOKUP(F26,'Transform table'!A:B,2,0)</f>
        <v>Helsingborg</v>
      </c>
      <c r="AC26" t="str">
        <f t="shared" si="0"/>
        <v>21/07/2026FalkenbergHelsingborg</v>
      </c>
      <c r="AD26" t="str">
        <f>VLOOKUP($AC26,'oddspedia-matches'!$A:$AD,AD$2,0)</f>
        <v>2 - 3</v>
      </c>
      <c r="AE26" t="str">
        <f>VLOOKUP($AC26,'oddspedia-matches'!$A:$AD,AE$2,0)</f>
        <v>Red</v>
      </c>
      <c r="AF26" t="str">
        <f>VLOOKUP($AC26,'oddspedia-matches'!$A:$AD,AF$2,0)</f>
        <v>Red</v>
      </c>
      <c r="AG26" t="str">
        <f>VLOOKUP($AC26,'oddspedia-matches'!$A:$AD,AG$2,0)</f>
        <v>Green</v>
      </c>
      <c r="AH26" t="str">
        <f>VLOOKUP($AC26,'oddspedia-matches'!$A:$AD,AH$2,0)</f>
        <v>Red</v>
      </c>
      <c r="AI26" t="str">
        <f>VLOOKUP($AC26,'oddspedia-matches'!$A:$AD,AI$2,0)</f>
        <v>Green</v>
      </c>
      <c r="AJ26" t="str">
        <f>VLOOKUP($AC26,'oddspedia-matches'!$A:$AD,AJ$2,0)</f>
        <v>Green</v>
      </c>
      <c r="AK26" t="str">
        <f>VLOOKUP($AC26,'oddspedia-matches'!$A:$AD,AK$2,0)</f>
        <v>Red</v>
      </c>
      <c r="AL26" t="str">
        <f>VLOOKUP($AC26,'oddspedia-matches'!$A:$AD,AL$2,0)</f>
        <v>Red</v>
      </c>
      <c r="AM26" t="str">
        <f>VLOOKUP($AC26,'oddspedia-matches'!$A:$AD,AM$2,0)</f>
        <v>Green</v>
      </c>
      <c r="AN26" t="str">
        <f>VLOOKUP($AC26,'oddspedia-matches'!$A:$AD,AN$2,0)</f>
        <v>Green</v>
      </c>
      <c r="AO26" t="str">
        <f>VLOOKUP($AC26,'oddspedia-matches'!$A:$AD,AO$2,0)</f>
        <v>Green</v>
      </c>
      <c r="AP26" t="str">
        <f>VLOOKUP($AC26,'oddspedia-matches'!$A:$AD,AP$2,0)</f>
        <v>Green</v>
      </c>
      <c r="AQ26" t="str">
        <f>VLOOKUP($AC26,'oddspedia-matches'!$A:$AD,AQ$2,0)</f>
        <v>Red</v>
      </c>
      <c r="AR26" t="str">
        <f>VLOOKUP($AC26,'oddspedia-matches'!$A:$AD,AR$2,0)</f>
        <v>Red</v>
      </c>
      <c r="AS26" t="str">
        <f>VLOOKUP($AC26,'oddspedia-matches'!$A:$AD,AS$2,0)</f>
        <v>Green</v>
      </c>
      <c r="AT26" t="str">
        <f>VLOOKUP($AC26,'oddspedia-matches'!$A:$AD,AT$2,0)</f>
        <v>Red</v>
      </c>
    </row>
    <row r="27" spans="2:46" x14ac:dyDescent="0.25">
      <c r="B27" s="17" t="s">
        <v>470</v>
      </c>
      <c r="C27" s="8" t="s">
        <v>215</v>
      </c>
      <c r="D27" s="18">
        <v>0.77083333333333337</v>
      </c>
      <c r="E27" s="8" t="s">
        <v>230</v>
      </c>
      <c r="F27" s="8" t="s">
        <v>231</v>
      </c>
      <c r="G27" s="19" t="s">
        <v>471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s="8">
        <v>11.1</v>
      </c>
      <c r="Y27" s="8">
        <v>20</v>
      </c>
      <c r="Z27" s="19"/>
      <c r="AA27" t="str">
        <f>VLOOKUP(E27,'Transform table'!A:B,2,0)</f>
        <v>Libertad Loja</v>
      </c>
      <c r="AB27" t="str">
        <f>VLOOKUP(F27,'Transform table'!A:B,2,0)</f>
        <v>Delfin SC</v>
      </c>
      <c r="AC27" t="str">
        <f t="shared" si="0"/>
        <v>21/07/2026Libertad LojaDelfin SC</v>
      </c>
      <c r="AD27" t="str">
        <f>VLOOKUP($AC27,'oddspedia-matches'!$A:$AD,AD$2,0)</f>
        <v>1 - 0</v>
      </c>
      <c r="AE27" t="str">
        <f>VLOOKUP($AC27,'oddspedia-matches'!$A:$AD,AE$2,0)</f>
        <v>Green</v>
      </c>
      <c r="AF27" t="str">
        <f>VLOOKUP($AC27,'oddspedia-matches'!$A:$AD,AF$2,0)</f>
        <v>Red</v>
      </c>
      <c r="AG27" t="str">
        <f>VLOOKUP($AC27,'oddspedia-matches'!$A:$AD,AG$2,0)</f>
        <v>Red</v>
      </c>
      <c r="AH27" t="str">
        <f>VLOOKUP($AC27,'oddspedia-matches'!$A:$AD,AH$2,0)</f>
        <v>Green</v>
      </c>
      <c r="AI27" t="str">
        <f>VLOOKUP($AC27,'oddspedia-matches'!$A:$AD,AI$2,0)</f>
        <v>Red</v>
      </c>
      <c r="AJ27" t="str">
        <f>VLOOKUP($AC27,'oddspedia-matches'!$A:$AD,AJ$2,0)</f>
        <v>Green</v>
      </c>
      <c r="AK27" t="str">
        <f>VLOOKUP($AC27,'oddspedia-matches'!$A:$AD,AK$2,0)</f>
        <v>Red</v>
      </c>
      <c r="AL27" t="str">
        <f>VLOOKUP($AC27,'oddspedia-matches'!$A:$AD,AL$2,0)</f>
        <v>Green</v>
      </c>
      <c r="AM27" t="str">
        <f>VLOOKUP($AC27,'oddspedia-matches'!$A:$AD,AM$2,0)</f>
        <v>Red</v>
      </c>
      <c r="AN27" t="str">
        <f>VLOOKUP($AC27,'oddspedia-matches'!$A:$AD,AN$2,0)</f>
        <v>Red</v>
      </c>
      <c r="AO27" t="str">
        <f>VLOOKUP($AC27,'oddspedia-matches'!$A:$AD,AO$2,0)</f>
        <v>Red</v>
      </c>
      <c r="AP27" t="str">
        <f>VLOOKUP($AC27,'oddspedia-matches'!$A:$AD,AP$2,0)</f>
        <v>Red</v>
      </c>
      <c r="AQ27" t="str">
        <f>VLOOKUP($AC27,'oddspedia-matches'!$A:$AD,AQ$2,0)</f>
        <v>Green</v>
      </c>
      <c r="AR27" t="str">
        <f>VLOOKUP($AC27,'oddspedia-matches'!$A:$AD,AR$2,0)</f>
        <v>Green</v>
      </c>
      <c r="AS27" t="str">
        <f>VLOOKUP($AC27,'oddspedia-matches'!$A:$AD,AS$2,0)</f>
        <v>Red</v>
      </c>
      <c r="AT27" t="str">
        <f>VLOOKUP($AC27,'oddspedia-matches'!$A:$AD,AT$2,0)</f>
        <v>Green</v>
      </c>
    </row>
    <row r="28" spans="2:46" x14ac:dyDescent="0.25">
      <c r="B28" s="9" t="s">
        <v>472</v>
      </c>
      <c r="C28" s="7" t="s">
        <v>215</v>
      </c>
      <c r="D28" s="20">
        <v>0.8125</v>
      </c>
      <c r="E28" s="7" t="s">
        <v>232</v>
      </c>
      <c r="F28" s="7" t="s">
        <v>233</v>
      </c>
      <c r="G28" s="21" t="s">
        <v>477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s="7" t="s">
        <v>22</v>
      </c>
      <c r="Y28" s="7" t="s">
        <v>22</v>
      </c>
      <c r="Z28" s="21"/>
      <c r="AA28" t="str">
        <f>VLOOKUP(E28,'Transform table'!A:B,2,0)</f>
        <v>Atletico Mineiro</v>
      </c>
      <c r="AB28" t="str">
        <f>VLOOKUP(F28,'Transform table'!A:B,2,0)</f>
        <v>Bahia</v>
      </c>
      <c r="AC28" t="str">
        <f t="shared" si="0"/>
        <v>21/07/2026Atletico MineiroBahia</v>
      </c>
      <c r="AD28" t="str">
        <f>VLOOKUP($AC28,'oddspedia-matches'!$A:$AD,AD$2,0)</f>
        <v>1 - 1</v>
      </c>
      <c r="AE28" t="str">
        <f>VLOOKUP($AC28,'oddspedia-matches'!$A:$AD,AE$2,0)</f>
        <v>Red</v>
      </c>
      <c r="AF28" t="str">
        <f>VLOOKUP($AC28,'oddspedia-matches'!$A:$AD,AF$2,0)</f>
        <v>Green</v>
      </c>
      <c r="AG28" t="str">
        <f>VLOOKUP($AC28,'oddspedia-matches'!$A:$AD,AG$2,0)</f>
        <v>Red</v>
      </c>
      <c r="AH28" t="str">
        <f>VLOOKUP($AC28,'oddspedia-matches'!$A:$AD,AH$2,0)</f>
        <v>Green</v>
      </c>
      <c r="AI28" t="str">
        <f>VLOOKUP($AC28,'oddspedia-matches'!$A:$AD,AI$2,0)</f>
        <v>Green</v>
      </c>
      <c r="AJ28" t="str">
        <f>VLOOKUP($AC28,'oddspedia-matches'!$A:$AD,AJ$2,0)</f>
        <v>Red</v>
      </c>
      <c r="AK28" t="str">
        <f>VLOOKUP($AC28,'oddspedia-matches'!$A:$AD,AK$2,0)</f>
        <v>Green</v>
      </c>
      <c r="AL28" t="str">
        <f>VLOOKUP($AC28,'oddspedia-matches'!$A:$AD,AL$2,0)</f>
        <v>Red</v>
      </c>
      <c r="AM28" t="str">
        <f>VLOOKUP($AC28,'oddspedia-matches'!$A:$AD,AM$2,0)</f>
        <v>Red</v>
      </c>
      <c r="AN28" t="str">
        <f>VLOOKUP($AC28,'oddspedia-matches'!$A:$AD,AN$2,0)</f>
        <v>Green</v>
      </c>
      <c r="AO28" t="str">
        <f>VLOOKUP($AC28,'oddspedia-matches'!$A:$AD,AO$2,0)</f>
        <v>Green</v>
      </c>
      <c r="AP28" t="str">
        <f>VLOOKUP($AC28,'oddspedia-matches'!$A:$AD,AP$2,0)</f>
        <v>Red</v>
      </c>
      <c r="AQ28" t="str">
        <f>VLOOKUP($AC28,'oddspedia-matches'!$A:$AD,AQ$2,0)</f>
        <v>Green</v>
      </c>
      <c r="AR28" t="str">
        <f>VLOOKUP($AC28,'oddspedia-matches'!$A:$AD,AR$2,0)</f>
        <v>Green</v>
      </c>
      <c r="AS28" t="str">
        <f>VLOOKUP($AC28,'oddspedia-matches'!$A:$AD,AS$2,0)</f>
        <v>Green</v>
      </c>
      <c r="AT28" t="str">
        <f>VLOOKUP($AC28,'oddspedia-matches'!$A:$AD,AT$2,0)</f>
        <v>Red</v>
      </c>
    </row>
    <row r="29" spans="2:46" x14ac:dyDescent="0.25">
      <c r="B29" s="17" t="s">
        <v>473</v>
      </c>
      <c r="C29" s="8" t="s">
        <v>215</v>
      </c>
      <c r="D29" s="18">
        <v>0.8125</v>
      </c>
      <c r="E29" s="8" t="s">
        <v>234</v>
      </c>
      <c r="F29" s="8" t="s">
        <v>235</v>
      </c>
      <c r="G29" s="19" t="s">
        <v>480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s="8" t="s">
        <v>22</v>
      </c>
      <c r="Y29" s="8" t="s">
        <v>22</v>
      </c>
      <c r="Z29" s="19"/>
      <c r="AA29" t="str">
        <f>VLOOKUP(E29,'Transform table'!A:B,2,0)</f>
        <v>Avai</v>
      </c>
      <c r="AB29" t="str">
        <f>VLOOKUP(F29,'Transform table'!A:B,2,0)</f>
        <v>America Mineiro</v>
      </c>
      <c r="AC29" t="str">
        <f t="shared" si="0"/>
        <v>21/07/2026AvaiAmerica Mineiro</v>
      </c>
      <c r="AD29" t="str">
        <f>VLOOKUP($AC29,'oddspedia-matches'!$A:$AD,AD$2,0)</f>
        <v>2 - 1</v>
      </c>
      <c r="AE29" t="str">
        <f>VLOOKUP($AC29,'oddspedia-matches'!$A:$AD,AE$2,0)</f>
        <v>Green</v>
      </c>
      <c r="AF29" t="str">
        <f>VLOOKUP($AC29,'oddspedia-matches'!$A:$AD,AF$2,0)</f>
        <v>Red</v>
      </c>
      <c r="AG29" t="str">
        <f>VLOOKUP($AC29,'oddspedia-matches'!$A:$AD,AG$2,0)</f>
        <v>Red</v>
      </c>
      <c r="AH29" t="str">
        <f>VLOOKUP($AC29,'oddspedia-matches'!$A:$AD,AH$2,0)</f>
        <v>Green</v>
      </c>
      <c r="AI29" t="str">
        <f>VLOOKUP($AC29,'oddspedia-matches'!$A:$AD,AI$2,0)</f>
        <v>Red</v>
      </c>
      <c r="AJ29" t="str">
        <f>VLOOKUP($AC29,'oddspedia-matches'!$A:$AD,AJ$2,0)</f>
        <v>Green</v>
      </c>
      <c r="AK29" t="str">
        <f>VLOOKUP($AC29,'oddspedia-matches'!$A:$AD,AK$2,0)</f>
        <v>Red</v>
      </c>
      <c r="AL29" t="str">
        <f>VLOOKUP($AC29,'oddspedia-matches'!$A:$AD,AL$2,0)</f>
        <v>Red</v>
      </c>
      <c r="AM29" t="str">
        <f>VLOOKUP($AC29,'oddspedia-matches'!$A:$AD,AM$2,0)</f>
        <v>Green</v>
      </c>
      <c r="AN29" t="str">
        <f>VLOOKUP($AC29,'oddspedia-matches'!$A:$AD,AN$2,0)</f>
        <v>Green</v>
      </c>
      <c r="AO29" t="str">
        <f>VLOOKUP($AC29,'oddspedia-matches'!$A:$AD,AO$2,0)</f>
        <v>Green</v>
      </c>
      <c r="AP29" t="str">
        <f>VLOOKUP($AC29,'oddspedia-matches'!$A:$AD,AP$2,0)</f>
        <v>Green</v>
      </c>
      <c r="AQ29" t="str">
        <f>VLOOKUP($AC29,'oddspedia-matches'!$A:$AD,AQ$2,0)</f>
        <v>Red</v>
      </c>
      <c r="AR29" t="str">
        <f>VLOOKUP($AC29,'oddspedia-matches'!$A:$AD,AR$2,0)</f>
        <v>Green</v>
      </c>
      <c r="AS29" t="str">
        <f>VLOOKUP($AC29,'oddspedia-matches'!$A:$AD,AS$2,0)</f>
        <v>Green</v>
      </c>
      <c r="AT29" t="str">
        <f>VLOOKUP($AC29,'oddspedia-matches'!$A:$AD,AT$2,0)</f>
        <v>Red</v>
      </c>
    </row>
    <row r="30" spans="2:46" x14ac:dyDescent="0.25">
      <c r="B30" s="9" t="s">
        <v>473</v>
      </c>
      <c r="C30" s="7" t="s">
        <v>215</v>
      </c>
      <c r="D30" s="20">
        <v>0.8125</v>
      </c>
      <c r="E30" s="7" t="s">
        <v>236</v>
      </c>
      <c r="F30" s="7" t="s">
        <v>237</v>
      </c>
      <c r="G30" s="21" t="s">
        <v>474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s="7">
        <v>37.5</v>
      </c>
      <c r="Y30" s="7">
        <v>22.2</v>
      </c>
      <c r="Z30" s="21"/>
      <c r="AA30" t="str">
        <f>VLOOKUP(E30,'Transform table'!A:B,2,0)</f>
        <v>Novorizontino SP</v>
      </c>
      <c r="AB30" t="str">
        <f>VLOOKUP(F30,'Transform table'!A:B,2,0)</f>
        <v>Criciuma</v>
      </c>
      <c r="AC30" t="str">
        <f t="shared" si="0"/>
        <v>21/07/2026Novorizontino SPCriciuma</v>
      </c>
      <c r="AD30" t="str">
        <f>VLOOKUP($AC30,'oddspedia-matches'!$A:$AD,AD$2,0)</f>
        <v>0 - 1</v>
      </c>
      <c r="AE30" t="str">
        <f>VLOOKUP($AC30,'oddspedia-matches'!$A:$AD,AE$2,0)</f>
        <v>Red</v>
      </c>
      <c r="AF30" t="str">
        <f>VLOOKUP($AC30,'oddspedia-matches'!$A:$AD,AF$2,0)</f>
        <v>Red</v>
      </c>
      <c r="AG30" t="str">
        <f>VLOOKUP($AC30,'oddspedia-matches'!$A:$AD,AG$2,0)</f>
        <v>Green</v>
      </c>
      <c r="AH30" t="str">
        <f>VLOOKUP($AC30,'oddspedia-matches'!$A:$AD,AH$2,0)</f>
        <v>Red</v>
      </c>
      <c r="AI30" t="str">
        <f>VLOOKUP($AC30,'oddspedia-matches'!$A:$AD,AI$2,0)</f>
        <v>Green</v>
      </c>
      <c r="AJ30" t="str">
        <f>VLOOKUP($AC30,'oddspedia-matches'!$A:$AD,AJ$2,0)</f>
        <v>Green</v>
      </c>
      <c r="AK30" t="str">
        <f>VLOOKUP($AC30,'oddspedia-matches'!$A:$AD,AK$2,0)</f>
        <v>Red</v>
      </c>
      <c r="AL30" t="str">
        <f>VLOOKUP($AC30,'oddspedia-matches'!$A:$AD,AL$2,0)</f>
        <v>Green</v>
      </c>
      <c r="AM30" t="str">
        <f>VLOOKUP($AC30,'oddspedia-matches'!$A:$AD,AM$2,0)</f>
        <v>Red</v>
      </c>
      <c r="AN30" t="str">
        <f>VLOOKUP($AC30,'oddspedia-matches'!$A:$AD,AN$2,0)</f>
        <v>Red</v>
      </c>
      <c r="AO30" t="str">
        <f>VLOOKUP($AC30,'oddspedia-matches'!$A:$AD,AO$2,0)</f>
        <v>Red</v>
      </c>
      <c r="AP30" t="str">
        <f>VLOOKUP($AC30,'oddspedia-matches'!$A:$AD,AP$2,0)</f>
        <v>Red</v>
      </c>
      <c r="AQ30" t="str">
        <f>VLOOKUP($AC30,'oddspedia-matches'!$A:$AD,AQ$2,0)</f>
        <v>Green</v>
      </c>
      <c r="AR30" t="str">
        <f>VLOOKUP($AC30,'oddspedia-matches'!$A:$AD,AR$2,0)</f>
        <v>Green</v>
      </c>
      <c r="AS30" t="str">
        <f>VLOOKUP($AC30,'oddspedia-matches'!$A:$AD,AS$2,0)</f>
        <v>Red</v>
      </c>
      <c r="AT30" t="str">
        <f>VLOOKUP($AC30,'oddspedia-matches'!$A:$AD,AT$2,0)</f>
        <v>Green</v>
      </c>
    </row>
    <row r="31" spans="2:46" x14ac:dyDescent="0.25">
      <c r="B31" s="17" t="s">
        <v>475</v>
      </c>
      <c r="C31" s="8" t="s">
        <v>215</v>
      </c>
      <c r="D31" s="18">
        <v>0.83333333333333337</v>
      </c>
      <c r="E31" s="8" t="s">
        <v>238</v>
      </c>
      <c r="F31" s="8" t="s">
        <v>239</v>
      </c>
      <c r="G31" s="19" t="s">
        <v>478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s="8">
        <v>0</v>
      </c>
      <c r="Y31" s="8">
        <v>0</v>
      </c>
      <c r="Z31" s="19"/>
      <c r="AA31" t="str">
        <f>VLOOKUP(E31,'Transform table'!A:B,2,0)</f>
        <v>Independiente Petrolero</v>
      </c>
      <c r="AB31" t="str">
        <f>VLOOKUP(F31,'Transform table'!A:B,2,0)</f>
        <v>Real Potosi</v>
      </c>
      <c r="AC31" t="str">
        <f t="shared" si="0"/>
        <v>21/07/2026Independiente PetroleroReal Potosi</v>
      </c>
      <c r="AD31" t="str">
        <f>VLOOKUP($AC31,'oddspedia-matches'!$A:$AD,AD$2,0)</f>
        <v>1 - 2</v>
      </c>
      <c r="AE31" t="str">
        <f>VLOOKUP($AC31,'oddspedia-matches'!$A:$AD,AE$2,0)</f>
        <v>Red</v>
      </c>
      <c r="AF31" t="str">
        <f>VLOOKUP($AC31,'oddspedia-matches'!$A:$AD,AF$2,0)</f>
        <v>Red</v>
      </c>
      <c r="AG31" t="str">
        <f>VLOOKUP($AC31,'oddspedia-matches'!$A:$AD,AG$2,0)</f>
        <v>Green</v>
      </c>
      <c r="AH31" t="str">
        <f>VLOOKUP($AC31,'oddspedia-matches'!$A:$AD,AH$2,0)</f>
        <v>Red</v>
      </c>
      <c r="AI31" t="str">
        <f>VLOOKUP($AC31,'oddspedia-matches'!$A:$AD,AI$2,0)</f>
        <v>Green</v>
      </c>
      <c r="AJ31" t="str">
        <f>VLOOKUP($AC31,'oddspedia-matches'!$A:$AD,AJ$2,0)</f>
        <v>Green</v>
      </c>
      <c r="AK31" t="str">
        <f>VLOOKUP($AC31,'oddspedia-matches'!$A:$AD,AK$2,0)</f>
        <v>Red</v>
      </c>
      <c r="AL31" t="str">
        <f>VLOOKUP($AC31,'oddspedia-matches'!$A:$AD,AL$2,0)</f>
        <v>Green</v>
      </c>
      <c r="AM31" t="str">
        <f>VLOOKUP($AC31,'oddspedia-matches'!$A:$AD,AM$2,0)</f>
        <v>Red</v>
      </c>
      <c r="AN31" t="str">
        <f>VLOOKUP($AC31,'oddspedia-matches'!$A:$AD,AN$2,0)</f>
        <v>Green</v>
      </c>
      <c r="AO31" t="str">
        <f>VLOOKUP($AC31,'oddspedia-matches'!$A:$AD,AO$2,0)</f>
        <v>Green</v>
      </c>
      <c r="AP31" t="str">
        <f>VLOOKUP($AC31,'oddspedia-matches'!$A:$AD,AP$2,0)</f>
        <v>Green</v>
      </c>
      <c r="AQ31" t="str">
        <f>VLOOKUP($AC31,'oddspedia-matches'!$A:$AD,AQ$2,0)</f>
        <v>Red</v>
      </c>
      <c r="AR31" t="str">
        <f>VLOOKUP($AC31,'oddspedia-matches'!$A:$AD,AR$2,0)</f>
        <v>Green</v>
      </c>
      <c r="AS31" t="str">
        <f>VLOOKUP($AC31,'oddspedia-matches'!$A:$AD,AS$2,0)</f>
        <v>Green</v>
      </c>
      <c r="AT31" t="str">
        <f>VLOOKUP($AC31,'oddspedia-matches'!$A:$AD,AT$2,0)</f>
        <v>Red</v>
      </c>
    </row>
    <row r="32" spans="2:46" x14ac:dyDescent="0.25">
      <c r="B32" s="9" t="s">
        <v>470</v>
      </c>
      <c r="C32" s="7" t="s">
        <v>215</v>
      </c>
      <c r="D32" s="20">
        <v>0.875</v>
      </c>
      <c r="E32" s="7" t="s">
        <v>240</v>
      </c>
      <c r="F32" s="7" t="s">
        <v>241</v>
      </c>
      <c r="G32" s="21" t="s">
        <v>480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s="7" t="s">
        <v>22</v>
      </c>
      <c r="Y32" s="7" t="s">
        <v>22</v>
      </c>
      <c r="Z32" s="21"/>
      <c r="AA32" t="str">
        <f>VLOOKUP(E32,'Transform table'!A:B,2,0)</f>
        <v>CD Uni Catolica del Ecuador</v>
      </c>
      <c r="AB32" t="str">
        <f>VLOOKUP(F32,'Transform table'!A:B,2,0)</f>
        <v>Barcelona SC</v>
      </c>
      <c r="AC32" t="str">
        <f>C32&amp;AA32&amp;AB32</f>
        <v>21/07/2026CD Uni Catolica del EcuadorBarcelona SC</v>
      </c>
      <c r="AD32" t="str">
        <f>VLOOKUP($AC32,'oddspedia-matches'!$A:$AD,AD$2,0)</f>
        <v>2 - 1</v>
      </c>
      <c r="AE32" t="str">
        <f>VLOOKUP($AC32,'oddspedia-matches'!$A:$AD,AE$2,0)</f>
        <v>Green</v>
      </c>
      <c r="AF32" t="str">
        <f>VLOOKUP($AC32,'oddspedia-matches'!$A:$AD,AF$2,0)</f>
        <v>Red</v>
      </c>
      <c r="AG32" t="str">
        <f>VLOOKUP($AC32,'oddspedia-matches'!$A:$AD,AG$2,0)</f>
        <v>Red</v>
      </c>
      <c r="AH32" t="str">
        <f>VLOOKUP($AC32,'oddspedia-matches'!$A:$AD,AH$2,0)</f>
        <v>Green</v>
      </c>
      <c r="AI32" t="str">
        <f>VLOOKUP($AC32,'oddspedia-matches'!$A:$AD,AI$2,0)</f>
        <v>Red</v>
      </c>
      <c r="AJ32" t="str">
        <f>VLOOKUP($AC32,'oddspedia-matches'!$A:$AD,AJ$2,0)</f>
        <v>Green</v>
      </c>
      <c r="AK32" t="str">
        <f>VLOOKUP($AC32,'oddspedia-matches'!$A:$AD,AK$2,0)</f>
        <v>Green</v>
      </c>
      <c r="AL32" t="str">
        <f>VLOOKUP($AC32,'oddspedia-matches'!$A:$AD,AL$2,0)</f>
        <v>Red</v>
      </c>
      <c r="AM32" t="str">
        <f>VLOOKUP($AC32,'oddspedia-matches'!$A:$AD,AM$2,0)</f>
        <v>Red</v>
      </c>
      <c r="AN32" t="str">
        <f>VLOOKUP($AC32,'oddspedia-matches'!$A:$AD,AN$2,0)</f>
        <v>Green</v>
      </c>
      <c r="AO32" t="str">
        <f>VLOOKUP($AC32,'oddspedia-matches'!$A:$AD,AO$2,0)</f>
        <v>Green</v>
      </c>
      <c r="AP32" t="str">
        <f>VLOOKUP($AC32,'oddspedia-matches'!$A:$AD,AP$2,0)</f>
        <v>Green</v>
      </c>
      <c r="AQ32" t="str">
        <f>VLOOKUP($AC32,'oddspedia-matches'!$A:$AD,AQ$2,0)</f>
        <v>Red</v>
      </c>
      <c r="AR32" t="str">
        <f>VLOOKUP($AC32,'oddspedia-matches'!$A:$AD,AR$2,0)</f>
        <v>Green</v>
      </c>
      <c r="AS32" t="str">
        <f>VLOOKUP($AC32,'oddspedia-matches'!$A:$AD,AS$2,0)</f>
        <v>Green</v>
      </c>
      <c r="AT32" t="str">
        <f>VLOOKUP($AC32,'oddspedia-matches'!$A:$AD,AT$2,0)</f>
        <v>Red</v>
      </c>
    </row>
    <row r="33" spans="2:46" x14ac:dyDescent="0.25">
      <c r="B33" s="17" t="s">
        <v>473</v>
      </c>
      <c r="C33" s="8" t="s">
        <v>215</v>
      </c>
      <c r="D33" s="18">
        <v>0.89930555555555558</v>
      </c>
      <c r="E33" s="8" t="s">
        <v>242</v>
      </c>
      <c r="F33" s="8" t="s">
        <v>243</v>
      </c>
      <c r="G33" s="19" t="s">
        <v>480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s="8" t="s">
        <v>22</v>
      </c>
      <c r="Y33" s="8" t="s">
        <v>22</v>
      </c>
      <c r="Z33" s="19"/>
      <c r="AA33" t="str">
        <f>VLOOKUP(E33,'Transform table'!A:B,2,0)</f>
        <v>Vila Nova GO</v>
      </c>
      <c r="AB33" t="str">
        <f>VLOOKUP(F33,'Transform table'!A:B,2,0)</f>
        <v>Fortaleza EC</v>
      </c>
      <c r="AC33" t="str">
        <f t="shared" si="0"/>
        <v>21/07/2026Vila Nova GOFortaleza EC</v>
      </c>
      <c r="AD33" t="str">
        <f>VLOOKUP($AC33,'oddspedia-matches'!$A:$AD,AD$2,0)</f>
        <v>2 - 1</v>
      </c>
      <c r="AE33" t="str">
        <f>VLOOKUP($AC33,'oddspedia-matches'!$A:$AD,AE$2,0)</f>
        <v>Green</v>
      </c>
      <c r="AF33" t="str">
        <f>VLOOKUP($AC33,'oddspedia-matches'!$A:$AD,AF$2,0)</f>
        <v>Red</v>
      </c>
      <c r="AG33" t="str">
        <f>VLOOKUP($AC33,'oddspedia-matches'!$A:$AD,AG$2,0)</f>
        <v>Red</v>
      </c>
      <c r="AH33" t="str">
        <f>VLOOKUP($AC33,'oddspedia-matches'!$A:$AD,AH$2,0)</f>
        <v>Green</v>
      </c>
      <c r="AI33" t="str">
        <f>VLOOKUP($AC33,'oddspedia-matches'!$A:$AD,AI$2,0)</f>
        <v>Red</v>
      </c>
      <c r="AJ33" t="str">
        <f>VLOOKUP($AC33,'oddspedia-matches'!$A:$AD,AJ$2,0)</f>
        <v>Green</v>
      </c>
      <c r="AK33" t="str">
        <f>VLOOKUP($AC33,'oddspedia-matches'!$A:$AD,AK$2,0)</f>
        <v>Green</v>
      </c>
      <c r="AL33" t="str">
        <f>VLOOKUP($AC33,'oddspedia-matches'!$A:$AD,AL$2,0)</f>
        <v>Red</v>
      </c>
      <c r="AM33" t="str">
        <f>VLOOKUP($AC33,'oddspedia-matches'!$A:$AD,AM$2,0)</f>
        <v>Red</v>
      </c>
      <c r="AN33" t="str">
        <f>VLOOKUP($AC33,'oddspedia-matches'!$A:$AD,AN$2,0)</f>
        <v>Green</v>
      </c>
      <c r="AO33" t="str">
        <f>VLOOKUP($AC33,'oddspedia-matches'!$A:$AD,AO$2,0)</f>
        <v>Green</v>
      </c>
      <c r="AP33" t="str">
        <f>VLOOKUP($AC33,'oddspedia-matches'!$A:$AD,AP$2,0)</f>
        <v>Green</v>
      </c>
      <c r="AQ33" t="str">
        <f>VLOOKUP($AC33,'oddspedia-matches'!$A:$AD,AQ$2,0)</f>
        <v>Red</v>
      </c>
      <c r="AR33" t="str">
        <f>VLOOKUP($AC33,'oddspedia-matches'!$A:$AD,AR$2,0)</f>
        <v>Green</v>
      </c>
      <c r="AS33" t="str">
        <f>VLOOKUP($AC33,'oddspedia-matches'!$A:$AD,AS$2,0)</f>
        <v>Green</v>
      </c>
      <c r="AT33" t="str">
        <f>VLOOKUP($AC33,'oddspedia-matches'!$A:$AD,AT$2,0)</f>
        <v>Red</v>
      </c>
    </row>
    <row r="34" spans="2:46" x14ac:dyDescent="0.25">
      <c r="B34" s="9" t="s">
        <v>481</v>
      </c>
      <c r="C34" s="7" t="s">
        <v>19</v>
      </c>
      <c r="D34" s="20">
        <v>0.25</v>
      </c>
      <c r="E34" s="7" t="s">
        <v>20</v>
      </c>
      <c r="F34" s="7" t="s">
        <v>21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s="7" t="s">
        <v>22</v>
      </c>
      <c r="Y34" s="7" t="s">
        <v>22</v>
      </c>
      <c r="Z34" s="21"/>
      <c r="AA34" t="str">
        <f>VLOOKUP(E34,'Transform table'!A:B,2,0)</f>
        <v>Hamilton Olympic</v>
      </c>
      <c r="AB34" t="str">
        <f>VLOOKUP(F34,'Transform table'!A:B,2,0)</f>
        <v>Belmont Swansea United SC</v>
      </c>
      <c r="AC34" t="str">
        <f t="shared" si="0"/>
        <v>22/07/2026Hamilton OlympicBelmont Swansea United SC</v>
      </c>
      <c r="AD34" t="str">
        <f>VLOOKUP($AC34,'oddspedia-matches'!$A:$AD,AD$2,0)</f>
        <v>5 - 2</v>
      </c>
      <c r="AE34" t="str">
        <f>VLOOKUP($AC34,'oddspedia-matches'!$A:$AD,AE$2,0)</f>
        <v>Green</v>
      </c>
      <c r="AF34" t="str">
        <f>VLOOKUP($AC34,'oddspedia-matches'!$A:$AD,AF$2,0)</f>
        <v>Red</v>
      </c>
      <c r="AG34" t="str">
        <f>VLOOKUP($AC34,'oddspedia-matches'!$A:$AD,AG$2,0)</f>
        <v>Red</v>
      </c>
      <c r="AH34" t="str">
        <f>VLOOKUP($AC34,'oddspedia-matches'!$A:$AD,AH$2,0)</f>
        <v>Green</v>
      </c>
      <c r="AI34" t="str">
        <f>VLOOKUP($AC34,'oddspedia-matches'!$A:$AD,AI$2,0)</f>
        <v>Red</v>
      </c>
      <c r="AJ34" t="str">
        <f>VLOOKUP($AC34,'oddspedia-matches'!$A:$AD,AJ$2,0)</f>
        <v>Green</v>
      </c>
      <c r="AK34" t="str">
        <f>VLOOKUP($AC34,'oddspedia-matches'!$A:$AD,AK$2,0)</f>
        <v>Green</v>
      </c>
      <c r="AL34" t="str">
        <f>VLOOKUP($AC34,'oddspedia-matches'!$A:$AD,AL$2,0)</f>
        <v>Red</v>
      </c>
      <c r="AM34" t="str">
        <f>VLOOKUP($AC34,'oddspedia-matches'!$A:$AD,AM$2,0)</f>
        <v>Red</v>
      </c>
      <c r="AN34" t="str">
        <f>VLOOKUP($AC34,'oddspedia-matches'!$A:$AD,AN$2,0)</f>
        <v>Green</v>
      </c>
      <c r="AO34" t="str">
        <f>VLOOKUP($AC34,'oddspedia-matches'!$A:$AD,AO$2,0)</f>
        <v>Green</v>
      </c>
      <c r="AP34" t="str">
        <f>VLOOKUP($AC34,'oddspedia-matches'!$A:$AD,AP$2,0)</f>
        <v>Green</v>
      </c>
      <c r="AQ34" t="str">
        <f>VLOOKUP($AC34,'oddspedia-matches'!$A:$AD,AQ$2,0)</f>
        <v>Red</v>
      </c>
      <c r="AR34" t="str">
        <f>VLOOKUP($AC34,'oddspedia-matches'!$A:$AD,AR$2,0)</f>
        <v>Red</v>
      </c>
      <c r="AS34" t="str">
        <f>VLOOKUP($AC34,'oddspedia-matches'!$A:$AD,AS$2,0)</f>
        <v>Green</v>
      </c>
      <c r="AT34" t="str">
        <f>VLOOKUP($AC34,'oddspedia-matches'!$A:$AD,AT$2,0)</f>
        <v>Red</v>
      </c>
    </row>
    <row r="35" spans="2:46" x14ac:dyDescent="0.25">
      <c r="B35" s="17" t="s">
        <v>463</v>
      </c>
      <c r="C35" s="8" t="s">
        <v>19</v>
      </c>
      <c r="D35" s="18">
        <v>0.27083333333333331</v>
      </c>
      <c r="E35" s="8" t="s">
        <v>23</v>
      </c>
      <c r="F35" s="8" t="s">
        <v>24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s="8" t="s">
        <v>22</v>
      </c>
      <c r="Y35" s="8" t="s">
        <v>22</v>
      </c>
      <c r="Z35" s="19"/>
      <c r="AA35" t="str">
        <f>VLOOKUP(E35,'Transform table'!A:B,2,0)</f>
        <v>Tuggeranong United</v>
      </c>
      <c r="AB35" t="str">
        <f>VLOOKUP(F35,'Transform table'!A:B,2,0)</f>
        <v>Canberra White Eagles</v>
      </c>
      <c r="AC35" t="str">
        <f t="shared" si="0"/>
        <v>22/07/2026Tuggeranong UnitedCanberra White Eagles</v>
      </c>
      <c r="AD35" t="str">
        <f>VLOOKUP($AC35,'oddspedia-matches'!$A:$AD,AD$2,0)</f>
        <v>2 - 1</v>
      </c>
      <c r="AE35" t="str">
        <f>VLOOKUP($AC35,'oddspedia-matches'!$A:$AD,AE$2,0)</f>
        <v>Green</v>
      </c>
      <c r="AF35" t="str">
        <f>VLOOKUP($AC35,'oddspedia-matches'!$A:$AD,AF$2,0)</f>
        <v>Red</v>
      </c>
      <c r="AG35" t="str">
        <f>VLOOKUP($AC35,'oddspedia-matches'!$A:$AD,AG$2,0)</f>
        <v>Red</v>
      </c>
      <c r="AH35" t="str">
        <f>VLOOKUP($AC35,'oddspedia-matches'!$A:$AD,AH$2,0)</f>
        <v>Green</v>
      </c>
      <c r="AI35" t="str">
        <f>VLOOKUP($AC35,'oddspedia-matches'!$A:$AD,AI$2,0)</f>
        <v>Red</v>
      </c>
      <c r="AJ35" t="str">
        <f>VLOOKUP($AC35,'oddspedia-matches'!$A:$AD,AJ$2,0)</f>
        <v>Green</v>
      </c>
      <c r="AK35" t="str">
        <f>VLOOKUP($AC35,'oddspedia-matches'!$A:$AD,AK$2,0)</f>
        <v>Red</v>
      </c>
      <c r="AL35" t="str">
        <f>VLOOKUP($AC35,'oddspedia-matches'!$A:$AD,AL$2,0)</f>
        <v>Green</v>
      </c>
      <c r="AM35" t="str">
        <f>VLOOKUP($AC35,'oddspedia-matches'!$A:$AD,AM$2,0)</f>
        <v>Red</v>
      </c>
      <c r="AN35" t="str">
        <f>VLOOKUP($AC35,'oddspedia-matches'!$A:$AD,AN$2,0)</f>
        <v>Green</v>
      </c>
      <c r="AO35" t="str">
        <f>VLOOKUP($AC35,'oddspedia-matches'!$A:$AD,AO$2,0)</f>
        <v>Green</v>
      </c>
      <c r="AP35" t="str">
        <f>VLOOKUP($AC35,'oddspedia-matches'!$A:$AD,AP$2,0)</f>
        <v>Green</v>
      </c>
      <c r="AQ35" t="str">
        <f>VLOOKUP($AC35,'oddspedia-matches'!$A:$AD,AQ$2,0)</f>
        <v>Red</v>
      </c>
      <c r="AR35" t="str">
        <f>VLOOKUP($AC35,'oddspedia-matches'!$A:$AD,AR$2,0)</f>
        <v>Green</v>
      </c>
      <c r="AS35" t="str">
        <f>VLOOKUP($AC35,'oddspedia-matches'!$A:$AD,AS$2,0)</f>
        <v>Green</v>
      </c>
      <c r="AT35" t="str">
        <f>VLOOKUP($AC35,'oddspedia-matches'!$A:$AD,AT$2,0)</f>
        <v>Red</v>
      </c>
    </row>
    <row r="36" spans="2:46" x14ac:dyDescent="0.25">
      <c r="B36" s="9" t="s">
        <v>482</v>
      </c>
      <c r="C36" s="7" t="s">
        <v>19</v>
      </c>
      <c r="D36" s="20">
        <v>0.30208333333333331</v>
      </c>
      <c r="E36" s="7" t="s">
        <v>25</v>
      </c>
      <c r="F36" s="7" t="s">
        <v>26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s="7" t="s">
        <v>22</v>
      </c>
      <c r="Y36" s="7" t="s">
        <v>22</v>
      </c>
      <c r="Z36" s="21"/>
      <c r="AA36" t="str">
        <f>VLOOKUP(E36,'Transform table'!A:B,2,0)</f>
        <v>Launceston City</v>
      </c>
      <c r="AB36" t="str">
        <f>VLOOKUP(F36,'Transform table'!A:B,2,0)</f>
        <v>Launceston United</v>
      </c>
      <c r="AC36" t="str">
        <f t="shared" si="0"/>
        <v>22/07/2026Launceston CityLaunceston United</v>
      </c>
      <c r="AD36" t="str">
        <f>VLOOKUP($AC36,'oddspedia-matches'!$A:$AD,AD$2,0)</f>
        <v>4 - 2</v>
      </c>
      <c r="AE36" t="str">
        <f>VLOOKUP($AC36,'oddspedia-matches'!$A:$AD,AE$2,0)</f>
        <v>Green</v>
      </c>
      <c r="AF36" t="str">
        <f>VLOOKUP($AC36,'oddspedia-matches'!$A:$AD,AF$2,0)</f>
        <v>Red</v>
      </c>
      <c r="AG36" t="str">
        <f>VLOOKUP($AC36,'oddspedia-matches'!$A:$AD,AG$2,0)</f>
        <v>Red</v>
      </c>
      <c r="AH36" t="str">
        <f>VLOOKUP($AC36,'oddspedia-matches'!$A:$AD,AH$2,0)</f>
        <v>Green</v>
      </c>
      <c r="AI36" t="str">
        <f>VLOOKUP($AC36,'oddspedia-matches'!$A:$AD,AI$2,0)</f>
        <v>Red</v>
      </c>
      <c r="AJ36" t="str">
        <f>VLOOKUP($AC36,'oddspedia-matches'!$A:$AD,AJ$2,0)</f>
        <v>Green</v>
      </c>
      <c r="AK36" t="str">
        <f>VLOOKUP($AC36,'oddspedia-matches'!$A:$AD,AK$2,0)</f>
        <v>Green</v>
      </c>
      <c r="AL36" t="str">
        <f>VLOOKUP($AC36,'oddspedia-matches'!$A:$AD,AL$2,0)</f>
        <v>Red</v>
      </c>
      <c r="AM36" t="str">
        <f>VLOOKUP($AC36,'oddspedia-matches'!$A:$AD,AM$2,0)</f>
        <v>Red</v>
      </c>
      <c r="AN36" t="str">
        <f>VLOOKUP($AC36,'oddspedia-matches'!$A:$AD,AN$2,0)</f>
        <v>Green</v>
      </c>
      <c r="AO36" t="str">
        <f>VLOOKUP($AC36,'oddspedia-matches'!$A:$AD,AO$2,0)</f>
        <v>Green</v>
      </c>
      <c r="AP36" t="str">
        <f>VLOOKUP($AC36,'oddspedia-matches'!$A:$AD,AP$2,0)</f>
        <v>Green</v>
      </c>
      <c r="AQ36" t="str">
        <f>VLOOKUP($AC36,'oddspedia-matches'!$A:$AD,AQ$2,0)</f>
        <v>Red</v>
      </c>
      <c r="AR36" t="str">
        <f>VLOOKUP($AC36,'oddspedia-matches'!$A:$AD,AR$2,0)</f>
        <v>Red</v>
      </c>
      <c r="AS36" t="str">
        <f>VLOOKUP($AC36,'oddspedia-matches'!$A:$AD,AS$2,0)</f>
        <v>Green</v>
      </c>
      <c r="AT36" t="str">
        <f>VLOOKUP($AC36,'oddspedia-matches'!$A:$AD,AT$2,0)</f>
        <v>Red</v>
      </c>
    </row>
    <row r="37" spans="2:46" x14ac:dyDescent="0.25">
      <c r="B37" s="17" t="s">
        <v>464</v>
      </c>
      <c r="C37" s="8" t="s">
        <v>19</v>
      </c>
      <c r="D37" s="18">
        <v>0.3125</v>
      </c>
      <c r="E37" s="8" t="s">
        <v>27</v>
      </c>
      <c r="F37" s="8" t="s">
        <v>28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s="8">
        <v>11.1</v>
      </c>
      <c r="Y37" s="8">
        <v>33.299999999999997</v>
      </c>
      <c r="Z37" s="19"/>
      <c r="AA37" t="str">
        <f>VLOOKUP(E37,'Transform table'!A:B,2,0)</f>
        <v>Bucheon 1995</v>
      </c>
      <c r="AB37" t="str">
        <f>VLOOKUP(F37,'Transform table'!A:B,2,0)</f>
        <v>Anyang</v>
      </c>
      <c r="AC37" t="str">
        <f t="shared" si="0"/>
        <v>22/07/2026Bucheon 1995Anyang</v>
      </c>
      <c r="AD37" t="str">
        <f>VLOOKUP($AC37,'oddspedia-matches'!$A:$AD,AD$2,0)</f>
        <v>2 - 3</v>
      </c>
      <c r="AE37" t="str">
        <f>VLOOKUP($AC37,'oddspedia-matches'!$A:$AD,AE$2,0)</f>
        <v>Red</v>
      </c>
      <c r="AF37" t="str">
        <f>VLOOKUP($AC37,'oddspedia-matches'!$A:$AD,AF$2,0)</f>
        <v>Red</v>
      </c>
      <c r="AG37" t="str">
        <f>VLOOKUP($AC37,'oddspedia-matches'!$A:$AD,AG$2,0)</f>
        <v>Green</v>
      </c>
      <c r="AH37" t="str">
        <f>VLOOKUP($AC37,'oddspedia-matches'!$A:$AD,AH$2,0)</f>
        <v>Red</v>
      </c>
      <c r="AI37" t="str">
        <f>VLOOKUP($AC37,'oddspedia-matches'!$A:$AD,AI$2,0)</f>
        <v>Green</v>
      </c>
      <c r="AJ37" t="str">
        <f>VLOOKUP($AC37,'oddspedia-matches'!$A:$AD,AJ$2,0)</f>
        <v>Green</v>
      </c>
      <c r="AK37" t="str">
        <f>VLOOKUP($AC37,'oddspedia-matches'!$A:$AD,AK$2,0)</f>
        <v>Red</v>
      </c>
      <c r="AL37" t="str">
        <f>VLOOKUP($AC37,'oddspedia-matches'!$A:$AD,AL$2,0)</f>
        <v>Green</v>
      </c>
      <c r="AM37" t="str">
        <f>VLOOKUP($AC37,'oddspedia-matches'!$A:$AD,AM$2,0)</f>
        <v>Red</v>
      </c>
      <c r="AN37" t="str">
        <f>VLOOKUP($AC37,'oddspedia-matches'!$A:$AD,AN$2,0)</f>
        <v>Green</v>
      </c>
      <c r="AO37" t="str">
        <f>VLOOKUP($AC37,'oddspedia-matches'!$A:$AD,AO$2,0)</f>
        <v>Green</v>
      </c>
      <c r="AP37" t="str">
        <f>VLOOKUP($AC37,'oddspedia-matches'!$A:$AD,AP$2,0)</f>
        <v>Green</v>
      </c>
      <c r="AQ37" t="str">
        <f>VLOOKUP($AC37,'oddspedia-matches'!$A:$AD,AQ$2,0)</f>
        <v>Red</v>
      </c>
      <c r="AR37" t="str">
        <f>VLOOKUP($AC37,'oddspedia-matches'!$A:$AD,AR$2,0)</f>
        <v>Red</v>
      </c>
      <c r="AS37" t="str">
        <f>VLOOKUP($AC37,'oddspedia-matches'!$A:$AD,AS$2,0)</f>
        <v>Green</v>
      </c>
      <c r="AT37" t="str">
        <f>VLOOKUP($AC37,'oddspedia-matches'!$A:$AD,AT$2,0)</f>
        <v>Red</v>
      </c>
    </row>
    <row r="38" spans="2:46" x14ac:dyDescent="0.25">
      <c r="B38" s="9" t="s">
        <v>464</v>
      </c>
      <c r="C38" s="7" t="s">
        <v>19</v>
      </c>
      <c r="D38" s="20">
        <v>0.3125</v>
      </c>
      <c r="E38" s="7" t="s">
        <v>29</v>
      </c>
      <c r="F38" s="7" t="s">
        <v>30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s="7">
        <v>12.5</v>
      </c>
      <c r="Y38" s="7">
        <v>20</v>
      </c>
      <c r="Z38" s="21"/>
      <c r="AA38" t="str">
        <f>VLOOKUP(E38,'Transform table'!A:B,2,0)</f>
        <v>FC Seoul</v>
      </c>
      <c r="AB38" t="str">
        <f>VLOOKUP(F38,'Transform table'!A:B,2,0)</f>
        <v>Pohang Steelers</v>
      </c>
      <c r="AC38" t="str">
        <f t="shared" si="0"/>
        <v>22/07/2026FC SeoulPohang Steelers</v>
      </c>
      <c r="AD38" t="str">
        <f>VLOOKUP($AC38,'oddspedia-matches'!$A:$AD,AD$2,0)</f>
        <v>3 - 1</v>
      </c>
      <c r="AE38" t="str">
        <f>VLOOKUP($AC38,'oddspedia-matches'!$A:$AD,AE$2,0)</f>
        <v>Green</v>
      </c>
      <c r="AF38" t="str">
        <f>VLOOKUP($AC38,'oddspedia-matches'!$A:$AD,AF$2,0)</f>
        <v>Red</v>
      </c>
      <c r="AG38" t="str">
        <f>VLOOKUP($AC38,'oddspedia-matches'!$A:$AD,AG$2,0)</f>
        <v>Red</v>
      </c>
      <c r="AH38" t="str">
        <f>VLOOKUP($AC38,'oddspedia-matches'!$A:$AD,AH$2,0)</f>
        <v>Green</v>
      </c>
      <c r="AI38" t="str">
        <f>VLOOKUP($AC38,'oddspedia-matches'!$A:$AD,AI$2,0)</f>
        <v>Red</v>
      </c>
      <c r="AJ38" t="str">
        <f>VLOOKUP($AC38,'oddspedia-matches'!$A:$AD,AJ$2,0)</f>
        <v>Green</v>
      </c>
      <c r="AK38" t="str">
        <f>VLOOKUP($AC38,'oddspedia-matches'!$A:$AD,AK$2,0)</f>
        <v>Green</v>
      </c>
      <c r="AL38" t="str">
        <f>VLOOKUP($AC38,'oddspedia-matches'!$A:$AD,AL$2,0)</f>
        <v>Red</v>
      </c>
      <c r="AM38" t="str">
        <f>VLOOKUP($AC38,'oddspedia-matches'!$A:$AD,AM$2,0)</f>
        <v>Red</v>
      </c>
      <c r="AN38" t="str">
        <f>VLOOKUP($AC38,'oddspedia-matches'!$A:$AD,AN$2,0)</f>
        <v>Green</v>
      </c>
      <c r="AO38" t="str">
        <f>VLOOKUP($AC38,'oddspedia-matches'!$A:$AD,AO$2,0)</f>
        <v>Green</v>
      </c>
      <c r="AP38" t="str">
        <f>VLOOKUP($AC38,'oddspedia-matches'!$A:$AD,AP$2,0)</f>
        <v>Green</v>
      </c>
      <c r="AQ38" t="str">
        <f>VLOOKUP($AC38,'oddspedia-matches'!$A:$AD,AQ$2,0)</f>
        <v>Red</v>
      </c>
      <c r="AR38" t="str">
        <f>VLOOKUP($AC38,'oddspedia-matches'!$A:$AD,AR$2,0)</f>
        <v>Red</v>
      </c>
      <c r="AS38" t="str">
        <f>VLOOKUP($AC38,'oddspedia-matches'!$A:$AD,AS$2,0)</f>
        <v>Green</v>
      </c>
      <c r="AT38" t="str">
        <f>VLOOKUP($AC38,'oddspedia-matches'!$A:$AD,AT$2,0)</f>
        <v>Red</v>
      </c>
    </row>
    <row r="39" spans="2:46" x14ac:dyDescent="0.25">
      <c r="B39" s="17" t="s">
        <v>464</v>
      </c>
      <c r="C39" s="8" t="s">
        <v>19</v>
      </c>
      <c r="D39" s="18">
        <v>0.3125</v>
      </c>
      <c r="E39" s="8" t="s">
        <v>31</v>
      </c>
      <c r="F39" s="8" t="s">
        <v>32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s="8">
        <v>11.1</v>
      </c>
      <c r="Y39" s="8">
        <v>11.1</v>
      </c>
      <c r="Z39" s="19"/>
      <c r="AA39" t="str">
        <f>VLOOKUP(E39,'Transform table'!A:B,2,0)</f>
        <v>Gwangju</v>
      </c>
      <c r="AB39" t="str">
        <f>VLOOKUP(F39,'Transform table'!A:B,2,0)</f>
        <v>Sangju Sangmu</v>
      </c>
      <c r="AC39" t="str">
        <f t="shared" si="0"/>
        <v>22/07/2026GwangjuSangju Sangmu</v>
      </c>
      <c r="AD39" t="str">
        <f>VLOOKUP($AC39,'oddspedia-matches'!$A:$AD,AD$2,0)</f>
        <v>1 - 1</v>
      </c>
      <c r="AE39" t="str">
        <f>VLOOKUP($AC39,'oddspedia-matches'!$A:$AD,AE$2,0)</f>
        <v>Red</v>
      </c>
      <c r="AF39" t="str">
        <f>VLOOKUP($AC39,'oddspedia-matches'!$A:$AD,AF$2,0)</f>
        <v>Green</v>
      </c>
      <c r="AG39" t="str">
        <f>VLOOKUP($AC39,'oddspedia-matches'!$A:$AD,AG$2,0)</f>
        <v>Red</v>
      </c>
      <c r="AH39" t="str">
        <f>VLOOKUP($AC39,'oddspedia-matches'!$A:$AD,AH$2,0)</f>
        <v>Green</v>
      </c>
      <c r="AI39" t="str">
        <f>VLOOKUP($AC39,'oddspedia-matches'!$A:$AD,AI$2,0)</f>
        <v>Green</v>
      </c>
      <c r="AJ39" t="str">
        <f>VLOOKUP($AC39,'oddspedia-matches'!$A:$AD,AJ$2,0)</f>
        <v>Red</v>
      </c>
      <c r="AK39" t="str">
        <f>VLOOKUP($AC39,'oddspedia-matches'!$A:$AD,AK$2,0)</f>
        <v>Red</v>
      </c>
      <c r="AL39" t="str">
        <f>VLOOKUP($AC39,'oddspedia-matches'!$A:$AD,AL$2,0)</f>
        <v>Green</v>
      </c>
      <c r="AM39" t="str">
        <f>VLOOKUP($AC39,'oddspedia-matches'!$A:$AD,AM$2,0)</f>
        <v>Red</v>
      </c>
      <c r="AN39" t="str">
        <f>VLOOKUP($AC39,'oddspedia-matches'!$A:$AD,AN$2,0)</f>
        <v>Green</v>
      </c>
      <c r="AO39" t="str">
        <f>VLOOKUP($AC39,'oddspedia-matches'!$A:$AD,AO$2,0)</f>
        <v>Green</v>
      </c>
      <c r="AP39" t="str">
        <f>VLOOKUP($AC39,'oddspedia-matches'!$A:$AD,AP$2,0)</f>
        <v>Red</v>
      </c>
      <c r="AQ39" t="str">
        <f>VLOOKUP($AC39,'oddspedia-matches'!$A:$AD,AQ$2,0)</f>
        <v>Green</v>
      </c>
      <c r="AR39" t="str">
        <f>VLOOKUP($AC39,'oddspedia-matches'!$A:$AD,AR$2,0)</f>
        <v>Green</v>
      </c>
      <c r="AS39" t="str">
        <f>VLOOKUP($AC39,'oddspedia-matches'!$A:$AD,AS$2,0)</f>
        <v>Green</v>
      </c>
      <c r="AT39" t="str">
        <f>VLOOKUP($AC39,'oddspedia-matches'!$A:$AD,AT$2,0)</f>
        <v>Red</v>
      </c>
    </row>
    <row r="40" spans="2:46" x14ac:dyDescent="0.25">
      <c r="B40" s="9" t="s">
        <v>483</v>
      </c>
      <c r="C40" s="7" t="s">
        <v>19</v>
      </c>
      <c r="D40" s="20">
        <v>0.58333333333333337</v>
      </c>
      <c r="E40" s="7" t="s">
        <v>33</v>
      </c>
      <c r="F40" s="7" t="s">
        <v>34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s="7">
        <v>0</v>
      </c>
      <c r="Y40" s="7">
        <v>40</v>
      </c>
      <c r="Z40" s="21"/>
      <c r="AA40" t="str">
        <f>VLOOKUP(E40,'Transform table'!A:B,2,0)</f>
        <v>Bodo/Glimt</v>
      </c>
      <c r="AB40" t="str">
        <f>VLOOKUP(F40,'Transform table'!A:B,2,0)</f>
        <v>HamKam</v>
      </c>
      <c r="AC40" t="str">
        <f t="shared" si="0"/>
        <v>22/07/2026Bodo/GlimtHamKam</v>
      </c>
      <c r="AD40" t="str">
        <f>VLOOKUP($AC40,'oddspedia-matches'!$A:$AD,AD$2,0)</f>
        <v>3 - 0</v>
      </c>
      <c r="AE40" t="str">
        <f>VLOOKUP($AC40,'oddspedia-matches'!$A:$AD,AE$2,0)</f>
        <v>Green</v>
      </c>
      <c r="AF40" t="str">
        <f>VLOOKUP($AC40,'oddspedia-matches'!$A:$AD,AF$2,0)</f>
        <v>Red</v>
      </c>
      <c r="AG40" t="str">
        <f>VLOOKUP($AC40,'oddspedia-matches'!$A:$AD,AG$2,0)</f>
        <v>Red</v>
      </c>
      <c r="AH40" t="str">
        <f>VLOOKUP($AC40,'oddspedia-matches'!$A:$AD,AH$2,0)</f>
        <v>Green</v>
      </c>
      <c r="AI40" t="str">
        <f>VLOOKUP($AC40,'oddspedia-matches'!$A:$AD,AI$2,0)</f>
        <v>Red</v>
      </c>
      <c r="AJ40" t="str">
        <f>VLOOKUP($AC40,'oddspedia-matches'!$A:$AD,AJ$2,0)</f>
        <v>Green</v>
      </c>
      <c r="AK40" t="str">
        <f>VLOOKUP($AC40,'oddspedia-matches'!$A:$AD,AK$2,0)</f>
        <v>Green</v>
      </c>
      <c r="AL40" t="str">
        <f>VLOOKUP($AC40,'oddspedia-matches'!$A:$AD,AL$2,0)</f>
        <v>Red</v>
      </c>
      <c r="AM40" t="str">
        <f>VLOOKUP($AC40,'oddspedia-matches'!$A:$AD,AM$2,0)</f>
        <v>Red</v>
      </c>
      <c r="AN40" t="str">
        <f>VLOOKUP($AC40,'oddspedia-matches'!$A:$AD,AN$2,0)</f>
        <v>Green</v>
      </c>
      <c r="AO40" t="str">
        <f>VLOOKUP($AC40,'oddspedia-matches'!$A:$AD,AO$2,0)</f>
        <v>Green</v>
      </c>
      <c r="AP40" t="str">
        <f>VLOOKUP($AC40,'oddspedia-matches'!$A:$AD,AP$2,0)</f>
        <v>Green</v>
      </c>
      <c r="AQ40" t="str">
        <f>VLOOKUP($AC40,'oddspedia-matches'!$A:$AD,AQ$2,0)</f>
        <v>Red</v>
      </c>
      <c r="AR40" t="str">
        <f>VLOOKUP($AC40,'oddspedia-matches'!$A:$AD,AR$2,0)</f>
        <v>Green</v>
      </c>
      <c r="AS40" t="str">
        <f>VLOOKUP($AC40,'oddspedia-matches'!$A:$AD,AS$2,0)</f>
        <v>Red</v>
      </c>
      <c r="AT40" t="str">
        <f>VLOOKUP($AC40,'oddspedia-matches'!$A:$AD,AT$2,0)</f>
        <v>Green</v>
      </c>
    </row>
    <row r="41" spans="2:46" x14ac:dyDescent="0.25">
      <c r="B41" s="17" t="s">
        <v>483</v>
      </c>
      <c r="C41" s="8" t="s">
        <v>19</v>
      </c>
      <c r="D41" s="18">
        <v>0.58333333333333337</v>
      </c>
      <c r="E41" s="8" t="s">
        <v>35</v>
      </c>
      <c r="F41" s="8" t="s">
        <v>36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s="8" t="s">
        <v>22</v>
      </c>
      <c r="Y41" s="8" t="s">
        <v>22</v>
      </c>
      <c r="Z41" s="19"/>
      <c r="AA41" t="str">
        <f>VLOOKUP(E41,'Transform table'!A:B,2,0)</f>
        <v>Lillestrom</v>
      </c>
      <c r="AB41" t="str">
        <f>VLOOKUP(F41,'Transform table'!A:B,2,0)</f>
        <v>Viking</v>
      </c>
      <c r="AC41" t="str">
        <f t="shared" si="0"/>
        <v>22/07/2026LillestromViking</v>
      </c>
      <c r="AD41" t="str">
        <f>VLOOKUP($AC41,'oddspedia-matches'!$A:$AD,AD$2,0)</f>
        <v>1 - 2</v>
      </c>
      <c r="AE41" t="str">
        <f>VLOOKUP($AC41,'oddspedia-matches'!$A:$AD,AE$2,0)</f>
        <v>Red</v>
      </c>
      <c r="AF41" t="str">
        <f>VLOOKUP($AC41,'oddspedia-matches'!$A:$AD,AF$2,0)</f>
        <v>Red</v>
      </c>
      <c r="AG41" t="str">
        <f>VLOOKUP($AC41,'oddspedia-matches'!$A:$AD,AG$2,0)</f>
        <v>Green</v>
      </c>
      <c r="AH41" t="str">
        <f>VLOOKUP($AC41,'oddspedia-matches'!$A:$AD,AH$2,0)</f>
        <v>Red</v>
      </c>
      <c r="AI41" t="str">
        <f>VLOOKUP($AC41,'oddspedia-matches'!$A:$AD,AI$2,0)</f>
        <v>Green</v>
      </c>
      <c r="AJ41" t="str">
        <f>VLOOKUP($AC41,'oddspedia-matches'!$A:$AD,AJ$2,0)</f>
        <v>Green</v>
      </c>
      <c r="AK41" t="str">
        <f>VLOOKUP($AC41,'oddspedia-matches'!$A:$AD,AK$2,0)</f>
        <v>Red</v>
      </c>
      <c r="AL41" t="str">
        <f>VLOOKUP($AC41,'oddspedia-matches'!$A:$AD,AL$2,0)</f>
        <v>Red</v>
      </c>
      <c r="AM41" t="str">
        <f>VLOOKUP($AC41,'oddspedia-matches'!$A:$AD,AM$2,0)</f>
        <v>Green</v>
      </c>
      <c r="AN41" t="str">
        <f>VLOOKUP($AC41,'oddspedia-matches'!$A:$AD,AN$2,0)</f>
        <v>Green</v>
      </c>
      <c r="AO41" t="str">
        <f>VLOOKUP($AC41,'oddspedia-matches'!$A:$AD,AO$2,0)</f>
        <v>Green</v>
      </c>
      <c r="AP41" t="str">
        <f>VLOOKUP($AC41,'oddspedia-matches'!$A:$AD,AP$2,0)</f>
        <v>Green</v>
      </c>
      <c r="AQ41" t="str">
        <f>VLOOKUP($AC41,'oddspedia-matches'!$A:$AD,AQ$2,0)</f>
        <v>Red</v>
      </c>
      <c r="AR41" t="str">
        <f>VLOOKUP($AC41,'oddspedia-matches'!$A:$AD,AR$2,0)</f>
        <v>Green</v>
      </c>
      <c r="AS41" t="str">
        <f>VLOOKUP($AC41,'oddspedia-matches'!$A:$AD,AS$2,0)</f>
        <v>Green</v>
      </c>
      <c r="AT41" t="str">
        <f>VLOOKUP($AC41,'oddspedia-matches'!$A:$AD,AT$2,0)</f>
        <v>Red</v>
      </c>
    </row>
    <row r="42" spans="2:46" x14ac:dyDescent="0.25">
      <c r="B42" s="9" t="s">
        <v>470</v>
      </c>
      <c r="C42" s="7" t="s">
        <v>19</v>
      </c>
      <c r="D42" s="20">
        <v>0.66666666666666663</v>
      </c>
      <c r="E42" s="7" t="s">
        <v>37</v>
      </c>
      <c r="F42" s="7" t="s">
        <v>38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s="7">
        <v>0</v>
      </c>
      <c r="Y42" s="7">
        <v>10</v>
      </c>
      <c r="Z42" s="21"/>
      <c r="AA42" t="str">
        <f>VLOOKUP(E42,'Transform table'!A:B,2,0)</f>
        <v>CSD Macara</v>
      </c>
      <c r="AB42" t="str">
        <f>VLOOKUP(F42,'Transform table'!A:B,2,0)</f>
        <v>Deportivo Cuenca</v>
      </c>
      <c r="AC42" t="str">
        <f t="shared" si="0"/>
        <v>22/07/2026CSD MacaraDeportivo Cuenca</v>
      </c>
      <c r="AD42" t="str">
        <f>VLOOKUP($AC42,'oddspedia-matches'!$A:$AD,AD$2,0)</f>
        <v>3 - 0</v>
      </c>
      <c r="AE42" t="str">
        <f>VLOOKUP($AC42,'oddspedia-matches'!$A:$AD,AE$2,0)</f>
        <v>Green</v>
      </c>
      <c r="AF42" t="str">
        <f>VLOOKUP($AC42,'oddspedia-matches'!$A:$AD,AF$2,0)</f>
        <v>Red</v>
      </c>
      <c r="AG42" t="str">
        <f>VLOOKUP($AC42,'oddspedia-matches'!$A:$AD,AG$2,0)</f>
        <v>Red</v>
      </c>
      <c r="AH42" t="str">
        <f>VLOOKUP($AC42,'oddspedia-matches'!$A:$AD,AH$2,0)</f>
        <v>Green</v>
      </c>
      <c r="AI42" t="str">
        <f>VLOOKUP($AC42,'oddspedia-matches'!$A:$AD,AI$2,0)</f>
        <v>Red</v>
      </c>
      <c r="AJ42" t="str">
        <f>VLOOKUP($AC42,'oddspedia-matches'!$A:$AD,AJ$2,0)</f>
        <v>Green</v>
      </c>
      <c r="AK42" t="str">
        <f>VLOOKUP($AC42,'oddspedia-matches'!$A:$AD,AK$2,0)</f>
        <v>Green</v>
      </c>
      <c r="AL42" t="str">
        <f>VLOOKUP($AC42,'oddspedia-matches'!$A:$AD,AL$2,0)</f>
        <v>Red</v>
      </c>
      <c r="AM42" t="str">
        <f>VLOOKUP($AC42,'oddspedia-matches'!$A:$AD,AM$2,0)</f>
        <v>Red</v>
      </c>
      <c r="AN42" t="str">
        <f>VLOOKUP($AC42,'oddspedia-matches'!$A:$AD,AN$2,0)</f>
        <v>Green</v>
      </c>
      <c r="AO42" t="str">
        <f>VLOOKUP($AC42,'oddspedia-matches'!$A:$AD,AO$2,0)</f>
        <v>Green</v>
      </c>
      <c r="AP42" t="str">
        <f>VLOOKUP($AC42,'oddspedia-matches'!$A:$AD,AP$2,0)</f>
        <v>Green</v>
      </c>
      <c r="AQ42" t="str">
        <f>VLOOKUP($AC42,'oddspedia-matches'!$A:$AD,AQ$2,0)</f>
        <v>Red</v>
      </c>
      <c r="AR42" t="str">
        <f>VLOOKUP($AC42,'oddspedia-matches'!$A:$AD,AR$2,0)</f>
        <v>Green</v>
      </c>
      <c r="AS42" t="str">
        <f>VLOOKUP($AC42,'oddspedia-matches'!$A:$AD,AS$2,0)</f>
        <v>Red</v>
      </c>
      <c r="AT42" t="str">
        <f>VLOOKUP($AC42,'oddspedia-matches'!$A:$AD,AT$2,0)</f>
        <v>Green</v>
      </c>
    </row>
    <row r="43" spans="2:46" x14ac:dyDescent="0.25">
      <c r="B43" s="17" t="s">
        <v>470</v>
      </c>
      <c r="C43" s="8" t="s">
        <v>19</v>
      </c>
      <c r="D43" s="18">
        <v>0.77083333333333337</v>
      </c>
      <c r="E43" s="8" t="s">
        <v>39</v>
      </c>
      <c r="F43" s="8" t="s">
        <v>40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s="8">
        <v>30</v>
      </c>
      <c r="Y43" s="8">
        <v>11.1</v>
      </c>
      <c r="Z43" s="19"/>
      <c r="AA43" t="str">
        <f>VLOOKUP(E43,'Transform table'!A:B,2,0)</f>
        <v>Independiente del Valle</v>
      </c>
      <c r="AB43" t="str">
        <f>VLOOKUP(F43,'Transform table'!A:B,2,0)</f>
        <v>Tecnico Universitario</v>
      </c>
      <c r="AC43" t="str">
        <f t="shared" si="0"/>
        <v>22/07/2026Independiente del ValleTecnico Universitario</v>
      </c>
      <c r="AD43" t="str">
        <f>VLOOKUP($AC43,'oddspedia-matches'!$A:$AD,AD$2,0)</f>
        <v>3 - 0</v>
      </c>
      <c r="AE43" t="str">
        <f>VLOOKUP($AC43,'oddspedia-matches'!$A:$AD,AE$2,0)</f>
        <v>Green</v>
      </c>
      <c r="AF43" t="str">
        <f>VLOOKUP($AC43,'oddspedia-matches'!$A:$AD,AF$2,0)</f>
        <v>Red</v>
      </c>
      <c r="AG43" t="str">
        <f>VLOOKUP($AC43,'oddspedia-matches'!$A:$AD,AG$2,0)</f>
        <v>Red</v>
      </c>
      <c r="AH43" t="str">
        <f>VLOOKUP($AC43,'oddspedia-matches'!$A:$AD,AH$2,0)</f>
        <v>Green</v>
      </c>
      <c r="AI43" t="str">
        <f>VLOOKUP($AC43,'oddspedia-matches'!$A:$AD,AI$2,0)</f>
        <v>Red</v>
      </c>
      <c r="AJ43" t="str">
        <f>VLOOKUP($AC43,'oddspedia-matches'!$A:$AD,AJ$2,0)</f>
        <v>Green</v>
      </c>
      <c r="AK43" t="str">
        <f>VLOOKUP($AC43,'oddspedia-matches'!$A:$AD,AK$2,0)</f>
        <v>Green</v>
      </c>
      <c r="AL43" t="str">
        <f>VLOOKUP($AC43,'oddspedia-matches'!$A:$AD,AL$2,0)</f>
        <v>Red</v>
      </c>
      <c r="AM43" t="str">
        <f>VLOOKUP($AC43,'oddspedia-matches'!$A:$AD,AM$2,0)</f>
        <v>Red</v>
      </c>
      <c r="AN43" t="str">
        <f>VLOOKUP($AC43,'oddspedia-matches'!$A:$AD,AN$2,0)</f>
        <v>Green</v>
      </c>
      <c r="AO43" t="str">
        <f>VLOOKUP($AC43,'oddspedia-matches'!$A:$AD,AO$2,0)</f>
        <v>Green</v>
      </c>
      <c r="AP43" t="str">
        <f>VLOOKUP($AC43,'oddspedia-matches'!$A:$AD,AP$2,0)</f>
        <v>Green</v>
      </c>
      <c r="AQ43" t="str">
        <f>VLOOKUP($AC43,'oddspedia-matches'!$A:$AD,AQ$2,0)</f>
        <v>Red</v>
      </c>
      <c r="AR43" t="str">
        <f>VLOOKUP($AC43,'oddspedia-matches'!$A:$AD,AR$2,0)</f>
        <v>Green</v>
      </c>
      <c r="AS43" t="str">
        <f>VLOOKUP($AC43,'oddspedia-matches'!$A:$AD,AS$2,0)</f>
        <v>Red</v>
      </c>
      <c r="AT43" t="str">
        <f>VLOOKUP($AC43,'oddspedia-matches'!$A:$AD,AT$2,0)</f>
        <v>Green</v>
      </c>
    </row>
    <row r="44" spans="2:46" x14ac:dyDescent="0.25">
      <c r="B44" s="9" t="s">
        <v>472</v>
      </c>
      <c r="C44" s="7" t="s">
        <v>19</v>
      </c>
      <c r="D44" s="20">
        <v>0.8125</v>
      </c>
      <c r="E44" s="7" t="s">
        <v>41</v>
      </c>
      <c r="F44" s="7" t="s">
        <v>42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s="7" t="s">
        <v>22</v>
      </c>
      <c r="Y44" s="7" t="s">
        <v>22</v>
      </c>
      <c r="Z44" s="21"/>
      <c r="AA44" t="str">
        <f>VLOOKUP(E44,'Transform table'!A:B,2,0)</f>
        <v>Coritiba PR</v>
      </c>
      <c r="AB44" t="str">
        <f>VLOOKUP(F44,'Transform table'!A:B,2,0)</f>
        <v>Palmeiras</v>
      </c>
      <c r="AC44" t="str">
        <f t="shared" si="0"/>
        <v>22/07/2026Coritiba PRPalmeiras</v>
      </c>
      <c r="AD44" t="str">
        <f>VLOOKUP($AC44,'oddspedia-matches'!$A:$AD,AD$2,0)</f>
        <v>1 - 3</v>
      </c>
      <c r="AE44" t="str">
        <f>VLOOKUP($AC44,'oddspedia-matches'!$A:$AD,AE$2,0)</f>
        <v>Red</v>
      </c>
      <c r="AF44" t="str">
        <f>VLOOKUP($AC44,'oddspedia-matches'!$A:$AD,AF$2,0)</f>
        <v>Red</v>
      </c>
      <c r="AG44" t="str">
        <f>VLOOKUP($AC44,'oddspedia-matches'!$A:$AD,AG$2,0)</f>
        <v>Green</v>
      </c>
      <c r="AH44" t="str">
        <f>VLOOKUP($AC44,'oddspedia-matches'!$A:$AD,AH$2,0)</f>
        <v>Red</v>
      </c>
      <c r="AI44" t="str">
        <f>VLOOKUP($AC44,'oddspedia-matches'!$A:$AD,AI$2,0)</f>
        <v>Green</v>
      </c>
      <c r="AJ44" t="str">
        <f>VLOOKUP($AC44,'oddspedia-matches'!$A:$AD,AJ$2,0)</f>
        <v>Green</v>
      </c>
      <c r="AK44" t="str">
        <f>VLOOKUP($AC44,'oddspedia-matches'!$A:$AD,AK$2,0)</f>
        <v>Red</v>
      </c>
      <c r="AL44" t="str">
        <f>VLOOKUP($AC44,'oddspedia-matches'!$A:$AD,AL$2,0)</f>
        <v>Red</v>
      </c>
      <c r="AM44" t="str">
        <f>VLOOKUP($AC44,'oddspedia-matches'!$A:$AD,AM$2,0)</f>
        <v>Green</v>
      </c>
      <c r="AN44" t="str">
        <f>VLOOKUP($AC44,'oddspedia-matches'!$A:$AD,AN$2,0)</f>
        <v>Green</v>
      </c>
      <c r="AO44" t="str">
        <f>VLOOKUP($AC44,'oddspedia-matches'!$A:$AD,AO$2,0)</f>
        <v>Green</v>
      </c>
      <c r="AP44" t="str">
        <f>VLOOKUP($AC44,'oddspedia-matches'!$A:$AD,AP$2,0)</f>
        <v>Green</v>
      </c>
      <c r="AQ44" t="str">
        <f>VLOOKUP($AC44,'oddspedia-matches'!$A:$AD,AQ$2,0)</f>
        <v>Red</v>
      </c>
      <c r="AR44" t="str">
        <f>VLOOKUP($AC44,'oddspedia-matches'!$A:$AD,AR$2,0)</f>
        <v>Red</v>
      </c>
      <c r="AS44" t="str">
        <f>VLOOKUP($AC44,'oddspedia-matches'!$A:$AD,AS$2,0)</f>
        <v>Green</v>
      </c>
      <c r="AT44" t="str">
        <f>VLOOKUP($AC44,'oddspedia-matches'!$A:$AD,AT$2,0)</f>
        <v>Red</v>
      </c>
    </row>
    <row r="45" spans="2:46" x14ac:dyDescent="0.25">
      <c r="B45" s="17" t="s">
        <v>473</v>
      </c>
      <c r="C45" s="8" t="s">
        <v>19</v>
      </c>
      <c r="D45" s="18">
        <v>0.8125</v>
      </c>
      <c r="E45" s="8" t="s">
        <v>43</v>
      </c>
      <c r="F45" s="8" t="s">
        <v>44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s="8" t="s">
        <v>22</v>
      </c>
      <c r="Y45" s="8" t="s">
        <v>22</v>
      </c>
      <c r="Z45" s="19"/>
      <c r="AA45" t="str">
        <f>VLOOKUP(E45,'Transform table'!A:B,2,0)</f>
        <v>Ceara</v>
      </c>
      <c r="AB45" t="str">
        <f>VLOOKUP(F45,'Transform table'!A:B,2,0)</f>
        <v>Clube de Regatas Brasil</v>
      </c>
      <c r="AC45" t="str">
        <f t="shared" si="0"/>
        <v>22/07/2026CearaClube de Regatas Brasil</v>
      </c>
      <c r="AD45" t="str">
        <f>VLOOKUP($AC45,'oddspedia-matches'!$A:$AD,AD$2,0)</f>
        <v>0 - 1</v>
      </c>
      <c r="AE45" t="str">
        <f>VLOOKUP($AC45,'oddspedia-matches'!$A:$AD,AE$2,0)</f>
        <v>Red</v>
      </c>
      <c r="AF45" t="str">
        <f>VLOOKUP($AC45,'oddspedia-matches'!$A:$AD,AF$2,0)</f>
        <v>Red</v>
      </c>
      <c r="AG45" t="str">
        <f>VLOOKUP($AC45,'oddspedia-matches'!$A:$AD,AG$2,0)</f>
        <v>Green</v>
      </c>
      <c r="AH45" t="str">
        <f>VLOOKUP($AC45,'oddspedia-matches'!$A:$AD,AH$2,0)</f>
        <v>Red</v>
      </c>
      <c r="AI45" t="str">
        <f>VLOOKUP($AC45,'oddspedia-matches'!$A:$AD,AI$2,0)</f>
        <v>Green</v>
      </c>
      <c r="AJ45" t="str">
        <f>VLOOKUP($AC45,'oddspedia-matches'!$A:$AD,AJ$2,0)</f>
        <v>Green</v>
      </c>
      <c r="AK45" t="str">
        <f>VLOOKUP($AC45,'oddspedia-matches'!$A:$AD,AK$2,0)</f>
        <v>Red</v>
      </c>
      <c r="AL45" t="str">
        <f>VLOOKUP($AC45,'oddspedia-matches'!$A:$AD,AL$2,0)</f>
        <v>Red</v>
      </c>
      <c r="AM45" t="str">
        <f>VLOOKUP($AC45,'oddspedia-matches'!$A:$AD,AM$2,0)</f>
        <v>Green</v>
      </c>
      <c r="AN45" t="str">
        <f>VLOOKUP($AC45,'oddspedia-matches'!$A:$AD,AN$2,0)</f>
        <v>Green</v>
      </c>
      <c r="AO45" t="str">
        <f>VLOOKUP($AC45,'oddspedia-matches'!$A:$AD,AO$2,0)</f>
        <v>Red</v>
      </c>
      <c r="AP45" t="str">
        <f>VLOOKUP($AC45,'oddspedia-matches'!$A:$AD,AP$2,0)</f>
        <v>Red</v>
      </c>
      <c r="AQ45" t="str">
        <f>VLOOKUP($AC45,'oddspedia-matches'!$A:$AD,AQ$2,0)</f>
        <v>Green</v>
      </c>
      <c r="AR45" t="str">
        <f>VLOOKUP($AC45,'oddspedia-matches'!$A:$AD,AR$2,0)</f>
        <v>Green</v>
      </c>
      <c r="AS45" t="str">
        <f>VLOOKUP($AC45,'oddspedia-matches'!$A:$AD,AS$2,0)</f>
        <v>Red</v>
      </c>
      <c r="AT45" t="str">
        <f>VLOOKUP($AC45,'oddspedia-matches'!$A:$AD,AT$2,0)</f>
        <v>Green</v>
      </c>
    </row>
    <row r="46" spans="2:46" x14ac:dyDescent="0.25">
      <c r="B46" s="9" t="s">
        <v>473</v>
      </c>
      <c r="C46" s="7" t="s">
        <v>19</v>
      </c>
      <c r="D46" s="20">
        <v>0.8125</v>
      </c>
      <c r="E46" s="7" t="s">
        <v>45</v>
      </c>
      <c r="F46" s="7" t="s">
        <v>46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s="7" t="s">
        <v>22</v>
      </c>
      <c r="Y46" s="7" t="s">
        <v>22</v>
      </c>
      <c r="Z46" s="21"/>
      <c r="AA46" t="str">
        <f>VLOOKUP(E46,'Transform table'!A:B,2,0)</f>
        <v>Operario PR</v>
      </c>
      <c r="AB46" t="str">
        <f>VLOOKUP(F46,'Transform table'!A:B,2,0)</f>
        <v>Ponte Preta</v>
      </c>
      <c r="AC46" t="str">
        <f t="shared" si="0"/>
        <v>22/07/2026Operario PRPonte Preta</v>
      </c>
      <c r="AD46" t="str">
        <f>VLOOKUP($AC46,'oddspedia-matches'!$A:$AD,AD$2,0)</f>
        <v>3 - 2</v>
      </c>
      <c r="AE46" t="str">
        <f>VLOOKUP($AC46,'oddspedia-matches'!$A:$AD,AE$2,0)</f>
        <v>Green</v>
      </c>
      <c r="AF46" t="str">
        <f>VLOOKUP($AC46,'oddspedia-matches'!$A:$AD,AF$2,0)</f>
        <v>Red</v>
      </c>
      <c r="AG46" t="str">
        <f>VLOOKUP($AC46,'oddspedia-matches'!$A:$AD,AG$2,0)</f>
        <v>Red</v>
      </c>
      <c r="AH46" t="str">
        <f>VLOOKUP($AC46,'oddspedia-matches'!$A:$AD,AH$2,0)</f>
        <v>Green</v>
      </c>
      <c r="AI46" t="str">
        <f>VLOOKUP($AC46,'oddspedia-matches'!$A:$AD,AI$2,0)</f>
        <v>Red</v>
      </c>
      <c r="AJ46" t="str">
        <f>VLOOKUP($AC46,'oddspedia-matches'!$A:$AD,AJ$2,0)</f>
        <v>Green</v>
      </c>
      <c r="AK46" t="str">
        <f>VLOOKUP($AC46,'oddspedia-matches'!$A:$AD,AK$2,0)</f>
        <v>Red</v>
      </c>
      <c r="AL46" t="str">
        <f>VLOOKUP($AC46,'oddspedia-matches'!$A:$AD,AL$2,0)</f>
        <v>Green</v>
      </c>
      <c r="AM46" t="str">
        <f>VLOOKUP($AC46,'oddspedia-matches'!$A:$AD,AM$2,0)</f>
        <v>Red</v>
      </c>
      <c r="AN46" t="str">
        <f>VLOOKUP($AC46,'oddspedia-matches'!$A:$AD,AN$2,0)</f>
        <v>Green</v>
      </c>
      <c r="AO46" t="str">
        <f>VLOOKUP($AC46,'oddspedia-matches'!$A:$AD,AO$2,0)</f>
        <v>Green</v>
      </c>
      <c r="AP46" t="str">
        <f>VLOOKUP($AC46,'oddspedia-matches'!$A:$AD,AP$2,0)</f>
        <v>Green</v>
      </c>
      <c r="AQ46" t="str">
        <f>VLOOKUP($AC46,'oddspedia-matches'!$A:$AD,AQ$2,0)</f>
        <v>Red</v>
      </c>
      <c r="AR46" t="str">
        <f>VLOOKUP($AC46,'oddspedia-matches'!$A:$AD,AR$2,0)</f>
        <v>Red</v>
      </c>
      <c r="AS46" t="str">
        <f>VLOOKUP($AC46,'oddspedia-matches'!$A:$AD,AS$2,0)</f>
        <v>Green</v>
      </c>
      <c r="AT46" t="str">
        <f>VLOOKUP($AC46,'oddspedia-matches'!$A:$AD,AT$2,0)</f>
        <v>Red</v>
      </c>
    </row>
    <row r="47" spans="2:46" x14ac:dyDescent="0.25">
      <c r="B47" s="17" t="s">
        <v>484</v>
      </c>
      <c r="C47" s="8" t="s">
        <v>19</v>
      </c>
      <c r="D47" s="18">
        <v>0.8125</v>
      </c>
      <c r="E47" s="8" t="s">
        <v>47</v>
      </c>
      <c r="F47" s="8" t="s">
        <v>48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s="8">
        <v>0</v>
      </c>
      <c r="Y47" s="8">
        <v>20</v>
      </c>
      <c r="Z47" s="19"/>
      <c r="AA47" t="str">
        <f>VLOOKUP(E47,'Transform table'!A:B,2,0)</f>
        <v>Carolina Core</v>
      </c>
      <c r="AB47" t="str">
        <f>VLOOKUP(F47,'Transform table'!A:B,2,0)</f>
        <v>Inter Miami II</v>
      </c>
      <c r="AC47" t="str">
        <f t="shared" si="0"/>
        <v>22/07/2026Carolina CoreInter Miami II</v>
      </c>
      <c r="AD47" t="str">
        <f>VLOOKUP($AC47,'oddspedia-matches'!$A:$AD,AD$2,0)</f>
        <v>4 - 0</v>
      </c>
      <c r="AE47" t="str">
        <f>VLOOKUP($AC47,'oddspedia-matches'!$A:$AD,AE$2,0)</f>
        <v>Green</v>
      </c>
      <c r="AF47" t="str">
        <f>VLOOKUP($AC47,'oddspedia-matches'!$A:$AD,AF$2,0)</f>
        <v>Red</v>
      </c>
      <c r="AG47" t="str">
        <f>VLOOKUP($AC47,'oddspedia-matches'!$A:$AD,AG$2,0)</f>
        <v>Red</v>
      </c>
      <c r="AH47" t="str">
        <f>VLOOKUP($AC47,'oddspedia-matches'!$A:$AD,AH$2,0)</f>
        <v>Green</v>
      </c>
      <c r="AI47" t="str">
        <f>VLOOKUP($AC47,'oddspedia-matches'!$A:$AD,AI$2,0)</f>
        <v>Red</v>
      </c>
      <c r="AJ47" t="str">
        <f>VLOOKUP($AC47,'oddspedia-matches'!$A:$AD,AJ$2,0)</f>
        <v>Green</v>
      </c>
      <c r="AK47" t="str">
        <f>VLOOKUP($AC47,'oddspedia-matches'!$A:$AD,AK$2,0)</f>
        <v>Green</v>
      </c>
      <c r="AL47" t="str">
        <f>VLOOKUP($AC47,'oddspedia-matches'!$A:$AD,AL$2,0)</f>
        <v>Red</v>
      </c>
      <c r="AM47" t="str">
        <f>VLOOKUP($AC47,'oddspedia-matches'!$A:$AD,AM$2,0)</f>
        <v>Red</v>
      </c>
      <c r="AN47" t="str">
        <f>VLOOKUP($AC47,'oddspedia-matches'!$A:$AD,AN$2,0)</f>
        <v>Green</v>
      </c>
      <c r="AO47" t="str">
        <f>VLOOKUP($AC47,'oddspedia-matches'!$A:$AD,AO$2,0)</f>
        <v>Green</v>
      </c>
      <c r="AP47" t="str">
        <f>VLOOKUP($AC47,'oddspedia-matches'!$A:$AD,AP$2,0)</f>
        <v>Green</v>
      </c>
      <c r="AQ47" t="str">
        <f>VLOOKUP($AC47,'oddspedia-matches'!$A:$AD,AQ$2,0)</f>
        <v>Red</v>
      </c>
      <c r="AR47" t="str">
        <f>VLOOKUP($AC47,'oddspedia-matches'!$A:$AD,AR$2,0)</f>
        <v>Red</v>
      </c>
      <c r="AS47" t="str">
        <f>VLOOKUP($AC47,'oddspedia-matches'!$A:$AD,AS$2,0)</f>
        <v>Red</v>
      </c>
      <c r="AT47" t="str">
        <f>VLOOKUP($AC47,'oddspedia-matches'!$A:$AD,AT$2,0)</f>
        <v>Green</v>
      </c>
    </row>
    <row r="48" spans="2:46" x14ac:dyDescent="0.25">
      <c r="B48" s="9" t="s">
        <v>485</v>
      </c>
      <c r="C48" s="7" t="s">
        <v>19</v>
      </c>
      <c r="D48" s="20">
        <v>0.83333333333333337</v>
      </c>
      <c r="E48" s="7" t="s">
        <v>49</v>
      </c>
      <c r="F48" s="7" t="s">
        <v>50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s="7">
        <v>0</v>
      </c>
      <c r="Y48" s="7">
        <v>57.1</v>
      </c>
      <c r="Z48" s="21"/>
      <c r="AA48" t="str">
        <f>VLOOKUP(E48,'Transform table'!A:B,2,0)</f>
        <v>Lexington SC</v>
      </c>
      <c r="AB48" t="str">
        <f>VLOOKUP(F48,'Transform table'!A:B,2,0)</f>
        <v>Oakland Roots</v>
      </c>
      <c r="AC48" t="str">
        <f t="shared" si="0"/>
        <v>22/07/2026Lexington SCOakland Roots</v>
      </c>
      <c r="AD48" t="str">
        <f>VLOOKUP($AC48,'oddspedia-matches'!$A:$AD,AD$2,0)</f>
        <v>2 - 0</v>
      </c>
      <c r="AE48" t="str">
        <f>VLOOKUP($AC48,'oddspedia-matches'!$A:$AD,AE$2,0)</f>
        <v>Green</v>
      </c>
      <c r="AF48" t="str">
        <f>VLOOKUP($AC48,'oddspedia-matches'!$A:$AD,AF$2,0)</f>
        <v>Red</v>
      </c>
      <c r="AG48" t="str">
        <f>VLOOKUP($AC48,'oddspedia-matches'!$A:$AD,AG$2,0)</f>
        <v>Red</v>
      </c>
      <c r="AH48" t="str">
        <f>VLOOKUP($AC48,'oddspedia-matches'!$A:$AD,AH$2,0)</f>
        <v>Green</v>
      </c>
      <c r="AI48" t="str">
        <f>VLOOKUP($AC48,'oddspedia-matches'!$A:$AD,AI$2,0)</f>
        <v>Red</v>
      </c>
      <c r="AJ48" t="str">
        <f>VLOOKUP($AC48,'oddspedia-matches'!$A:$AD,AJ$2,0)</f>
        <v>Green</v>
      </c>
      <c r="AK48" t="str">
        <f>VLOOKUP($AC48,'oddspedia-matches'!$A:$AD,AK$2,0)</f>
        <v>Red</v>
      </c>
      <c r="AL48" t="str">
        <f>VLOOKUP($AC48,'oddspedia-matches'!$A:$AD,AL$2,0)</f>
        <v>Green</v>
      </c>
      <c r="AM48" t="str">
        <f>VLOOKUP($AC48,'oddspedia-matches'!$A:$AD,AM$2,0)</f>
        <v>Red</v>
      </c>
      <c r="AN48" t="str">
        <f>VLOOKUP($AC48,'oddspedia-matches'!$A:$AD,AN$2,0)</f>
        <v>Red</v>
      </c>
      <c r="AO48" t="str">
        <f>VLOOKUP($AC48,'oddspedia-matches'!$A:$AD,AO$2,0)</f>
        <v>Green</v>
      </c>
      <c r="AP48" t="str">
        <f>VLOOKUP($AC48,'oddspedia-matches'!$A:$AD,AP$2,0)</f>
        <v>Red</v>
      </c>
      <c r="AQ48" t="str">
        <f>VLOOKUP($AC48,'oddspedia-matches'!$A:$AD,AQ$2,0)</f>
        <v>Green</v>
      </c>
      <c r="AR48" t="str">
        <f>VLOOKUP($AC48,'oddspedia-matches'!$A:$AD,AR$2,0)</f>
        <v>Green</v>
      </c>
      <c r="AS48" t="str">
        <f>VLOOKUP($AC48,'oddspedia-matches'!$A:$AD,AS$2,0)</f>
        <v>Red</v>
      </c>
      <c r="AT48" t="str">
        <f>VLOOKUP($AC48,'oddspedia-matches'!$A:$AD,AT$2,0)</f>
        <v>Green</v>
      </c>
    </row>
    <row r="49" spans="2:46" x14ac:dyDescent="0.25">
      <c r="B49" s="17" t="s">
        <v>473</v>
      </c>
      <c r="C49" s="8" t="s">
        <v>19</v>
      </c>
      <c r="D49" s="18">
        <v>0.85416666666666663</v>
      </c>
      <c r="E49" s="8" t="s">
        <v>51</v>
      </c>
      <c r="F49" s="8" t="s">
        <v>52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s="8">
        <v>25</v>
      </c>
      <c r="Y49" s="8">
        <v>0</v>
      </c>
      <c r="Z49" s="19"/>
      <c r="AA49" t="str">
        <f>VLOOKUP(E49,'Transform table'!A:B,2,0)</f>
        <v>Goias</v>
      </c>
      <c r="AB49" t="str">
        <f>VLOOKUP(F49,'Transform table'!A:B,2,0)</f>
        <v>Sport Recife</v>
      </c>
      <c r="AC49" t="str">
        <f t="shared" si="0"/>
        <v>22/07/2026GoiasSport Recife</v>
      </c>
      <c r="AD49" t="str">
        <f>VLOOKUP($AC49,'oddspedia-matches'!$A:$AD,AD$2,0)</f>
        <v>1 - 1</v>
      </c>
      <c r="AE49" t="str">
        <f>VLOOKUP($AC49,'oddspedia-matches'!$A:$AD,AE$2,0)</f>
        <v>Red</v>
      </c>
      <c r="AF49" t="str">
        <f>VLOOKUP($AC49,'oddspedia-matches'!$A:$AD,AF$2,0)</f>
        <v>Green</v>
      </c>
      <c r="AG49" t="str">
        <f>VLOOKUP($AC49,'oddspedia-matches'!$A:$AD,AG$2,0)</f>
        <v>Red</v>
      </c>
      <c r="AH49" t="str">
        <f>VLOOKUP($AC49,'oddspedia-matches'!$A:$AD,AH$2,0)</f>
        <v>Green</v>
      </c>
      <c r="AI49" t="str">
        <f>VLOOKUP($AC49,'oddspedia-matches'!$A:$AD,AI$2,0)</f>
        <v>Green</v>
      </c>
      <c r="AJ49" t="str">
        <f>VLOOKUP($AC49,'oddspedia-matches'!$A:$AD,AJ$2,0)</f>
        <v>Red</v>
      </c>
      <c r="AK49" t="str">
        <f>VLOOKUP($AC49,'oddspedia-matches'!$A:$AD,AK$2,0)</f>
        <v>Red</v>
      </c>
      <c r="AL49" t="str">
        <f>VLOOKUP($AC49,'oddspedia-matches'!$A:$AD,AL$2,0)</f>
        <v>Red</v>
      </c>
      <c r="AM49" t="str">
        <f>VLOOKUP($AC49,'oddspedia-matches'!$A:$AD,AM$2,0)</f>
        <v>Green</v>
      </c>
      <c r="AN49" t="str">
        <f>VLOOKUP($AC49,'oddspedia-matches'!$A:$AD,AN$2,0)</f>
        <v>Green</v>
      </c>
      <c r="AO49" t="str">
        <f>VLOOKUP($AC49,'oddspedia-matches'!$A:$AD,AO$2,0)</f>
        <v>Green</v>
      </c>
      <c r="AP49" t="str">
        <f>VLOOKUP($AC49,'oddspedia-matches'!$A:$AD,AP$2,0)</f>
        <v>Red</v>
      </c>
      <c r="AQ49" t="str">
        <f>VLOOKUP($AC49,'oddspedia-matches'!$A:$AD,AQ$2,0)</f>
        <v>Green</v>
      </c>
      <c r="AR49" t="str">
        <f>VLOOKUP($AC49,'oddspedia-matches'!$A:$AD,AR$2,0)</f>
        <v>Green</v>
      </c>
      <c r="AS49" t="str">
        <f>VLOOKUP($AC49,'oddspedia-matches'!$A:$AD,AS$2,0)</f>
        <v>Green</v>
      </c>
      <c r="AT49" t="str">
        <f>VLOOKUP($AC49,'oddspedia-matches'!$A:$AD,AT$2,0)</f>
        <v>Red</v>
      </c>
    </row>
    <row r="50" spans="2:46" x14ac:dyDescent="0.25">
      <c r="B50" s="9" t="s">
        <v>486</v>
      </c>
      <c r="C50" s="7" t="s">
        <v>19</v>
      </c>
      <c r="D50" s="20">
        <v>0.85416666666666663</v>
      </c>
      <c r="E50" s="7" t="s">
        <v>53</v>
      </c>
      <c r="F50" s="7" t="s">
        <v>54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s="7">
        <v>14.3</v>
      </c>
      <c r="Y50" s="7">
        <v>28.6</v>
      </c>
      <c r="Z50" s="21"/>
      <c r="AA50" t="str">
        <f>VLOOKUP(E50,'Transform table'!A:B,2,0)</f>
        <v>Columbus Crew</v>
      </c>
      <c r="AB50" t="str">
        <f>VLOOKUP(F50,'Transform table'!A:B,2,0)</f>
        <v>New York City</v>
      </c>
      <c r="AC50" t="str">
        <f t="shared" si="0"/>
        <v>22/07/2026Columbus CrewNew York City</v>
      </c>
      <c r="AD50" t="str">
        <f>VLOOKUP($AC50,'oddspedia-matches'!$A:$AD,AD$2,0)</f>
        <v>1 - 2</v>
      </c>
      <c r="AE50" t="str">
        <f>VLOOKUP($AC50,'oddspedia-matches'!$A:$AD,AE$2,0)</f>
        <v>Red</v>
      </c>
      <c r="AF50" t="str">
        <f>VLOOKUP($AC50,'oddspedia-matches'!$A:$AD,AF$2,0)</f>
        <v>Red</v>
      </c>
      <c r="AG50" t="str">
        <f>VLOOKUP($AC50,'oddspedia-matches'!$A:$AD,AG$2,0)</f>
        <v>Green</v>
      </c>
      <c r="AH50" t="str">
        <f>VLOOKUP($AC50,'oddspedia-matches'!$A:$AD,AH$2,0)</f>
        <v>Red</v>
      </c>
      <c r="AI50" t="str">
        <f>VLOOKUP($AC50,'oddspedia-matches'!$A:$AD,AI$2,0)</f>
        <v>Green</v>
      </c>
      <c r="AJ50" t="str">
        <f>VLOOKUP($AC50,'oddspedia-matches'!$A:$AD,AJ$2,0)</f>
        <v>Green</v>
      </c>
      <c r="AK50" t="str">
        <f>VLOOKUP($AC50,'oddspedia-matches'!$A:$AD,AK$2,0)</f>
        <v>Red</v>
      </c>
      <c r="AL50" t="str">
        <f>VLOOKUP($AC50,'oddspedia-matches'!$A:$AD,AL$2,0)</f>
        <v>Red</v>
      </c>
      <c r="AM50" t="str">
        <f>VLOOKUP($AC50,'oddspedia-matches'!$A:$AD,AM$2,0)</f>
        <v>Green</v>
      </c>
      <c r="AN50" t="str">
        <f>VLOOKUP($AC50,'oddspedia-matches'!$A:$AD,AN$2,0)</f>
        <v>Green</v>
      </c>
      <c r="AO50" t="str">
        <f>VLOOKUP($AC50,'oddspedia-matches'!$A:$AD,AO$2,0)</f>
        <v>Green</v>
      </c>
      <c r="AP50" t="str">
        <f>VLOOKUP($AC50,'oddspedia-matches'!$A:$AD,AP$2,0)</f>
        <v>Green</v>
      </c>
      <c r="AQ50" t="str">
        <f>VLOOKUP($AC50,'oddspedia-matches'!$A:$AD,AQ$2,0)</f>
        <v>Red</v>
      </c>
      <c r="AR50" t="str">
        <f>VLOOKUP($AC50,'oddspedia-matches'!$A:$AD,AR$2,0)</f>
        <v>Green</v>
      </c>
      <c r="AS50" t="str">
        <f>VLOOKUP($AC50,'oddspedia-matches'!$A:$AD,AS$2,0)</f>
        <v>Green</v>
      </c>
      <c r="AT50" t="str">
        <f>VLOOKUP($AC50,'oddspedia-matches'!$A:$AD,AT$2,0)</f>
        <v>Red</v>
      </c>
    </row>
    <row r="51" spans="2:46" x14ac:dyDescent="0.25">
      <c r="B51" s="17" t="s">
        <v>486</v>
      </c>
      <c r="C51" s="8" t="s">
        <v>19</v>
      </c>
      <c r="D51" s="18">
        <v>0.85416666666666663</v>
      </c>
      <c r="E51" s="8" t="s">
        <v>55</v>
      </c>
      <c r="F51" s="8" t="s">
        <v>56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s="8">
        <v>14.3</v>
      </c>
      <c r="Y51" s="8">
        <v>33.299999999999997</v>
      </c>
      <c r="Z51" s="19"/>
      <c r="AA51" t="str">
        <f>VLOOKUP(E51,'Transform table'!A:B,2,0)</f>
        <v>FC Cincinnati</v>
      </c>
      <c r="AB51" t="str">
        <f>VLOOKUP(F51,'Transform table'!A:B,2,0)</f>
        <v>Vancouver Whitecaps</v>
      </c>
      <c r="AC51" t="str">
        <f t="shared" si="0"/>
        <v>22/07/2026FC CincinnatiVancouver Whitecaps</v>
      </c>
      <c r="AD51" t="str">
        <f>VLOOKUP($AC51,'oddspedia-matches'!$A:$AD,AD$2,0)</f>
        <v>4 - 3</v>
      </c>
      <c r="AE51" t="str">
        <f>VLOOKUP($AC51,'oddspedia-matches'!$A:$AD,AE$2,0)</f>
        <v>Green</v>
      </c>
      <c r="AF51" t="str">
        <f>VLOOKUP($AC51,'oddspedia-matches'!$A:$AD,AF$2,0)</f>
        <v>Red</v>
      </c>
      <c r="AG51" t="str">
        <f>VLOOKUP($AC51,'oddspedia-matches'!$A:$AD,AG$2,0)</f>
        <v>Red</v>
      </c>
      <c r="AH51" t="str">
        <f>VLOOKUP($AC51,'oddspedia-matches'!$A:$AD,AH$2,0)</f>
        <v>Green</v>
      </c>
      <c r="AI51" t="str">
        <f>VLOOKUP($AC51,'oddspedia-matches'!$A:$AD,AI$2,0)</f>
        <v>Red</v>
      </c>
      <c r="AJ51" t="str">
        <f>VLOOKUP($AC51,'oddspedia-matches'!$A:$AD,AJ$2,0)</f>
        <v>Green</v>
      </c>
      <c r="AK51" t="str">
        <f>VLOOKUP($AC51,'oddspedia-matches'!$A:$AD,AK$2,0)</f>
        <v>Green</v>
      </c>
      <c r="AL51" t="str">
        <f>VLOOKUP($AC51,'oddspedia-matches'!$A:$AD,AL$2,0)</f>
        <v>Red</v>
      </c>
      <c r="AM51" t="str">
        <f>VLOOKUP($AC51,'oddspedia-matches'!$A:$AD,AM$2,0)</f>
        <v>Red</v>
      </c>
      <c r="AN51" t="str">
        <f>VLOOKUP($AC51,'oddspedia-matches'!$A:$AD,AN$2,0)</f>
        <v>Green</v>
      </c>
      <c r="AO51" t="str">
        <f>VLOOKUP($AC51,'oddspedia-matches'!$A:$AD,AO$2,0)</f>
        <v>Green</v>
      </c>
      <c r="AP51" t="str">
        <f>VLOOKUP($AC51,'oddspedia-matches'!$A:$AD,AP$2,0)</f>
        <v>Green</v>
      </c>
      <c r="AQ51" t="str">
        <f>VLOOKUP($AC51,'oddspedia-matches'!$A:$AD,AQ$2,0)</f>
        <v>Red</v>
      </c>
      <c r="AR51" t="str">
        <f>VLOOKUP($AC51,'oddspedia-matches'!$A:$AD,AR$2,0)</f>
        <v>Red</v>
      </c>
      <c r="AS51" t="str">
        <f>VLOOKUP($AC51,'oddspedia-matches'!$A:$AD,AS$2,0)</f>
        <v>Green</v>
      </c>
      <c r="AT51" t="str">
        <f>VLOOKUP($AC51,'oddspedia-matches'!$A:$AD,AT$2,0)</f>
        <v>Red</v>
      </c>
    </row>
    <row r="52" spans="2:46" x14ac:dyDescent="0.25">
      <c r="B52" s="9" t="s">
        <v>486</v>
      </c>
      <c r="C52" s="7" t="s">
        <v>19</v>
      </c>
      <c r="D52" s="20">
        <v>0.85416666666666663</v>
      </c>
      <c r="E52" s="7" t="s">
        <v>57</v>
      </c>
      <c r="F52" s="7" t="s">
        <v>58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s="7">
        <v>50</v>
      </c>
      <c r="Y52" s="7">
        <v>0</v>
      </c>
      <c r="Z52" s="21"/>
      <c r="AA52" t="str">
        <f>VLOOKUP(E52,'Transform table'!A:B,2,0)</f>
        <v>Inter Miami CF</v>
      </c>
      <c r="AB52" t="str">
        <f>VLOOKUP(F52,'Transform table'!A:B,2,0)</f>
        <v>Chicago Fire</v>
      </c>
      <c r="AC52" t="str">
        <f t="shared" si="0"/>
        <v>22/07/2026Inter Miami CFChicago Fire</v>
      </c>
      <c r="AD52" t="str">
        <f>VLOOKUP($AC52,'oddspedia-matches'!$A:$AD,AD$2,0)</f>
        <v>3 - 2</v>
      </c>
      <c r="AE52" t="str">
        <f>VLOOKUP($AC52,'oddspedia-matches'!$A:$AD,AE$2,0)</f>
        <v>Green</v>
      </c>
      <c r="AF52" t="str">
        <f>VLOOKUP($AC52,'oddspedia-matches'!$A:$AD,AF$2,0)</f>
        <v>Red</v>
      </c>
      <c r="AG52" t="str">
        <f>VLOOKUP($AC52,'oddspedia-matches'!$A:$AD,AG$2,0)</f>
        <v>Red</v>
      </c>
      <c r="AH52" t="str">
        <f>VLOOKUP($AC52,'oddspedia-matches'!$A:$AD,AH$2,0)</f>
        <v>Green</v>
      </c>
      <c r="AI52" t="str">
        <f>VLOOKUP($AC52,'oddspedia-matches'!$A:$AD,AI$2,0)</f>
        <v>Red</v>
      </c>
      <c r="AJ52" t="str">
        <f>VLOOKUP($AC52,'oddspedia-matches'!$A:$AD,AJ$2,0)</f>
        <v>Green</v>
      </c>
      <c r="AK52" t="str">
        <f>VLOOKUP($AC52,'oddspedia-matches'!$A:$AD,AK$2,0)</f>
        <v>Red</v>
      </c>
      <c r="AL52" t="str">
        <f>VLOOKUP($AC52,'oddspedia-matches'!$A:$AD,AL$2,0)</f>
        <v>Green</v>
      </c>
      <c r="AM52" t="str">
        <f>VLOOKUP($AC52,'oddspedia-matches'!$A:$AD,AM$2,0)</f>
        <v>Red</v>
      </c>
      <c r="AN52" t="str">
        <f>VLOOKUP($AC52,'oddspedia-matches'!$A:$AD,AN$2,0)</f>
        <v>Green</v>
      </c>
      <c r="AO52" t="str">
        <f>VLOOKUP($AC52,'oddspedia-matches'!$A:$AD,AO$2,0)</f>
        <v>Green</v>
      </c>
      <c r="AP52" t="str">
        <f>VLOOKUP($AC52,'oddspedia-matches'!$A:$AD,AP$2,0)</f>
        <v>Green</v>
      </c>
      <c r="AQ52" t="str">
        <f>VLOOKUP($AC52,'oddspedia-matches'!$A:$AD,AQ$2,0)</f>
        <v>Red</v>
      </c>
      <c r="AR52" t="str">
        <f>VLOOKUP($AC52,'oddspedia-matches'!$A:$AD,AR$2,0)</f>
        <v>Red</v>
      </c>
      <c r="AS52" t="str">
        <f>VLOOKUP($AC52,'oddspedia-matches'!$A:$AD,AS$2,0)</f>
        <v>Green</v>
      </c>
      <c r="AT52" t="str">
        <f>VLOOKUP($AC52,'oddspedia-matches'!$A:$AD,AT$2,0)</f>
        <v>Red</v>
      </c>
    </row>
    <row r="53" spans="2:46" x14ac:dyDescent="0.25">
      <c r="B53" s="17" t="s">
        <v>486</v>
      </c>
      <c r="C53" s="8" t="s">
        <v>19</v>
      </c>
      <c r="D53" s="18">
        <v>0.85416666666666663</v>
      </c>
      <c r="E53" s="8" t="s">
        <v>59</v>
      </c>
      <c r="F53" s="8" t="s">
        <v>60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s="8">
        <v>25</v>
      </c>
      <c r="Y53" s="8">
        <v>16.7</v>
      </c>
      <c r="Z53" s="19"/>
      <c r="AA53" t="str">
        <f>VLOOKUP(E53,'Transform table'!A:B,2,0)</f>
        <v>New England Revolution</v>
      </c>
      <c r="AB53" t="str">
        <f>VLOOKUP(F53,'Transform table'!A:B,2,0)</f>
        <v>Toronto FC</v>
      </c>
      <c r="AC53" t="str">
        <f t="shared" si="0"/>
        <v>22/07/2026New England RevolutionToronto FC</v>
      </c>
      <c r="AD53" t="str">
        <f>VLOOKUP($AC53,'oddspedia-matches'!$A:$AD,AD$2,0)</f>
        <v>0 - 0</v>
      </c>
      <c r="AE53" t="str">
        <f>VLOOKUP($AC53,'oddspedia-matches'!$A:$AD,AE$2,0)</f>
        <v>Red</v>
      </c>
      <c r="AF53" t="str">
        <f>VLOOKUP($AC53,'oddspedia-matches'!$A:$AD,AF$2,0)</f>
        <v>Green</v>
      </c>
      <c r="AG53" t="str">
        <f>VLOOKUP($AC53,'oddspedia-matches'!$A:$AD,AG$2,0)</f>
        <v>Red</v>
      </c>
      <c r="AH53" t="str">
        <f>VLOOKUP($AC53,'oddspedia-matches'!$A:$AD,AH$2,0)</f>
        <v>Green</v>
      </c>
      <c r="AI53" t="str">
        <f>VLOOKUP($AC53,'oddspedia-matches'!$A:$AD,AI$2,0)</f>
        <v>Green</v>
      </c>
      <c r="AJ53" t="str">
        <f>VLOOKUP($AC53,'oddspedia-matches'!$A:$AD,AJ$2,0)</f>
        <v>Red</v>
      </c>
      <c r="AK53" t="str">
        <f>VLOOKUP($AC53,'oddspedia-matches'!$A:$AD,AK$2,0)</f>
        <v>Red</v>
      </c>
      <c r="AL53" t="str">
        <f>VLOOKUP($AC53,'oddspedia-matches'!$A:$AD,AL$2,0)</f>
        <v>Green</v>
      </c>
      <c r="AM53" t="str">
        <f>VLOOKUP($AC53,'oddspedia-matches'!$A:$AD,AM$2,0)</f>
        <v>Red</v>
      </c>
      <c r="AN53" t="str">
        <f>VLOOKUP($AC53,'oddspedia-matches'!$A:$AD,AN$2,0)</f>
        <v>Red</v>
      </c>
      <c r="AO53" t="str">
        <f>VLOOKUP($AC53,'oddspedia-matches'!$A:$AD,AO$2,0)</f>
        <v>Red</v>
      </c>
      <c r="AP53" t="str">
        <f>VLOOKUP($AC53,'oddspedia-matches'!$A:$AD,AP$2,0)</f>
        <v>Red</v>
      </c>
      <c r="AQ53" t="str">
        <f>VLOOKUP($AC53,'oddspedia-matches'!$A:$AD,AQ$2,0)</f>
        <v>Green</v>
      </c>
      <c r="AR53" t="str">
        <f>VLOOKUP($AC53,'oddspedia-matches'!$A:$AD,AR$2,0)</f>
        <v>Green</v>
      </c>
      <c r="AS53" t="str">
        <f>VLOOKUP($AC53,'oddspedia-matches'!$A:$AD,AS$2,0)</f>
        <v>Red</v>
      </c>
      <c r="AT53" t="str">
        <f>VLOOKUP($AC53,'oddspedia-matches'!$A:$AD,AT$2,0)</f>
        <v>Green</v>
      </c>
    </row>
    <row r="54" spans="2:46" x14ac:dyDescent="0.25">
      <c r="B54" s="9" t="s">
        <v>486</v>
      </c>
      <c r="C54" s="7" t="s">
        <v>19</v>
      </c>
      <c r="D54" s="20">
        <v>0.85416666666666663</v>
      </c>
      <c r="E54" s="7" t="s">
        <v>61</v>
      </c>
      <c r="F54" s="7" t="s">
        <v>62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s="7">
        <v>16.7</v>
      </c>
      <c r="Y54" s="7">
        <v>37.5</v>
      </c>
      <c r="Z54" s="21"/>
      <c r="AA54" t="str">
        <f>VLOOKUP(E54,'Transform table'!A:B,2,0)</f>
        <v>Philadelphia Union</v>
      </c>
      <c r="AB54" t="str">
        <f>VLOOKUP(F54,'Transform table'!A:B,2,0)</f>
        <v>New York Red Bulls</v>
      </c>
      <c r="AC54" t="str">
        <f t="shared" si="0"/>
        <v>22/07/2026Philadelphia UnionNew York Red Bulls</v>
      </c>
      <c r="AD54" t="str">
        <f>VLOOKUP($AC54,'oddspedia-matches'!$A:$AD,AD$2,0)</f>
        <v>3 - 1</v>
      </c>
      <c r="AE54" t="str">
        <f>VLOOKUP($AC54,'oddspedia-matches'!$A:$AD,AE$2,0)</f>
        <v>Green</v>
      </c>
      <c r="AF54" t="str">
        <f>VLOOKUP($AC54,'oddspedia-matches'!$A:$AD,AF$2,0)</f>
        <v>Red</v>
      </c>
      <c r="AG54" t="str">
        <f>VLOOKUP($AC54,'oddspedia-matches'!$A:$AD,AG$2,0)</f>
        <v>Red</v>
      </c>
      <c r="AH54" t="str">
        <f>VLOOKUP($AC54,'oddspedia-matches'!$A:$AD,AH$2,0)</f>
        <v>Green</v>
      </c>
      <c r="AI54" t="str">
        <f>VLOOKUP($AC54,'oddspedia-matches'!$A:$AD,AI$2,0)</f>
        <v>Red</v>
      </c>
      <c r="AJ54" t="str">
        <f>VLOOKUP($AC54,'oddspedia-matches'!$A:$AD,AJ$2,0)</f>
        <v>Green</v>
      </c>
      <c r="AK54" t="str">
        <f>VLOOKUP($AC54,'oddspedia-matches'!$A:$AD,AK$2,0)</f>
        <v>Red</v>
      </c>
      <c r="AL54" t="str">
        <f>VLOOKUP($AC54,'oddspedia-matches'!$A:$AD,AL$2,0)</f>
        <v>Green</v>
      </c>
      <c r="AM54" t="str">
        <f>VLOOKUP($AC54,'oddspedia-matches'!$A:$AD,AM$2,0)</f>
        <v>Red</v>
      </c>
      <c r="AN54" t="str">
        <f>VLOOKUP($AC54,'oddspedia-matches'!$A:$AD,AN$2,0)</f>
        <v>Green</v>
      </c>
      <c r="AO54" t="str">
        <f>VLOOKUP($AC54,'oddspedia-matches'!$A:$AD,AO$2,0)</f>
        <v>Green</v>
      </c>
      <c r="AP54" t="str">
        <f>VLOOKUP($AC54,'oddspedia-matches'!$A:$AD,AP$2,0)</f>
        <v>Green</v>
      </c>
      <c r="AQ54" t="str">
        <f>VLOOKUP($AC54,'oddspedia-matches'!$A:$AD,AQ$2,0)</f>
        <v>Red</v>
      </c>
      <c r="AR54" t="str">
        <f>VLOOKUP($AC54,'oddspedia-matches'!$A:$AD,AR$2,0)</f>
        <v>Red</v>
      </c>
      <c r="AS54" t="str">
        <f>VLOOKUP($AC54,'oddspedia-matches'!$A:$AD,AS$2,0)</f>
        <v>Green</v>
      </c>
      <c r="AT54" t="str">
        <f>VLOOKUP($AC54,'oddspedia-matches'!$A:$AD,AT$2,0)</f>
        <v>Red</v>
      </c>
    </row>
    <row r="55" spans="2:46" x14ac:dyDescent="0.25">
      <c r="B55" s="17" t="s">
        <v>470</v>
      </c>
      <c r="C55" s="8" t="s">
        <v>19</v>
      </c>
      <c r="D55" s="18">
        <v>0.875</v>
      </c>
      <c r="E55" s="8" t="s">
        <v>63</v>
      </c>
      <c r="F55" s="8" t="s">
        <v>64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s="8">
        <v>10</v>
      </c>
      <c r="Y55" s="8">
        <v>10</v>
      </c>
      <c r="Z55" s="19"/>
      <c r="AA55" t="str">
        <f>VLOOKUP(E55,'Transform table'!A:B,2,0)</f>
        <v>Manta FC</v>
      </c>
      <c r="AB55" t="str">
        <f>VLOOKUP(F55,'Transform table'!A:B,2,0)</f>
        <v>LDU Quito</v>
      </c>
      <c r="AC55" t="str">
        <f t="shared" si="0"/>
        <v>22/07/2026Manta FCLDU Quito</v>
      </c>
      <c r="AD55" t="str">
        <f>VLOOKUP($AC55,'oddspedia-matches'!$A:$AD,AD$2,0)</f>
        <v>1 - 1</v>
      </c>
      <c r="AE55" t="str">
        <f>VLOOKUP($AC55,'oddspedia-matches'!$A:$AD,AE$2,0)</f>
        <v>Red</v>
      </c>
      <c r="AF55" t="str">
        <f>VLOOKUP($AC55,'oddspedia-matches'!$A:$AD,AF$2,0)</f>
        <v>Green</v>
      </c>
      <c r="AG55" t="str">
        <f>VLOOKUP($AC55,'oddspedia-matches'!$A:$AD,AG$2,0)</f>
        <v>Red</v>
      </c>
      <c r="AH55" t="str">
        <f>VLOOKUP($AC55,'oddspedia-matches'!$A:$AD,AH$2,0)</f>
        <v>Green</v>
      </c>
      <c r="AI55" t="str">
        <f>VLOOKUP($AC55,'oddspedia-matches'!$A:$AD,AI$2,0)</f>
        <v>Green</v>
      </c>
      <c r="AJ55" t="str">
        <f>VLOOKUP($AC55,'oddspedia-matches'!$A:$AD,AJ$2,0)</f>
        <v>Red</v>
      </c>
      <c r="AK55" t="str">
        <f>VLOOKUP($AC55,'oddspedia-matches'!$A:$AD,AK$2,0)</f>
        <v>Red</v>
      </c>
      <c r="AL55" t="str">
        <f>VLOOKUP($AC55,'oddspedia-matches'!$A:$AD,AL$2,0)</f>
        <v>Red</v>
      </c>
      <c r="AM55" t="str">
        <f>VLOOKUP($AC55,'oddspedia-matches'!$A:$AD,AM$2,0)</f>
        <v>Green</v>
      </c>
      <c r="AN55" t="str">
        <f>VLOOKUP($AC55,'oddspedia-matches'!$A:$AD,AN$2,0)</f>
        <v>Green</v>
      </c>
      <c r="AO55" t="str">
        <f>VLOOKUP($AC55,'oddspedia-matches'!$A:$AD,AO$2,0)</f>
        <v>Green</v>
      </c>
      <c r="AP55" t="str">
        <f>VLOOKUP($AC55,'oddspedia-matches'!$A:$AD,AP$2,0)</f>
        <v>Red</v>
      </c>
      <c r="AQ55" t="str">
        <f>VLOOKUP($AC55,'oddspedia-matches'!$A:$AD,AQ$2,0)</f>
        <v>Green</v>
      </c>
      <c r="AR55" t="str">
        <f>VLOOKUP($AC55,'oddspedia-matches'!$A:$AD,AR$2,0)</f>
        <v>Green</v>
      </c>
      <c r="AS55" t="str">
        <f>VLOOKUP($AC55,'oddspedia-matches'!$A:$AD,AS$2,0)</f>
        <v>Green</v>
      </c>
      <c r="AT55" t="str">
        <f>VLOOKUP($AC55,'oddspedia-matches'!$A:$AD,AT$2,0)</f>
        <v>Red</v>
      </c>
    </row>
    <row r="56" spans="2:46" x14ac:dyDescent="0.25">
      <c r="B56" s="9" t="s">
        <v>486</v>
      </c>
      <c r="C56" s="7" t="s">
        <v>19</v>
      </c>
      <c r="D56" s="20">
        <v>0.88541666666666663</v>
      </c>
      <c r="E56" s="7" t="s">
        <v>65</v>
      </c>
      <c r="F56" s="7" t="s">
        <v>66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s="7">
        <v>11.1</v>
      </c>
      <c r="Y56" s="7">
        <v>0</v>
      </c>
      <c r="Z56" s="21"/>
      <c r="AA56" t="str">
        <f>VLOOKUP(E56,'Transform table'!A:B,2,0)</f>
        <v>Charlotte FC</v>
      </c>
      <c r="AB56" t="str">
        <f>VLOOKUP(F56,'Transform table'!A:B,2,0)</f>
        <v>Atlanta United</v>
      </c>
      <c r="AC56" t="str">
        <f t="shared" si="0"/>
        <v>22/07/2026Charlotte FCAtlanta United</v>
      </c>
      <c r="AD56" t="str">
        <f>VLOOKUP($AC56,'oddspedia-matches'!$A:$AD,AD$2,0)</f>
        <v>2 - 2</v>
      </c>
      <c r="AE56" t="str">
        <f>VLOOKUP($AC56,'oddspedia-matches'!$A:$AD,AE$2,0)</f>
        <v>Red</v>
      </c>
      <c r="AF56" t="str">
        <f>VLOOKUP($AC56,'oddspedia-matches'!$A:$AD,AF$2,0)</f>
        <v>Green</v>
      </c>
      <c r="AG56" t="str">
        <f>VLOOKUP($AC56,'oddspedia-matches'!$A:$AD,AG$2,0)</f>
        <v>Red</v>
      </c>
      <c r="AH56" t="str">
        <f>VLOOKUP($AC56,'oddspedia-matches'!$A:$AD,AH$2,0)</f>
        <v>Green</v>
      </c>
      <c r="AI56" t="str">
        <f>VLOOKUP($AC56,'oddspedia-matches'!$A:$AD,AI$2,0)</f>
        <v>Green</v>
      </c>
      <c r="AJ56" t="str">
        <f>VLOOKUP($AC56,'oddspedia-matches'!$A:$AD,AJ$2,0)</f>
        <v>Red</v>
      </c>
      <c r="AK56" t="str">
        <f>VLOOKUP($AC56,'oddspedia-matches'!$A:$AD,AK$2,0)</f>
        <v>Green</v>
      </c>
      <c r="AL56" t="str">
        <f>VLOOKUP($AC56,'oddspedia-matches'!$A:$AD,AL$2,0)</f>
        <v>Red</v>
      </c>
      <c r="AM56" t="str">
        <f>VLOOKUP($AC56,'oddspedia-matches'!$A:$AD,AM$2,0)</f>
        <v>Red</v>
      </c>
      <c r="AN56" t="str">
        <f>VLOOKUP($AC56,'oddspedia-matches'!$A:$AD,AN$2,0)</f>
        <v>Green</v>
      </c>
      <c r="AO56" t="str">
        <f>VLOOKUP($AC56,'oddspedia-matches'!$A:$AD,AO$2,0)</f>
        <v>Green</v>
      </c>
      <c r="AP56" t="str">
        <f>VLOOKUP($AC56,'oddspedia-matches'!$A:$AD,AP$2,0)</f>
        <v>Green</v>
      </c>
      <c r="AQ56" t="str">
        <f>VLOOKUP($AC56,'oddspedia-matches'!$A:$AD,AQ$2,0)</f>
        <v>Red</v>
      </c>
      <c r="AR56" t="str">
        <f>VLOOKUP($AC56,'oddspedia-matches'!$A:$AD,AR$2,0)</f>
        <v>Red</v>
      </c>
      <c r="AS56" t="str">
        <f>VLOOKUP($AC56,'oddspedia-matches'!$A:$AD,AS$2,0)</f>
        <v>Green</v>
      </c>
      <c r="AT56" t="str">
        <f>VLOOKUP($AC56,'oddspedia-matches'!$A:$AD,AT$2,0)</f>
        <v>Red</v>
      </c>
    </row>
    <row r="57" spans="2:46" x14ac:dyDescent="0.25">
      <c r="B57" s="17" t="s">
        <v>472</v>
      </c>
      <c r="C57" s="8" t="s">
        <v>19</v>
      </c>
      <c r="D57" s="18">
        <v>0.89583333333333337</v>
      </c>
      <c r="E57" s="8" t="s">
        <v>67</v>
      </c>
      <c r="F57" s="8" t="s">
        <v>68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s="8" t="s">
        <v>22</v>
      </c>
      <c r="Y57" s="8" t="s">
        <v>22</v>
      </c>
      <c r="Z57" s="19"/>
      <c r="AA57" t="str">
        <f>VLOOKUP(E57,'Transform table'!A:B,2,0)</f>
        <v>Chapecoense</v>
      </c>
      <c r="AB57" t="str">
        <f>VLOOKUP(F57,'Transform table'!A:B,2,0)</f>
        <v>Flamengo RJ</v>
      </c>
      <c r="AC57" t="str">
        <f t="shared" si="0"/>
        <v>22/07/2026ChapecoenseFlamengo RJ</v>
      </c>
      <c r="AD57" t="str">
        <f>VLOOKUP($AC57,'oddspedia-matches'!$A:$AD,AD$2,0)</f>
        <v>0 - 4</v>
      </c>
      <c r="AE57" t="str">
        <f>VLOOKUP($AC57,'oddspedia-matches'!$A:$AD,AE$2,0)</f>
        <v>Red</v>
      </c>
      <c r="AF57" t="str">
        <f>VLOOKUP($AC57,'oddspedia-matches'!$A:$AD,AF$2,0)</f>
        <v>Red</v>
      </c>
      <c r="AG57" t="str">
        <f>VLOOKUP($AC57,'oddspedia-matches'!$A:$AD,AG$2,0)</f>
        <v>Green</v>
      </c>
      <c r="AH57" t="str">
        <f>VLOOKUP($AC57,'oddspedia-matches'!$A:$AD,AH$2,0)</f>
        <v>Red</v>
      </c>
      <c r="AI57" t="str">
        <f>VLOOKUP($AC57,'oddspedia-matches'!$A:$AD,AI$2,0)</f>
        <v>Green</v>
      </c>
      <c r="AJ57" t="str">
        <f>VLOOKUP($AC57,'oddspedia-matches'!$A:$AD,AJ$2,0)</f>
        <v>Green</v>
      </c>
      <c r="AK57" t="str">
        <f>VLOOKUP($AC57,'oddspedia-matches'!$A:$AD,AK$2,0)</f>
        <v>Red</v>
      </c>
      <c r="AL57" t="str">
        <f>VLOOKUP($AC57,'oddspedia-matches'!$A:$AD,AL$2,0)</f>
        <v>Red</v>
      </c>
      <c r="AM57" t="str">
        <f>VLOOKUP($AC57,'oddspedia-matches'!$A:$AD,AM$2,0)</f>
        <v>Green</v>
      </c>
      <c r="AN57" t="str">
        <f>VLOOKUP($AC57,'oddspedia-matches'!$A:$AD,AN$2,0)</f>
        <v>Green</v>
      </c>
      <c r="AO57" t="str">
        <f>VLOOKUP($AC57,'oddspedia-matches'!$A:$AD,AO$2,0)</f>
        <v>Green</v>
      </c>
      <c r="AP57" t="str">
        <f>VLOOKUP($AC57,'oddspedia-matches'!$A:$AD,AP$2,0)</f>
        <v>Green</v>
      </c>
      <c r="AQ57" t="str">
        <f>VLOOKUP($AC57,'oddspedia-matches'!$A:$AD,AQ$2,0)</f>
        <v>Red</v>
      </c>
      <c r="AR57" t="str">
        <f>VLOOKUP($AC57,'oddspedia-matches'!$A:$AD,AR$2,0)</f>
        <v>Red</v>
      </c>
      <c r="AS57" t="str">
        <f>VLOOKUP($AC57,'oddspedia-matches'!$A:$AD,AS$2,0)</f>
        <v>Red</v>
      </c>
      <c r="AT57" t="str">
        <f>VLOOKUP($AC57,'oddspedia-matches'!$A:$AD,AT$2,0)</f>
        <v>Green</v>
      </c>
    </row>
    <row r="58" spans="2:46" x14ac:dyDescent="0.25">
      <c r="B58" s="9" t="s">
        <v>472</v>
      </c>
      <c r="C58" s="7" t="s">
        <v>19</v>
      </c>
      <c r="D58" s="20">
        <v>0.89583333333333337</v>
      </c>
      <c r="E58" s="7" t="s">
        <v>69</v>
      </c>
      <c r="F58" s="7" t="s">
        <v>70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s="7" t="s">
        <v>22</v>
      </c>
      <c r="Y58" s="7" t="s">
        <v>22</v>
      </c>
      <c r="Z58" s="21"/>
      <c r="AA58" t="str">
        <f>VLOOKUP(E58,'Transform table'!A:B,2,0)</f>
        <v>Internacional</v>
      </c>
      <c r="AB58" t="str">
        <f>VLOOKUP(F58,'Transform table'!A:B,2,0)</f>
        <v>Cruzeiro</v>
      </c>
      <c r="AC58" t="str">
        <f t="shared" si="0"/>
        <v>22/07/2026InternacionalCruzeiro</v>
      </c>
      <c r="AD58" t="str">
        <f>VLOOKUP($AC58,'oddspedia-matches'!$A:$AD,AD$2,0)</f>
        <v>1 - 2</v>
      </c>
      <c r="AE58" t="str">
        <f>VLOOKUP($AC58,'oddspedia-matches'!$A:$AD,AE$2,0)</f>
        <v>Red</v>
      </c>
      <c r="AF58" t="str">
        <f>VLOOKUP($AC58,'oddspedia-matches'!$A:$AD,AF$2,0)</f>
        <v>Red</v>
      </c>
      <c r="AG58" t="str">
        <f>VLOOKUP($AC58,'oddspedia-matches'!$A:$AD,AG$2,0)</f>
        <v>Green</v>
      </c>
      <c r="AH58" t="str">
        <f>VLOOKUP($AC58,'oddspedia-matches'!$A:$AD,AH$2,0)</f>
        <v>Red</v>
      </c>
      <c r="AI58" t="str">
        <f>VLOOKUP($AC58,'oddspedia-matches'!$A:$AD,AI$2,0)</f>
        <v>Green</v>
      </c>
      <c r="AJ58" t="str">
        <f>VLOOKUP($AC58,'oddspedia-matches'!$A:$AD,AJ$2,0)</f>
        <v>Green</v>
      </c>
      <c r="AK58" t="str">
        <f>VLOOKUP($AC58,'oddspedia-matches'!$A:$AD,AK$2,0)</f>
        <v>Red</v>
      </c>
      <c r="AL58" t="str">
        <f>VLOOKUP($AC58,'oddspedia-matches'!$A:$AD,AL$2,0)</f>
        <v>Red</v>
      </c>
      <c r="AM58" t="str">
        <f>VLOOKUP($AC58,'oddspedia-matches'!$A:$AD,AM$2,0)</f>
        <v>Green</v>
      </c>
      <c r="AN58" t="str">
        <f>VLOOKUP($AC58,'oddspedia-matches'!$A:$AD,AN$2,0)</f>
        <v>Green</v>
      </c>
      <c r="AO58" t="str">
        <f>VLOOKUP($AC58,'oddspedia-matches'!$A:$AD,AO$2,0)</f>
        <v>Green</v>
      </c>
      <c r="AP58" t="str">
        <f>VLOOKUP($AC58,'oddspedia-matches'!$A:$AD,AP$2,0)</f>
        <v>Green</v>
      </c>
      <c r="AQ58" t="str">
        <f>VLOOKUP($AC58,'oddspedia-matches'!$A:$AD,AQ$2,0)</f>
        <v>Red</v>
      </c>
      <c r="AR58" t="str">
        <f>VLOOKUP($AC58,'oddspedia-matches'!$A:$AD,AR$2,0)</f>
        <v>Green</v>
      </c>
      <c r="AS58" t="str">
        <f>VLOOKUP($AC58,'oddspedia-matches'!$A:$AD,AS$2,0)</f>
        <v>Green</v>
      </c>
      <c r="AT58" t="str">
        <f>VLOOKUP($AC58,'oddspedia-matches'!$A:$AD,AT$2,0)</f>
        <v>Red</v>
      </c>
    </row>
    <row r="59" spans="2:46" x14ac:dyDescent="0.25">
      <c r="B59" s="17" t="s">
        <v>472</v>
      </c>
      <c r="C59" s="8" t="s">
        <v>19</v>
      </c>
      <c r="D59" s="18">
        <v>0.89583333333333337</v>
      </c>
      <c r="E59" s="8" t="s">
        <v>71</v>
      </c>
      <c r="F59" s="8" t="s">
        <v>72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s="8">
        <v>25</v>
      </c>
      <c r="Y59" s="8">
        <v>50</v>
      </c>
      <c r="Z59" s="19"/>
      <c r="AA59" t="str">
        <f>VLOOKUP(E59,'Transform table'!A:B,2,0)</f>
        <v>Sao Paulo</v>
      </c>
      <c r="AB59" t="str">
        <f>VLOOKUP(F59,'Transform table'!A:B,2,0)</f>
        <v>Athletico Paranaense</v>
      </c>
      <c r="AC59" t="str">
        <f t="shared" si="0"/>
        <v>22/07/2026Sao PauloAthletico Paranaense</v>
      </c>
      <c r="AD59" t="str">
        <f>VLOOKUP($AC59,'oddspedia-matches'!$A:$AD,AD$2,0)</f>
        <v>1 - 2</v>
      </c>
      <c r="AE59" t="str">
        <f>VLOOKUP($AC59,'oddspedia-matches'!$A:$AD,AE$2,0)</f>
        <v>Red</v>
      </c>
      <c r="AF59" t="str">
        <f>VLOOKUP($AC59,'oddspedia-matches'!$A:$AD,AF$2,0)</f>
        <v>Red</v>
      </c>
      <c r="AG59" t="str">
        <f>VLOOKUP($AC59,'oddspedia-matches'!$A:$AD,AG$2,0)</f>
        <v>Green</v>
      </c>
      <c r="AH59" t="str">
        <f>VLOOKUP($AC59,'oddspedia-matches'!$A:$AD,AH$2,0)</f>
        <v>Red</v>
      </c>
      <c r="AI59" t="str">
        <f>VLOOKUP($AC59,'oddspedia-matches'!$A:$AD,AI$2,0)</f>
        <v>Green</v>
      </c>
      <c r="AJ59" t="str">
        <f>VLOOKUP($AC59,'oddspedia-matches'!$A:$AD,AJ$2,0)</f>
        <v>Green</v>
      </c>
      <c r="AK59" t="str">
        <f>VLOOKUP($AC59,'oddspedia-matches'!$A:$AD,AK$2,0)</f>
        <v>Green</v>
      </c>
      <c r="AL59" t="str">
        <f>VLOOKUP($AC59,'oddspedia-matches'!$A:$AD,AL$2,0)</f>
        <v>Red</v>
      </c>
      <c r="AM59" t="str">
        <f>VLOOKUP($AC59,'oddspedia-matches'!$A:$AD,AM$2,0)</f>
        <v>Red</v>
      </c>
      <c r="AN59" t="str">
        <f>VLOOKUP($AC59,'oddspedia-matches'!$A:$AD,AN$2,0)</f>
        <v>Green</v>
      </c>
      <c r="AO59" t="str">
        <f>VLOOKUP($AC59,'oddspedia-matches'!$A:$AD,AO$2,0)</f>
        <v>Green</v>
      </c>
      <c r="AP59" t="str">
        <f>VLOOKUP($AC59,'oddspedia-matches'!$A:$AD,AP$2,0)</f>
        <v>Green</v>
      </c>
      <c r="AQ59" t="str">
        <f>VLOOKUP($AC59,'oddspedia-matches'!$A:$AD,AQ$2,0)</f>
        <v>Red</v>
      </c>
      <c r="AR59" t="str">
        <f>VLOOKUP($AC59,'oddspedia-matches'!$A:$AD,AR$2,0)</f>
        <v>Green</v>
      </c>
      <c r="AS59" t="str">
        <f>VLOOKUP($AC59,'oddspedia-matches'!$A:$AD,AS$2,0)</f>
        <v>Green</v>
      </c>
      <c r="AT59" t="str">
        <f>VLOOKUP($AC59,'oddspedia-matches'!$A:$AD,AT$2,0)</f>
        <v>Red</v>
      </c>
    </row>
    <row r="60" spans="2:46" x14ac:dyDescent="0.25">
      <c r="B60" s="9" t="s">
        <v>473</v>
      </c>
      <c r="C60" s="7" t="s">
        <v>19</v>
      </c>
      <c r="D60" s="20">
        <v>0.89583333333333337</v>
      </c>
      <c r="E60" s="7" t="s">
        <v>73</v>
      </c>
      <c r="F60" s="7" t="s">
        <v>74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s="7">
        <v>12.5</v>
      </c>
      <c r="Y60" s="7">
        <v>33.299999999999997</v>
      </c>
      <c r="Z60" s="21"/>
      <c r="AA60" t="str">
        <f>VLOOKUP(E60,'Transform table'!A:B,2,0)</f>
        <v>Nautico</v>
      </c>
      <c r="AB60" t="str">
        <f>VLOOKUP(F60,'Transform table'!A:B,2,0)</f>
        <v>Londrina EC</v>
      </c>
      <c r="AC60" t="str">
        <f t="shared" si="0"/>
        <v>22/07/2026NauticoLondrina EC</v>
      </c>
      <c r="AD60" t="str">
        <f>VLOOKUP($AC60,'oddspedia-matches'!$A:$AD,AD$2,0)</f>
        <v>2 - 1</v>
      </c>
      <c r="AE60" t="str">
        <f>VLOOKUP($AC60,'oddspedia-matches'!$A:$AD,AE$2,0)</f>
        <v>Green</v>
      </c>
      <c r="AF60" t="str">
        <f>VLOOKUP($AC60,'oddspedia-matches'!$A:$AD,AF$2,0)</f>
        <v>Red</v>
      </c>
      <c r="AG60" t="str">
        <f>VLOOKUP($AC60,'oddspedia-matches'!$A:$AD,AG$2,0)</f>
        <v>Red</v>
      </c>
      <c r="AH60" t="str">
        <f>VLOOKUP($AC60,'oddspedia-matches'!$A:$AD,AH$2,0)</f>
        <v>Green</v>
      </c>
      <c r="AI60" t="str">
        <f>VLOOKUP($AC60,'oddspedia-matches'!$A:$AD,AI$2,0)</f>
        <v>Red</v>
      </c>
      <c r="AJ60" t="str">
        <f>VLOOKUP($AC60,'oddspedia-matches'!$A:$AD,AJ$2,0)</f>
        <v>Green</v>
      </c>
      <c r="AK60" t="str">
        <f>VLOOKUP($AC60,'oddspedia-matches'!$A:$AD,AK$2,0)</f>
        <v>Green</v>
      </c>
      <c r="AL60" t="str">
        <f>VLOOKUP($AC60,'oddspedia-matches'!$A:$AD,AL$2,0)</f>
        <v>Red</v>
      </c>
      <c r="AM60" t="str">
        <f>VLOOKUP($AC60,'oddspedia-matches'!$A:$AD,AM$2,0)</f>
        <v>Red</v>
      </c>
      <c r="AN60" t="str">
        <f>VLOOKUP($AC60,'oddspedia-matches'!$A:$AD,AN$2,0)</f>
        <v>Green</v>
      </c>
      <c r="AO60" t="str">
        <f>VLOOKUP($AC60,'oddspedia-matches'!$A:$AD,AO$2,0)</f>
        <v>Green</v>
      </c>
      <c r="AP60" t="str">
        <f>VLOOKUP($AC60,'oddspedia-matches'!$A:$AD,AP$2,0)</f>
        <v>Green</v>
      </c>
      <c r="AQ60" t="str">
        <f>VLOOKUP($AC60,'oddspedia-matches'!$A:$AD,AQ$2,0)</f>
        <v>Red</v>
      </c>
      <c r="AR60" t="str">
        <f>VLOOKUP($AC60,'oddspedia-matches'!$A:$AD,AR$2,0)</f>
        <v>Green</v>
      </c>
      <c r="AS60" t="str">
        <f>VLOOKUP($AC60,'oddspedia-matches'!$A:$AD,AS$2,0)</f>
        <v>Green</v>
      </c>
      <c r="AT60" t="str">
        <f>VLOOKUP($AC60,'oddspedia-matches'!$A:$AD,AT$2,0)</f>
        <v>Red</v>
      </c>
    </row>
    <row r="61" spans="2:46" x14ac:dyDescent="0.25">
      <c r="B61" s="17" t="s">
        <v>486</v>
      </c>
      <c r="C61" s="8" t="s">
        <v>19</v>
      </c>
      <c r="D61" s="18">
        <v>0.89583333333333337</v>
      </c>
      <c r="E61" s="8" t="s">
        <v>75</v>
      </c>
      <c r="F61" s="8" t="s">
        <v>76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s="8">
        <v>14.3</v>
      </c>
      <c r="Y61" s="8">
        <v>14.3</v>
      </c>
      <c r="Z61" s="19"/>
      <c r="AA61" t="str">
        <f>VLOOKUP(E61,'Transform table'!A:B,2,0)</f>
        <v>Austin FC</v>
      </c>
      <c r="AB61" t="str">
        <f>VLOOKUP(F61,'Transform table'!A:B,2,0)</f>
        <v>Seattle Sounders FC</v>
      </c>
      <c r="AC61" t="str">
        <f t="shared" si="0"/>
        <v>22/07/2026Austin FCSeattle Sounders FC</v>
      </c>
      <c r="AD61" t="str">
        <f>VLOOKUP($AC61,'oddspedia-matches'!$A:$AD,AD$2,0)</f>
        <v>3 - 1</v>
      </c>
      <c r="AE61" t="str">
        <f>VLOOKUP($AC61,'oddspedia-matches'!$A:$AD,AE$2,0)</f>
        <v>Green</v>
      </c>
      <c r="AF61" t="str">
        <f>VLOOKUP($AC61,'oddspedia-matches'!$A:$AD,AF$2,0)</f>
        <v>Red</v>
      </c>
      <c r="AG61" t="str">
        <f>VLOOKUP($AC61,'oddspedia-matches'!$A:$AD,AG$2,0)</f>
        <v>Red</v>
      </c>
      <c r="AH61" t="str">
        <f>VLOOKUP($AC61,'oddspedia-matches'!$A:$AD,AH$2,0)</f>
        <v>Green</v>
      </c>
      <c r="AI61" t="str">
        <f>VLOOKUP($AC61,'oddspedia-matches'!$A:$AD,AI$2,0)</f>
        <v>Red</v>
      </c>
      <c r="AJ61" t="str">
        <f>VLOOKUP($AC61,'oddspedia-matches'!$A:$AD,AJ$2,0)</f>
        <v>Green</v>
      </c>
      <c r="AK61" t="str">
        <f>VLOOKUP($AC61,'oddspedia-matches'!$A:$AD,AK$2,0)</f>
        <v>Red</v>
      </c>
      <c r="AL61" t="str">
        <f>VLOOKUP($AC61,'oddspedia-matches'!$A:$AD,AL$2,0)</f>
        <v>Green</v>
      </c>
      <c r="AM61" t="str">
        <f>VLOOKUP($AC61,'oddspedia-matches'!$A:$AD,AM$2,0)</f>
        <v>Red</v>
      </c>
      <c r="AN61" t="str">
        <f>VLOOKUP($AC61,'oddspedia-matches'!$A:$AD,AN$2,0)</f>
        <v>Green</v>
      </c>
      <c r="AO61" t="str">
        <f>VLOOKUP($AC61,'oddspedia-matches'!$A:$AD,AO$2,0)</f>
        <v>Green</v>
      </c>
      <c r="AP61" t="str">
        <f>VLOOKUP($AC61,'oddspedia-matches'!$A:$AD,AP$2,0)</f>
        <v>Green</v>
      </c>
      <c r="AQ61" t="str">
        <f>VLOOKUP($AC61,'oddspedia-matches'!$A:$AD,AQ$2,0)</f>
        <v>Red</v>
      </c>
      <c r="AR61" t="str">
        <f>VLOOKUP($AC61,'oddspedia-matches'!$A:$AD,AR$2,0)</f>
        <v>Red</v>
      </c>
      <c r="AS61" t="str">
        <f>VLOOKUP($AC61,'oddspedia-matches'!$A:$AD,AS$2,0)</f>
        <v>Green</v>
      </c>
      <c r="AT61" t="str">
        <f>VLOOKUP($AC61,'oddspedia-matches'!$A:$AD,AT$2,0)</f>
        <v>Red</v>
      </c>
    </row>
    <row r="62" spans="2:46" x14ac:dyDescent="0.25">
      <c r="B62" s="9" t="s">
        <v>486</v>
      </c>
      <c r="C62" s="7" t="s">
        <v>19</v>
      </c>
      <c r="D62" s="20">
        <v>0.89583333333333337</v>
      </c>
      <c r="E62" s="7" t="s">
        <v>77</v>
      </c>
      <c r="F62" s="7" t="s">
        <v>78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s="7">
        <v>0</v>
      </c>
      <c r="Y62" s="7">
        <v>0</v>
      </c>
      <c r="Z62" s="21"/>
      <c r="AA62" t="str">
        <f>VLOOKUP(E62,'Transform table'!A:B,2,0)</f>
        <v>Houston Dynamo</v>
      </c>
      <c r="AB62" t="str">
        <f>VLOOKUP(F62,'Transform table'!A:B,2,0)</f>
        <v>DC United</v>
      </c>
      <c r="AC62" t="str">
        <f t="shared" si="0"/>
        <v>22/07/2026Houston DynamoDC United</v>
      </c>
      <c r="AD62" t="str">
        <f>VLOOKUP($AC62,'oddspedia-matches'!$A:$AD,AD$2,0)</f>
        <v>1 - 1</v>
      </c>
      <c r="AE62" t="str">
        <f>VLOOKUP($AC62,'oddspedia-matches'!$A:$AD,AE$2,0)</f>
        <v>Red</v>
      </c>
      <c r="AF62" t="str">
        <f>VLOOKUP($AC62,'oddspedia-matches'!$A:$AD,AF$2,0)</f>
        <v>Green</v>
      </c>
      <c r="AG62" t="str">
        <f>VLOOKUP($AC62,'oddspedia-matches'!$A:$AD,AG$2,0)</f>
        <v>Red</v>
      </c>
      <c r="AH62" t="str">
        <f>VLOOKUP($AC62,'oddspedia-matches'!$A:$AD,AH$2,0)</f>
        <v>Green</v>
      </c>
      <c r="AI62" t="str">
        <f>VLOOKUP($AC62,'oddspedia-matches'!$A:$AD,AI$2,0)</f>
        <v>Green</v>
      </c>
      <c r="AJ62" t="str">
        <f>VLOOKUP($AC62,'oddspedia-matches'!$A:$AD,AJ$2,0)</f>
        <v>Red</v>
      </c>
      <c r="AK62" t="str">
        <f>VLOOKUP($AC62,'oddspedia-matches'!$A:$AD,AK$2,0)</f>
        <v>Green</v>
      </c>
      <c r="AL62" t="str">
        <f>VLOOKUP($AC62,'oddspedia-matches'!$A:$AD,AL$2,0)</f>
        <v>Red</v>
      </c>
      <c r="AM62" t="str">
        <f>VLOOKUP($AC62,'oddspedia-matches'!$A:$AD,AM$2,0)</f>
        <v>Red</v>
      </c>
      <c r="AN62" t="str">
        <f>VLOOKUP($AC62,'oddspedia-matches'!$A:$AD,AN$2,0)</f>
        <v>Green</v>
      </c>
      <c r="AO62" t="str">
        <f>VLOOKUP($AC62,'oddspedia-matches'!$A:$AD,AO$2,0)</f>
        <v>Green</v>
      </c>
      <c r="AP62" t="str">
        <f>VLOOKUP($AC62,'oddspedia-matches'!$A:$AD,AP$2,0)</f>
        <v>Red</v>
      </c>
      <c r="AQ62" t="str">
        <f>VLOOKUP($AC62,'oddspedia-matches'!$A:$AD,AQ$2,0)</f>
        <v>Green</v>
      </c>
      <c r="AR62" t="str">
        <f>VLOOKUP($AC62,'oddspedia-matches'!$A:$AD,AR$2,0)</f>
        <v>Green</v>
      </c>
      <c r="AS62" t="str">
        <f>VLOOKUP($AC62,'oddspedia-matches'!$A:$AD,AS$2,0)</f>
        <v>Green</v>
      </c>
      <c r="AT62" t="str">
        <f>VLOOKUP($AC62,'oddspedia-matches'!$A:$AD,AT$2,0)</f>
        <v>Red</v>
      </c>
    </row>
    <row r="63" spans="2:46" x14ac:dyDescent="0.25">
      <c r="B63" s="17" t="s">
        <v>486</v>
      </c>
      <c r="C63" s="8" t="s">
        <v>19</v>
      </c>
      <c r="D63" s="18">
        <v>0.89583333333333337</v>
      </c>
      <c r="E63" s="8" t="s">
        <v>79</v>
      </c>
      <c r="F63" s="8" t="s">
        <v>80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s="8">
        <v>25</v>
      </c>
      <c r="Y63" s="8">
        <v>62.5</v>
      </c>
      <c r="Z63" s="19"/>
      <c r="AA63" t="str">
        <f>VLOOKUP(E63,'Transform table'!A:B,2,0)</f>
        <v>Nashville FC</v>
      </c>
      <c r="AB63" t="str">
        <f>VLOOKUP(F63,'Transform table'!A:B,2,0)</f>
        <v>Montreal Impact</v>
      </c>
      <c r="AC63" t="str">
        <f t="shared" si="0"/>
        <v>22/07/2026Nashville FCMontreal Impact</v>
      </c>
      <c r="AD63" t="str">
        <f>VLOOKUP($AC63,'oddspedia-matches'!$A:$AD,AD$2,0)</f>
        <v>1 - 0</v>
      </c>
      <c r="AE63" t="str">
        <f>VLOOKUP($AC63,'oddspedia-matches'!$A:$AD,AE$2,0)</f>
        <v>Green</v>
      </c>
      <c r="AF63" t="str">
        <f>VLOOKUP($AC63,'oddspedia-matches'!$A:$AD,AF$2,0)</f>
        <v>Red</v>
      </c>
      <c r="AG63" t="str">
        <f>VLOOKUP($AC63,'oddspedia-matches'!$A:$AD,AG$2,0)</f>
        <v>Red</v>
      </c>
      <c r="AH63" t="str">
        <f>VLOOKUP($AC63,'oddspedia-matches'!$A:$AD,AH$2,0)</f>
        <v>Green</v>
      </c>
      <c r="AI63" t="str">
        <f>VLOOKUP($AC63,'oddspedia-matches'!$A:$AD,AI$2,0)</f>
        <v>Red</v>
      </c>
      <c r="AJ63" t="str">
        <f>VLOOKUP($AC63,'oddspedia-matches'!$A:$AD,AJ$2,0)</f>
        <v>Green</v>
      </c>
      <c r="AK63" t="str">
        <f>VLOOKUP($AC63,'oddspedia-matches'!$A:$AD,AK$2,0)</f>
        <v>Red</v>
      </c>
      <c r="AL63" t="str">
        <f>VLOOKUP($AC63,'oddspedia-matches'!$A:$AD,AL$2,0)</f>
        <v>Green</v>
      </c>
      <c r="AM63" t="str">
        <f>VLOOKUP($AC63,'oddspedia-matches'!$A:$AD,AM$2,0)</f>
        <v>Red</v>
      </c>
      <c r="AN63" t="str">
        <f>VLOOKUP($AC63,'oddspedia-matches'!$A:$AD,AN$2,0)</f>
        <v>Red</v>
      </c>
      <c r="AO63" t="str">
        <f>VLOOKUP($AC63,'oddspedia-matches'!$A:$AD,AO$2,0)</f>
        <v>Red</v>
      </c>
      <c r="AP63" t="str">
        <f>VLOOKUP($AC63,'oddspedia-matches'!$A:$AD,AP$2,0)</f>
        <v>Red</v>
      </c>
      <c r="AQ63" t="str">
        <f>VLOOKUP($AC63,'oddspedia-matches'!$A:$AD,AQ$2,0)</f>
        <v>Green</v>
      </c>
      <c r="AR63" t="str">
        <f>VLOOKUP($AC63,'oddspedia-matches'!$A:$AD,AR$2,0)</f>
        <v>Green</v>
      </c>
      <c r="AS63" t="str">
        <f>VLOOKUP($AC63,'oddspedia-matches'!$A:$AD,AS$2,0)</f>
        <v>Red</v>
      </c>
      <c r="AT63" t="str">
        <f>VLOOKUP($AC63,'oddspedia-matches'!$A:$AD,AT$2,0)</f>
        <v>Green</v>
      </c>
    </row>
    <row r="64" spans="2:46" x14ac:dyDescent="0.25">
      <c r="B64" s="9" t="s">
        <v>486</v>
      </c>
      <c r="C64" s="7" t="s">
        <v>19</v>
      </c>
      <c r="D64" s="20">
        <v>0.89583333333333337</v>
      </c>
      <c r="E64" s="7" t="s">
        <v>81</v>
      </c>
      <c r="F64" s="7" t="s">
        <v>82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s="7">
        <v>28.6</v>
      </c>
      <c r="Y64" s="7">
        <v>50</v>
      </c>
      <c r="Z64" s="21"/>
      <c r="AA64" t="str">
        <f>VLOOKUP(E64,'Transform table'!A:B,2,0)</f>
        <v>Sporting Kansas City</v>
      </c>
      <c r="AB64" t="str">
        <f>VLOOKUP(F64,'Transform table'!A:B,2,0)</f>
        <v>Minnesota United</v>
      </c>
      <c r="AC64" t="str">
        <f t="shared" si="0"/>
        <v>22/07/2026Sporting Kansas CityMinnesota United</v>
      </c>
      <c r="AD64" t="str">
        <f>VLOOKUP($AC64,'oddspedia-matches'!$A:$AD,AD$2,0)</f>
        <v>2 - 1</v>
      </c>
      <c r="AE64" t="str">
        <f>VLOOKUP($AC64,'oddspedia-matches'!$A:$AD,AE$2,0)</f>
        <v>Green</v>
      </c>
      <c r="AF64" t="str">
        <f>VLOOKUP($AC64,'oddspedia-matches'!$A:$AD,AF$2,0)</f>
        <v>Red</v>
      </c>
      <c r="AG64" t="str">
        <f>VLOOKUP($AC64,'oddspedia-matches'!$A:$AD,AG$2,0)</f>
        <v>Red</v>
      </c>
      <c r="AH64" t="str">
        <f>VLOOKUP($AC64,'oddspedia-matches'!$A:$AD,AH$2,0)</f>
        <v>Green</v>
      </c>
      <c r="AI64" t="str">
        <f>VLOOKUP($AC64,'oddspedia-matches'!$A:$AD,AI$2,0)</f>
        <v>Red</v>
      </c>
      <c r="AJ64" t="str">
        <f>VLOOKUP($AC64,'oddspedia-matches'!$A:$AD,AJ$2,0)</f>
        <v>Green</v>
      </c>
      <c r="AK64" t="str">
        <f>VLOOKUP($AC64,'oddspedia-matches'!$A:$AD,AK$2,0)</f>
        <v>Green</v>
      </c>
      <c r="AL64" t="str">
        <f>VLOOKUP($AC64,'oddspedia-matches'!$A:$AD,AL$2,0)</f>
        <v>Red</v>
      </c>
      <c r="AM64" t="str">
        <f>VLOOKUP($AC64,'oddspedia-matches'!$A:$AD,AM$2,0)</f>
        <v>Red</v>
      </c>
      <c r="AN64" t="str">
        <f>VLOOKUP($AC64,'oddspedia-matches'!$A:$AD,AN$2,0)</f>
        <v>Green</v>
      </c>
      <c r="AO64" t="str">
        <f>VLOOKUP($AC64,'oddspedia-matches'!$A:$AD,AO$2,0)</f>
        <v>Green</v>
      </c>
      <c r="AP64" t="str">
        <f>VLOOKUP($AC64,'oddspedia-matches'!$A:$AD,AP$2,0)</f>
        <v>Green</v>
      </c>
      <c r="AQ64" t="str">
        <f>VLOOKUP($AC64,'oddspedia-matches'!$A:$AD,AQ$2,0)</f>
        <v>Red</v>
      </c>
      <c r="AR64" t="str">
        <f>VLOOKUP($AC64,'oddspedia-matches'!$A:$AD,AR$2,0)</f>
        <v>Green</v>
      </c>
      <c r="AS64" t="str">
        <f>VLOOKUP($AC64,'oddspedia-matches'!$A:$AD,AS$2,0)</f>
        <v>Green</v>
      </c>
      <c r="AT64" t="str">
        <f>VLOOKUP($AC64,'oddspedia-matches'!$A:$AD,AT$2,0)</f>
        <v>Red</v>
      </c>
    </row>
    <row r="65" spans="2:46" x14ac:dyDescent="0.25">
      <c r="B65" s="17" t="s">
        <v>485</v>
      </c>
      <c r="C65" s="8" t="s">
        <v>19</v>
      </c>
      <c r="D65" s="18">
        <v>0.91666666666666663</v>
      </c>
      <c r="E65" s="8" t="s">
        <v>83</v>
      </c>
      <c r="F65" s="8" t="s">
        <v>84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s="8">
        <v>28.6</v>
      </c>
      <c r="Y65" s="8">
        <v>25</v>
      </c>
      <c r="Z65" s="19"/>
      <c r="AA65" t="str">
        <f>VLOOKUP(E65,'Transform table'!A:B,2,0)</f>
        <v>Colorado Switchbacks</v>
      </c>
      <c r="AB65" t="str">
        <f>VLOOKUP(F65,'Transform table'!A:B,2,0)</f>
        <v>Miami FC</v>
      </c>
      <c r="AC65" t="str">
        <f t="shared" si="0"/>
        <v>22/07/2026Colorado SwitchbacksMiami FC</v>
      </c>
      <c r="AD65" t="str">
        <f>VLOOKUP($AC65,'oddspedia-matches'!$A:$AD,AD$2,0)</f>
        <v>2 - 0</v>
      </c>
      <c r="AE65" t="str">
        <f>VLOOKUP($AC65,'oddspedia-matches'!$A:$AD,AE$2,0)</f>
        <v>Green</v>
      </c>
      <c r="AF65" t="str">
        <f>VLOOKUP($AC65,'oddspedia-matches'!$A:$AD,AF$2,0)</f>
        <v>Red</v>
      </c>
      <c r="AG65" t="str">
        <f>VLOOKUP($AC65,'oddspedia-matches'!$A:$AD,AG$2,0)</f>
        <v>Red</v>
      </c>
      <c r="AH65" t="str">
        <f>VLOOKUP($AC65,'oddspedia-matches'!$A:$AD,AH$2,0)</f>
        <v>Green</v>
      </c>
      <c r="AI65" t="str">
        <f>VLOOKUP($AC65,'oddspedia-matches'!$A:$AD,AI$2,0)</f>
        <v>Red</v>
      </c>
      <c r="AJ65" t="str">
        <f>VLOOKUP($AC65,'oddspedia-matches'!$A:$AD,AJ$2,0)</f>
        <v>Green</v>
      </c>
      <c r="AK65" t="str">
        <f>VLOOKUP($AC65,'oddspedia-matches'!$A:$AD,AK$2,0)</f>
        <v>Red</v>
      </c>
      <c r="AL65" t="str">
        <f>VLOOKUP($AC65,'oddspedia-matches'!$A:$AD,AL$2,0)</f>
        <v>Green</v>
      </c>
      <c r="AM65" t="str">
        <f>VLOOKUP($AC65,'oddspedia-matches'!$A:$AD,AM$2,0)</f>
        <v>Red</v>
      </c>
      <c r="AN65" t="str">
        <f>VLOOKUP($AC65,'oddspedia-matches'!$A:$AD,AN$2,0)</f>
        <v>Red</v>
      </c>
      <c r="AO65" t="str">
        <f>VLOOKUP($AC65,'oddspedia-matches'!$A:$AD,AO$2,0)</f>
        <v>Green</v>
      </c>
      <c r="AP65" t="str">
        <f>VLOOKUP($AC65,'oddspedia-matches'!$A:$AD,AP$2,0)</f>
        <v>Red</v>
      </c>
      <c r="AQ65" t="str">
        <f>VLOOKUP($AC65,'oddspedia-matches'!$A:$AD,AQ$2,0)</f>
        <v>Green</v>
      </c>
      <c r="AR65" t="str">
        <f>VLOOKUP($AC65,'oddspedia-matches'!$A:$AD,AR$2,0)</f>
        <v>Green</v>
      </c>
      <c r="AS65" t="str">
        <f>VLOOKUP($AC65,'oddspedia-matches'!$A:$AD,AS$2,0)</f>
        <v>Red</v>
      </c>
      <c r="AT65" t="str">
        <f>VLOOKUP($AC65,'oddspedia-matches'!$A:$AD,AT$2,0)</f>
        <v>Green</v>
      </c>
    </row>
    <row r="66" spans="2:46" x14ac:dyDescent="0.25">
      <c r="B66" s="9" t="s">
        <v>484</v>
      </c>
      <c r="C66" s="7" t="s">
        <v>19</v>
      </c>
      <c r="D66" s="20">
        <v>0.91666666666666663</v>
      </c>
      <c r="E66" s="7" t="s">
        <v>85</v>
      </c>
      <c r="F66" s="7" t="s">
        <v>86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s="7" t="s">
        <v>22</v>
      </c>
      <c r="Y66" s="7" t="s">
        <v>22</v>
      </c>
      <c r="Z66" s="21"/>
      <c r="AA66" t="str">
        <f>VLOOKUP(E66,'Transform table'!A:B,2,0)</f>
        <v>Vancouver Whitecaps II</v>
      </c>
      <c r="AB66" t="str">
        <f>VLOOKUP(F66,'Transform table'!A:B,2,0)</f>
        <v>Austin FC II</v>
      </c>
      <c r="AC66" t="str">
        <f t="shared" si="0"/>
        <v>22/07/2026Vancouver Whitecaps IIAustin FC II</v>
      </c>
      <c r="AD66" t="str">
        <f>VLOOKUP($AC66,'oddspedia-matches'!$A:$AD,AD$2,0)</f>
        <v>0 - 4</v>
      </c>
      <c r="AE66" t="str">
        <f>VLOOKUP($AC66,'oddspedia-matches'!$A:$AD,AE$2,0)</f>
        <v>Red</v>
      </c>
      <c r="AF66" t="str">
        <f>VLOOKUP($AC66,'oddspedia-matches'!$A:$AD,AF$2,0)</f>
        <v>Red</v>
      </c>
      <c r="AG66" t="str">
        <f>VLOOKUP($AC66,'oddspedia-matches'!$A:$AD,AG$2,0)</f>
        <v>Green</v>
      </c>
      <c r="AH66" t="str">
        <f>VLOOKUP($AC66,'oddspedia-matches'!$A:$AD,AH$2,0)</f>
        <v>Red</v>
      </c>
      <c r="AI66" t="str">
        <f>VLOOKUP($AC66,'oddspedia-matches'!$A:$AD,AI$2,0)</f>
        <v>Green</v>
      </c>
      <c r="AJ66" t="str">
        <f>VLOOKUP($AC66,'oddspedia-matches'!$A:$AD,AJ$2,0)</f>
        <v>Green</v>
      </c>
      <c r="AK66" t="str">
        <f>VLOOKUP($AC66,'oddspedia-matches'!$A:$AD,AK$2,0)</f>
        <v>Red</v>
      </c>
      <c r="AL66" t="str">
        <f>VLOOKUP($AC66,'oddspedia-matches'!$A:$AD,AL$2,0)</f>
        <v>Red</v>
      </c>
      <c r="AM66" t="str">
        <f>VLOOKUP($AC66,'oddspedia-matches'!$A:$AD,AM$2,0)</f>
        <v>Green</v>
      </c>
      <c r="AN66" t="str">
        <f>VLOOKUP($AC66,'oddspedia-matches'!$A:$AD,AN$2,0)</f>
        <v>Green</v>
      </c>
      <c r="AO66" t="str">
        <f>VLOOKUP($AC66,'oddspedia-matches'!$A:$AD,AO$2,0)</f>
        <v>Green</v>
      </c>
      <c r="AP66" t="str">
        <f>VLOOKUP($AC66,'oddspedia-matches'!$A:$AD,AP$2,0)</f>
        <v>Green</v>
      </c>
      <c r="AQ66" t="str">
        <f>VLOOKUP($AC66,'oddspedia-matches'!$A:$AD,AQ$2,0)</f>
        <v>Red</v>
      </c>
      <c r="AR66" t="str">
        <f>VLOOKUP($AC66,'oddspedia-matches'!$A:$AD,AR$2,0)</f>
        <v>Red</v>
      </c>
      <c r="AS66" t="str">
        <f>VLOOKUP($AC66,'oddspedia-matches'!$A:$AD,AS$2,0)</f>
        <v>Red</v>
      </c>
      <c r="AT66" t="str">
        <f>VLOOKUP($AC66,'oddspedia-matches'!$A:$AD,AT$2,0)</f>
        <v>Green</v>
      </c>
    </row>
    <row r="67" spans="2:46" x14ac:dyDescent="0.25">
      <c r="B67" s="17" t="s">
        <v>486</v>
      </c>
      <c r="C67" s="8" t="s">
        <v>19</v>
      </c>
      <c r="D67" s="18">
        <v>0.9375</v>
      </c>
      <c r="E67" s="8" t="s">
        <v>87</v>
      </c>
      <c r="F67" s="8" t="s">
        <v>88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s="8">
        <v>33.299999999999997</v>
      </c>
      <c r="Y67" s="8">
        <v>16.7</v>
      </c>
      <c r="Z67" s="19"/>
      <c r="AA67" t="str">
        <f>VLOOKUP(E67,'Transform table'!A:B,2,0)</f>
        <v>Colorado Rapids</v>
      </c>
      <c r="AB67" t="str">
        <f>VLOOKUP(F67,'Transform table'!A:B,2,0)</f>
        <v>San Diego FC</v>
      </c>
      <c r="AC67" t="str">
        <f t="shared" si="0"/>
        <v>22/07/2026Colorado RapidsSan Diego FC</v>
      </c>
      <c r="AD67" t="str">
        <f>VLOOKUP($AC67,'oddspedia-matches'!$A:$AD,AD$2,0)</f>
        <v>1 - 0</v>
      </c>
      <c r="AE67" t="str">
        <f>VLOOKUP($AC67,'oddspedia-matches'!$A:$AD,AE$2,0)</f>
        <v>Green</v>
      </c>
      <c r="AF67" t="str">
        <f>VLOOKUP($AC67,'oddspedia-matches'!$A:$AD,AF$2,0)</f>
        <v>Red</v>
      </c>
      <c r="AG67" t="str">
        <f>VLOOKUP($AC67,'oddspedia-matches'!$A:$AD,AG$2,0)</f>
        <v>Red</v>
      </c>
      <c r="AH67" t="str">
        <f>VLOOKUP($AC67,'oddspedia-matches'!$A:$AD,AH$2,0)</f>
        <v>Green</v>
      </c>
      <c r="AI67" t="str">
        <f>VLOOKUP($AC67,'oddspedia-matches'!$A:$AD,AI$2,0)</f>
        <v>Red</v>
      </c>
      <c r="AJ67" t="str">
        <f>VLOOKUP($AC67,'oddspedia-matches'!$A:$AD,AJ$2,0)</f>
        <v>Green</v>
      </c>
      <c r="AK67" t="str">
        <f>VLOOKUP($AC67,'oddspedia-matches'!$A:$AD,AK$2,0)</f>
        <v>Red</v>
      </c>
      <c r="AL67" t="str">
        <f>VLOOKUP($AC67,'oddspedia-matches'!$A:$AD,AL$2,0)</f>
        <v>Green</v>
      </c>
      <c r="AM67" t="str">
        <f>VLOOKUP($AC67,'oddspedia-matches'!$A:$AD,AM$2,0)</f>
        <v>Red</v>
      </c>
      <c r="AN67" t="str">
        <f>VLOOKUP($AC67,'oddspedia-matches'!$A:$AD,AN$2,0)</f>
        <v>Red</v>
      </c>
      <c r="AO67" t="str">
        <f>VLOOKUP($AC67,'oddspedia-matches'!$A:$AD,AO$2,0)</f>
        <v>Red</v>
      </c>
      <c r="AP67" t="str">
        <f>VLOOKUP($AC67,'oddspedia-matches'!$A:$AD,AP$2,0)</f>
        <v>Red</v>
      </c>
      <c r="AQ67" t="str">
        <f>VLOOKUP($AC67,'oddspedia-matches'!$A:$AD,AQ$2,0)</f>
        <v>Green</v>
      </c>
      <c r="AR67" t="str">
        <f>VLOOKUP($AC67,'oddspedia-matches'!$A:$AD,AR$2,0)</f>
        <v>Green</v>
      </c>
      <c r="AS67" t="str">
        <f>VLOOKUP($AC67,'oddspedia-matches'!$A:$AD,AS$2,0)</f>
        <v>Red</v>
      </c>
      <c r="AT67" t="str">
        <f>VLOOKUP($AC67,'oddspedia-matches'!$A:$AD,AT$2,0)</f>
        <v>Green</v>
      </c>
    </row>
    <row r="68" spans="2:46" x14ac:dyDescent="0.25">
      <c r="B68" s="9" t="s">
        <v>486</v>
      </c>
      <c r="C68" s="7" t="s">
        <v>19</v>
      </c>
      <c r="D68" s="20">
        <v>0.97916666666666663</v>
      </c>
      <c r="E68" s="7" t="s">
        <v>89</v>
      </c>
      <c r="F68" s="7" t="s">
        <v>90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s="7">
        <v>37.5</v>
      </c>
      <c r="Y68" s="7">
        <v>12.5</v>
      </c>
      <c r="Z68" s="21"/>
      <c r="AA68" t="str">
        <f>VLOOKUP(E68,'Transform table'!A:B,2,0)</f>
        <v>LA Galaxy</v>
      </c>
      <c r="AB68" t="str">
        <f>VLOOKUP(F68,'Transform table'!A:B,2,0)</f>
        <v>Saint Louis City</v>
      </c>
      <c r="AC68" t="str">
        <f t="shared" si="0"/>
        <v>22/07/2026LA GalaxySaint Louis City</v>
      </c>
      <c r="AD68" t="str">
        <f>VLOOKUP($AC68,'oddspedia-matches'!$A:$AD,AD$2,0)</f>
        <v>1 - 3</v>
      </c>
      <c r="AE68" t="str">
        <f>VLOOKUP($AC68,'oddspedia-matches'!$A:$AD,AE$2,0)</f>
        <v>Red</v>
      </c>
      <c r="AF68" t="str">
        <f>VLOOKUP($AC68,'oddspedia-matches'!$A:$AD,AF$2,0)</f>
        <v>Red</v>
      </c>
      <c r="AG68" t="str">
        <f>VLOOKUP($AC68,'oddspedia-matches'!$A:$AD,AG$2,0)</f>
        <v>Green</v>
      </c>
      <c r="AH68" t="str">
        <f>VLOOKUP($AC68,'oddspedia-matches'!$A:$AD,AH$2,0)</f>
        <v>Red</v>
      </c>
      <c r="AI68" t="str">
        <f>VLOOKUP($AC68,'oddspedia-matches'!$A:$AD,AI$2,0)</f>
        <v>Green</v>
      </c>
      <c r="AJ68" t="str">
        <f>VLOOKUP($AC68,'oddspedia-matches'!$A:$AD,AJ$2,0)</f>
        <v>Green</v>
      </c>
      <c r="AK68" t="str">
        <f>VLOOKUP($AC68,'oddspedia-matches'!$A:$AD,AK$2,0)</f>
        <v>Red</v>
      </c>
      <c r="AL68" t="str">
        <f>VLOOKUP($AC68,'oddspedia-matches'!$A:$AD,AL$2,0)</f>
        <v>Red</v>
      </c>
      <c r="AM68" t="str">
        <f>VLOOKUP($AC68,'oddspedia-matches'!$A:$AD,AM$2,0)</f>
        <v>Green</v>
      </c>
      <c r="AN68" t="str">
        <f>VLOOKUP($AC68,'oddspedia-matches'!$A:$AD,AN$2,0)</f>
        <v>Green</v>
      </c>
      <c r="AO68" t="str">
        <f>VLOOKUP($AC68,'oddspedia-matches'!$A:$AD,AO$2,0)</f>
        <v>Green</v>
      </c>
      <c r="AP68" t="str">
        <f>VLOOKUP($AC68,'oddspedia-matches'!$A:$AD,AP$2,0)</f>
        <v>Green</v>
      </c>
      <c r="AQ68" t="str">
        <f>VLOOKUP($AC68,'oddspedia-matches'!$A:$AD,AQ$2,0)</f>
        <v>Red</v>
      </c>
      <c r="AR68" t="str">
        <f>VLOOKUP($AC68,'oddspedia-matches'!$A:$AD,AR$2,0)</f>
        <v>Red</v>
      </c>
      <c r="AS68" t="str">
        <f>VLOOKUP($AC68,'oddspedia-matches'!$A:$AD,AS$2,0)</f>
        <v>Green</v>
      </c>
      <c r="AT68" t="str">
        <f>VLOOKUP($AC68,'oddspedia-matches'!$A:$AD,AT$2,0)</f>
        <v>Red</v>
      </c>
    </row>
    <row r="69" spans="2:46" x14ac:dyDescent="0.25">
      <c r="B69" s="17" t="s">
        <v>486</v>
      </c>
      <c r="C69" s="8" t="s">
        <v>19</v>
      </c>
      <c r="D69" s="18">
        <v>0.97916666666666663</v>
      </c>
      <c r="E69" s="8" t="s">
        <v>91</v>
      </c>
      <c r="F69" s="8" t="s">
        <v>92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s="8">
        <v>12.5</v>
      </c>
      <c r="Y69" s="8">
        <v>16.7</v>
      </c>
      <c r="Z69" s="19"/>
      <c r="AA69" t="str">
        <f>VLOOKUP(E69,'Transform table'!A:B,2,0)</f>
        <v>Los Angeles FC</v>
      </c>
      <c r="AB69" t="str">
        <f>VLOOKUP(F69,'Transform table'!A:B,2,0)</f>
        <v>Real Salt Lake</v>
      </c>
      <c r="AC69" t="str">
        <f t="shared" ref="AC69:AC132" si="1">C69&amp;AA69&amp;AB69</f>
        <v>22/07/2026Los Angeles FCReal Salt Lake</v>
      </c>
      <c r="AD69" t="str">
        <f>VLOOKUP($AC69,'oddspedia-matches'!$A:$AD,AD$2,0)</f>
        <v>3 - 1</v>
      </c>
      <c r="AE69" t="str">
        <f>VLOOKUP($AC69,'oddspedia-matches'!$A:$AD,AE$2,0)</f>
        <v>Green</v>
      </c>
      <c r="AF69" t="str">
        <f>VLOOKUP($AC69,'oddspedia-matches'!$A:$AD,AF$2,0)</f>
        <v>Red</v>
      </c>
      <c r="AG69" t="str">
        <f>VLOOKUP($AC69,'oddspedia-matches'!$A:$AD,AG$2,0)</f>
        <v>Red</v>
      </c>
      <c r="AH69" t="str">
        <f>VLOOKUP($AC69,'oddspedia-matches'!$A:$AD,AH$2,0)</f>
        <v>Green</v>
      </c>
      <c r="AI69" t="str">
        <f>VLOOKUP($AC69,'oddspedia-matches'!$A:$AD,AI$2,0)</f>
        <v>Red</v>
      </c>
      <c r="AJ69" t="str">
        <f>VLOOKUP($AC69,'oddspedia-matches'!$A:$AD,AJ$2,0)</f>
        <v>Green</v>
      </c>
      <c r="AK69" t="str">
        <f>VLOOKUP($AC69,'oddspedia-matches'!$A:$AD,AK$2,0)</f>
        <v>Green</v>
      </c>
      <c r="AL69" t="str">
        <f>VLOOKUP($AC69,'oddspedia-matches'!$A:$AD,AL$2,0)</f>
        <v>Red</v>
      </c>
      <c r="AM69" t="str">
        <f>VLOOKUP($AC69,'oddspedia-matches'!$A:$AD,AM$2,0)</f>
        <v>Red</v>
      </c>
      <c r="AN69" t="str">
        <f>VLOOKUP($AC69,'oddspedia-matches'!$A:$AD,AN$2,0)</f>
        <v>Green</v>
      </c>
      <c r="AO69" t="str">
        <f>VLOOKUP($AC69,'oddspedia-matches'!$A:$AD,AO$2,0)</f>
        <v>Green</v>
      </c>
      <c r="AP69" t="str">
        <f>VLOOKUP($AC69,'oddspedia-matches'!$A:$AD,AP$2,0)</f>
        <v>Green</v>
      </c>
      <c r="AQ69" t="str">
        <f>VLOOKUP($AC69,'oddspedia-matches'!$A:$AD,AQ$2,0)</f>
        <v>Red</v>
      </c>
      <c r="AR69" t="str">
        <f>VLOOKUP($AC69,'oddspedia-matches'!$A:$AD,AR$2,0)</f>
        <v>Red</v>
      </c>
      <c r="AS69" t="str">
        <f>VLOOKUP($AC69,'oddspedia-matches'!$A:$AD,AS$2,0)</f>
        <v>Green</v>
      </c>
      <c r="AT69" t="str">
        <f>VLOOKUP($AC69,'oddspedia-matches'!$A:$AD,AT$2,0)</f>
        <v>Red</v>
      </c>
    </row>
    <row r="70" spans="2:46" x14ac:dyDescent="0.25">
      <c r="B70" s="9" t="s">
        <v>486</v>
      </c>
      <c r="C70" s="7" t="s">
        <v>19</v>
      </c>
      <c r="D70" s="20">
        <v>0.97916666666666663</v>
      </c>
      <c r="E70" s="7" t="s">
        <v>93</v>
      </c>
      <c r="F70" s="7" t="s">
        <v>94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s="7">
        <v>50</v>
      </c>
      <c r="Y70" s="7">
        <v>16.7</v>
      </c>
      <c r="Z70" s="21"/>
      <c r="AA70" t="str">
        <f>VLOOKUP(E70,'Transform table'!A:B,2,0)</f>
        <v>Portland Timbers</v>
      </c>
      <c r="AB70" t="str">
        <f>VLOOKUP(F70,'Transform table'!A:B,2,0)</f>
        <v>Dallas</v>
      </c>
      <c r="AC70" t="str">
        <f t="shared" si="1"/>
        <v>22/07/2026Portland TimbersDallas</v>
      </c>
      <c r="AD70" t="str">
        <f>VLOOKUP($AC70,'oddspedia-matches'!$A:$AD,AD$2,0)</f>
        <v>2 - 2</v>
      </c>
      <c r="AE70" t="str">
        <f>VLOOKUP($AC70,'oddspedia-matches'!$A:$AD,AE$2,0)</f>
        <v>Red</v>
      </c>
      <c r="AF70" t="str">
        <f>VLOOKUP($AC70,'oddspedia-matches'!$A:$AD,AF$2,0)</f>
        <v>Green</v>
      </c>
      <c r="AG70" t="str">
        <f>VLOOKUP($AC70,'oddspedia-matches'!$A:$AD,AG$2,0)</f>
        <v>Red</v>
      </c>
      <c r="AH70" t="str">
        <f>VLOOKUP($AC70,'oddspedia-matches'!$A:$AD,AH$2,0)</f>
        <v>Green</v>
      </c>
      <c r="AI70" t="str">
        <f>VLOOKUP($AC70,'oddspedia-matches'!$A:$AD,AI$2,0)</f>
        <v>Green</v>
      </c>
      <c r="AJ70" t="str">
        <f>VLOOKUP($AC70,'oddspedia-matches'!$A:$AD,AJ$2,0)</f>
        <v>Red</v>
      </c>
      <c r="AK70" t="str">
        <f>VLOOKUP($AC70,'oddspedia-matches'!$A:$AD,AK$2,0)</f>
        <v>Red</v>
      </c>
      <c r="AL70" t="str">
        <f>VLOOKUP($AC70,'oddspedia-matches'!$A:$AD,AL$2,0)</f>
        <v>Red</v>
      </c>
      <c r="AM70" t="str">
        <f>VLOOKUP($AC70,'oddspedia-matches'!$A:$AD,AM$2,0)</f>
        <v>Green</v>
      </c>
      <c r="AN70" t="str">
        <f>VLOOKUP($AC70,'oddspedia-matches'!$A:$AD,AN$2,0)</f>
        <v>Green</v>
      </c>
      <c r="AO70" t="str">
        <f>VLOOKUP($AC70,'oddspedia-matches'!$A:$AD,AO$2,0)</f>
        <v>Green</v>
      </c>
      <c r="AP70" t="str">
        <f>VLOOKUP($AC70,'oddspedia-matches'!$A:$AD,AP$2,0)</f>
        <v>Green</v>
      </c>
      <c r="AQ70" t="str">
        <f>VLOOKUP($AC70,'oddspedia-matches'!$A:$AD,AQ$2,0)</f>
        <v>Red</v>
      </c>
      <c r="AR70" t="str">
        <f>VLOOKUP($AC70,'oddspedia-matches'!$A:$AD,AR$2,0)</f>
        <v>Red</v>
      </c>
      <c r="AS70" t="str">
        <f>VLOOKUP($AC70,'oddspedia-matches'!$A:$AD,AS$2,0)</f>
        <v>Green</v>
      </c>
      <c r="AT70" t="str">
        <f>VLOOKUP($AC70,'oddspedia-matches'!$A:$AD,AT$2,0)</f>
        <v>Red</v>
      </c>
    </row>
    <row r="71" spans="2:46" x14ac:dyDescent="0.25">
      <c r="B71" s="17" t="s">
        <v>486</v>
      </c>
      <c r="C71" s="8" t="s">
        <v>19</v>
      </c>
      <c r="D71" s="18">
        <v>0.97916666666666663</v>
      </c>
      <c r="E71" s="8" t="s">
        <v>95</v>
      </c>
      <c r="F71" s="8" t="s">
        <v>96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s="8">
        <v>42.9</v>
      </c>
      <c r="Y71" s="8">
        <v>50</v>
      </c>
      <c r="Z71" s="19"/>
      <c r="AA71" t="str">
        <f>VLOOKUP(E71,'Transform table'!A:B,2,0)</f>
        <v>San Jose Earthquakes</v>
      </c>
      <c r="AB71" t="str">
        <f>VLOOKUP(F71,'Transform table'!A:B,2,0)</f>
        <v>Orlando City</v>
      </c>
      <c r="AC71" t="str">
        <f t="shared" si="1"/>
        <v>22/07/2026San Jose EarthquakesOrlando City</v>
      </c>
      <c r="AD71" t="str">
        <f>VLOOKUP($AC71,'oddspedia-matches'!$A:$AD,AD$2,0)</f>
        <v>0 - 4</v>
      </c>
      <c r="AE71" t="str">
        <f>VLOOKUP($AC71,'oddspedia-matches'!$A:$AD,AE$2,0)</f>
        <v>Red</v>
      </c>
      <c r="AF71" t="str">
        <f>VLOOKUP($AC71,'oddspedia-matches'!$A:$AD,AF$2,0)</f>
        <v>Red</v>
      </c>
      <c r="AG71" t="str">
        <f>VLOOKUP($AC71,'oddspedia-matches'!$A:$AD,AG$2,0)</f>
        <v>Green</v>
      </c>
      <c r="AH71" t="str">
        <f>VLOOKUP($AC71,'oddspedia-matches'!$A:$AD,AH$2,0)</f>
        <v>Red</v>
      </c>
      <c r="AI71" t="str">
        <f>VLOOKUP($AC71,'oddspedia-matches'!$A:$AD,AI$2,0)</f>
        <v>Green</v>
      </c>
      <c r="AJ71" t="str">
        <f>VLOOKUP($AC71,'oddspedia-matches'!$A:$AD,AJ$2,0)</f>
        <v>Green</v>
      </c>
      <c r="AK71" t="str">
        <f>VLOOKUP($AC71,'oddspedia-matches'!$A:$AD,AK$2,0)</f>
        <v>Red</v>
      </c>
      <c r="AL71" t="str">
        <f>VLOOKUP($AC71,'oddspedia-matches'!$A:$AD,AL$2,0)</f>
        <v>Red</v>
      </c>
      <c r="AM71" t="str">
        <f>VLOOKUP($AC71,'oddspedia-matches'!$A:$AD,AM$2,0)</f>
        <v>Green</v>
      </c>
      <c r="AN71" t="str">
        <f>VLOOKUP($AC71,'oddspedia-matches'!$A:$AD,AN$2,0)</f>
        <v>Green</v>
      </c>
      <c r="AO71" t="str">
        <f>VLOOKUP($AC71,'oddspedia-matches'!$A:$AD,AO$2,0)</f>
        <v>Green</v>
      </c>
      <c r="AP71" t="str">
        <f>VLOOKUP($AC71,'oddspedia-matches'!$A:$AD,AP$2,0)</f>
        <v>Green</v>
      </c>
      <c r="AQ71" t="str">
        <f>VLOOKUP($AC71,'oddspedia-matches'!$A:$AD,AQ$2,0)</f>
        <v>Red</v>
      </c>
      <c r="AR71" t="str">
        <f>VLOOKUP($AC71,'oddspedia-matches'!$A:$AD,AR$2,0)</f>
        <v>Red</v>
      </c>
      <c r="AS71" t="str">
        <f>VLOOKUP($AC71,'oddspedia-matches'!$A:$AD,AS$2,0)</f>
        <v>Red</v>
      </c>
      <c r="AT71" t="str">
        <f>VLOOKUP($AC71,'oddspedia-matches'!$A:$AD,AT$2,0)</f>
        <v>Green</v>
      </c>
    </row>
    <row r="72" spans="2:46" x14ac:dyDescent="0.25">
      <c r="B72" s="9" t="s">
        <v>484</v>
      </c>
      <c r="C72" s="7" t="s">
        <v>97</v>
      </c>
      <c r="D72" s="20">
        <v>0.5</v>
      </c>
      <c r="E72" s="7" t="s">
        <v>98</v>
      </c>
      <c r="F72" s="7" t="s">
        <v>99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s="7" t="s">
        <v>22</v>
      </c>
      <c r="Y72" s="7" t="s">
        <v>22</v>
      </c>
      <c r="Z72" s="21"/>
      <c r="AA72" t="str">
        <f>VLOOKUP(E72,'Transform table'!A:B,2,0)</f>
        <v>New England Revolution II</v>
      </c>
      <c r="AB72" t="str">
        <f>VLOOKUP(F72,'Transform table'!A:B,2,0)</f>
        <v>New York City II</v>
      </c>
      <c r="AC72" t="str">
        <f t="shared" si="1"/>
        <v>23/07/2026New England Revolution IINew York City II</v>
      </c>
      <c r="AD72" t="str">
        <f>VLOOKUP($AC72,'oddspedia-matches'!$A:$AD,AD$2,0)</f>
        <v>3 - 0</v>
      </c>
      <c r="AE72" t="str">
        <f>VLOOKUP($AC72,'oddspedia-matches'!$A:$AD,AE$2,0)</f>
        <v>Green</v>
      </c>
      <c r="AF72" t="str">
        <f>VLOOKUP($AC72,'oddspedia-matches'!$A:$AD,AF$2,0)</f>
        <v>Red</v>
      </c>
      <c r="AG72" t="str">
        <f>VLOOKUP($AC72,'oddspedia-matches'!$A:$AD,AG$2,0)</f>
        <v>Red</v>
      </c>
      <c r="AH72" t="str">
        <f>VLOOKUP($AC72,'oddspedia-matches'!$A:$AD,AH$2,0)</f>
        <v>Green</v>
      </c>
      <c r="AI72" t="str">
        <f>VLOOKUP($AC72,'oddspedia-matches'!$A:$AD,AI$2,0)</f>
        <v>Red</v>
      </c>
      <c r="AJ72" t="str">
        <f>VLOOKUP($AC72,'oddspedia-matches'!$A:$AD,AJ$2,0)</f>
        <v>Green</v>
      </c>
      <c r="AK72" t="str">
        <f>VLOOKUP($AC72,'oddspedia-matches'!$A:$AD,AK$2,0)</f>
        <v>Green</v>
      </c>
      <c r="AL72" t="str">
        <f>VLOOKUP($AC72,'oddspedia-matches'!$A:$AD,AL$2,0)</f>
        <v>Red</v>
      </c>
      <c r="AM72" t="str">
        <f>VLOOKUP($AC72,'oddspedia-matches'!$A:$AD,AM$2,0)</f>
        <v>Red</v>
      </c>
      <c r="AN72" t="str">
        <f>VLOOKUP($AC72,'oddspedia-matches'!$A:$AD,AN$2,0)</f>
        <v>Green</v>
      </c>
      <c r="AO72" t="str">
        <f>VLOOKUP($AC72,'oddspedia-matches'!$A:$AD,AO$2,0)</f>
        <v>Green</v>
      </c>
      <c r="AP72" t="str">
        <f>VLOOKUP($AC72,'oddspedia-matches'!$A:$AD,AP$2,0)</f>
        <v>Green</v>
      </c>
      <c r="AQ72" t="str">
        <f>VLOOKUP($AC72,'oddspedia-matches'!$A:$AD,AQ$2,0)</f>
        <v>Red</v>
      </c>
      <c r="AR72" t="str">
        <f>VLOOKUP($AC72,'oddspedia-matches'!$A:$AD,AR$2,0)</f>
        <v>Green</v>
      </c>
      <c r="AS72" t="str">
        <f>VLOOKUP($AC72,'oddspedia-matches'!$A:$AD,AS$2,0)</f>
        <v>Red</v>
      </c>
      <c r="AT72" t="str">
        <f>VLOOKUP($AC72,'oddspedia-matches'!$A:$AD,AT$2,0)</f>
        <v>Green</v>
      </c>
    </row>
    <row r="73" spans="2:46" x14ac:dyDescent="0.25">
      <c r="B73" s="17" t="s">
        <v>487</v>
      </c>
      <c r="C73" s="8" t="s">
        <v>97</v>
      </c>
      <c r="D73" s="18">
        <v>0.67708333333333337</v>
      </c>
      <c r="E73" s="8" t="s">
        <v>100</v>
      </c>
      <c r="F73" s="8" t="s">
        <v>101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s="8">
        <v>0</v>
      </c>
      <c r="Y73" s="8">
        <v>50</v>
      </c>
      <c r="Z73" s="19"/>
      <c r="AA73" t="str">
        <f>VLOOKUP(E73,'Transform table'!A:B,2,0)</f>
        <v>Leiknir Reykjavik</v>
      </c>
      <c r="AB73" t="str">
        <f>VLOOKUP(F73,'Transform table'!A:B,2,0)</f>
        <v xml:space="preserve">Throttur </v>
      </c>
      <c r="AC73" t="str">
        <f t="shared" si="1"/>
        <v xml:space="preserve">23/07/2026Leiknir ReykjavikThrottur </v>
      </c>
      <c r="AD73" t="str">
        <f>VLOOKUP($AC73,'oddspedia-matches'!$A:$AD,AD$2,0)</f>
        <v>1 - 5</v>
      </c>
      <c r="AE73" t="str">
        <f>VLOOKUP($AC73,'oddspedia-matches'!$A:$AD,AE$2,0)</f>
        <v>Red</v>
      </c>
      <c r="AF73" t="str">
        <f>VLOOKUP($AC73,'oddspedia-matches'!$A:$AD,AF$2,0)</f>
        <v>Red</v>
      </c>
      <c r="AG73" t="str">
        <f>VLOOKUP($AC73,'oddspedia-matches'!$A:$AD,AG$2,0)</f>
        <v>Green</v>
      </c>
      <c r="AH73" t="str">
        <f>VLOOKUP($AC73,'oddspedia-matches'!$A:$AD,AH$2,0)</f>
        <v>Red</v>
      </c>
      <c r="AI73" t="str">
        <f>VLOOKUP($AC73,'oddspedia-matches'!$A:$AD,AI$2,0)</f>
        <v>Green</v>
      </c>
      <c r="AJ73" t="str">
        <f>VLOOKUP($AC73,'oddspedia-matches'!$A:$AD,AJ$2,0)</f>
        <v>Green</v>
      </c>
      <c r="AK73" t="str">
        <f>VLOOKUP($AC73,'oddspedia-matches'!$A:$AD,AK$2,0)</f>
        <v>Red</v>
      </c>
      <c r="AL73" t="str">
        <f>VLOOKUP($AC73,'oddspedia-matches'!$A:$AD,AL$2,0)</f>
        <v>Red</v>
      </c>
      <c r="AM73" t="str">
        <f>VLOOKUP($AC73,'oddspedia-matches'!$A:$AD,AM$2,0)</f>
        <v>Green</v>
      </c>
      <c r="AN73" t="str">
        <f>VLOOKUP($AC73,'oddspedia-matches'!$A:$AD,AN$2,0)</f>
        <v>Green</v>
      </c>
      <c r="AO73" t="str">
        <f>VLOOKUP($AC73,'oddspedia-matches'!$A:$AD,AO$2,0)</f>
        <v>Green</v>
      </c>
      <c r="AP73" t="str">
        <f>VLOOKUP($AC73,'oddspedia-matches'!$A:$AD,AP$2,0)</f>
        <v>Green</v>
      </c>
      <c r="AQ73" t="str">
        <f>VLOOKUP($AC73,'oddspedia-matches'!$A:$AD,AQ$2,0)</f>
        <v>Red</v>
      </c>
      <c r="AR73" t="str">
        <f>VLOOKUP($AC73,'oddspedia-matches'!$A:$AD,AR$2,0)</f>
        <v>Red</v>
      </c>
      <c r="AS73" t="str">
        <f>VLOOKUP($AC73,'oddspedia-matches'!$A:$AD,AS$2,0)</f>
        <v>Green</v>
      </c>
      <c r="AT73" t="str">
        <f>VLOOKUP($AC73,'oddspedia-matches'!$A:$AD,AT$2,0)</f>
        <v>Red</v>
      </c>
    </row>
    <row r="74" spans="2:46" x14ac:dyDescent="0.25">
      <c r="B74" s="9" t="s">
        <v>470</v>
      </c>
      <c r="C74" s="7" t="s">
        <v>97</v>
      </c>
      <c r="D74" s="20">
        <v>0.77083333333333337</v>
      </c>
      <c r="E74" s="7" t="s">
        <v>102</v>
      </c>
      <c r="F74" s="7" t="s">
        <v>103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s="7">
        <v>10</v>
      </c>
      <c r="Y74" s="7">
        <v>11.1</v>
      </c>
      <c r="Z74" s="21"/>
      <c r="AA74" t="str">
        <f>VLOOKUP(E74,'Transform table'!A:B,2,0)</f>
        <v>CD Leones Del Norte</v>
      </c>
      <c r="AB74" t="str">
        <f>VLOOKUP(F74,'Transform table'!A:B,2,0)</f>
        <v>Guayaquil City FC</v>
      </c>
      <c r="AC74" t="str">
        <f t="shared" si="1"/>
        <v>23/07/2026CD Leones Del NorteGuayaquil City FC</v>
      </c>
      <c r="AD74" t="str">
        <f>VLOOKUP($AC74,'oddspedia-matches'!$A:$AD,AD$2,0)</f>
        <v>1 - 1</v>
      </c>
      <c r="AE74" t="str">
        <f>VLOOKUP($AC74,'oddspedia-matches'!$A:$AD,AE$2,0)</f>
        <v>Red</v>
      </c>
      <c r="AF74" t="str">
        <f>VLOOKUP($AC74,'oddspedia-matches'!$A:$AD,AF$2,0)</f>
        <v>Green</v>
      </c>
      <c r="AG74" t="str">
        <f>VLOOKUP($AC74,'oddspedia-matches'!$A:$AD,AG$2,0)</f>
        <v>Red</v>
      </c>
      <c r="AH74" t="str">
        <f>VLOOKUP($AC74,'oddspedia-matches'!$A:$AD,AH$2,0)</f>
        <v>Green</v>
      </c>
      <c r="AI74" t="str">
        <f>VLOOKUP($AC74,'oddspedia-matches'!$A:$AD,AI$2,0)</f>
        <v>Green</v>
      </c>
      <c r="AJ74" t="str">
        <f>VLOOKUP($AC74,'oddspedia-matches'!$A:$AD,AJ$2,0)</f>
        <v>Red</v>
      </c>
      <c r="AK74" t="str">
        <f>VLOOKUP($AC74,'oddspedia-matches'!$A:$AD,AK$2,0)</f>
        <v>Red</v>
      </c>
      <c r="AL74" t="str">
        <f>VLOOKUP($AC74,'oddspedia-matches'!$A:$AD,AL$2,0)</f>
        <v>Red</v>
      </c>
      <c r="AM74" t="str">
        <f>VLOOKUP($AC74,'oddspedia-matches'!$A:$AD,AM$2,0)</f>
        <v>Green</v>
      </c>
      <c r="AN74" t="str">
        <f>VLOOKUP($AC74,'oddspedia-matches'!$A:$AD,AN$2,0)</f>
        <v>Green</v>
      </c>
      <c r="AO74" t="str">
        <f>VLOOKUP($AC74,'oddspedia-matches'!$A:$AD,AO$2,0)</f>
        <v>Green</v>
      </c>
      <c r="AP74" t="str">
        <f>VLOOKUP($AC74,'oddspedia-matches'!$A:$AD,AP$2,0)</f>
        <v>Red</v>
      </c>
      <c r="AQ74" t="str">
        <f>VLOOKUP($AC74,'oddspedia-matches'!$A:$AD,AQ$2,0)</f>
        <v>Green</v>
      </c>
      <c r="AR74" t="str">
        <f>VLOOKUP($AC74,'oddspedia-matches'!$A:$AD,AR$2,0)</f>
        <v>Green</v>
      </c>
      <c r="AS74" t="str">
        <f>VLOOKUP($AC74,'oddspedia-matches'!$A:$AD,AS$2,0)</f>
        <v>Green</v>
      </c>
      <c r="AT74" t="str">
        <f>VLOOKUP($AC74,'oddspedia-matches'!$A:$AD,AT$2,0)</f>
        <v>Red</v>
      </c>
    </row>
    <row r="75" spans="2:46" x14ac:dyDescent="0.25">
      <c r="B75" s="17" t="s">
        <v>470</v>
      </c>
      <c r="C75" s="8" t="s">
        <v>97</v>
      </c>
      <c r="D75" s="18">
        <v>0.77083333333333337</v>
      </c>
      <c r="E75" s="8" t="s">
        <v>104</v>
      </c>
      <c r="F75" s="8" t="s">
        <v>105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s="8" t="s">
        <v>22</v>
      </c>
      <c r="Y75" s="8" t="s">
        <v>22</v>
      </c>
      <c r="Z75" s="19"/>
      <c r="AA75" t="str">
        <f>VLOOKUP(E75,'Transform table'!A:B,2,0)</f>
        <v>Orense SC</v>
      </c>
      <c r="AB75" t="str">
        <f>VLOOKUP(F75,'Transform table'!A:B,2,0)</f>
        <v>SD Aucas</v>
      </c>
      <c r="AC75" t="str">
        <f t="shared" si="1"/>
        <v>23/07/2026Orense SCSD Aucas</v>
      </c>
      <c r="AD75" t="str">
        <f>VLOOKUP($AC75,'oddspedia-matches'!$A:$AD,AD$2,0)</f>
        <v>2 - 1</v>
      </c>
      <c r="AE75" t="str">
        <f>VLOOKUP($AC75,'oddspedia-matches'!$A:$AD,AE$2,0)</f>
        <v>Green</v>
      </c>
      <c r="AF75" t="str">
        <f>VLOOKUP($AC75,'oddspedia-matches'!$A:$AD,AF$2,0)</f>
        <v>Red</v>
      </c>
      <c r="AG75" t="str">
        <f>VLOOKUP($AC75,'oddspedia-matches'!$A:$AD,AG$2,0)</f>
        <v>Red</v>
      </c>
      <c r="AH75" t="str">
        <f>VLOOKUP($AC75,'oddspedia-matches'!$A:$AD,AH$2,0)</f>
        <v>Green</v>
      </c>
      <c r="AI75" t="str">
        <f>VLOOKUP($AC75,'oddspedia-matches'!$A:$AD,AI$2,0)</f>
        <v>Red</v>
      </c>
      <c r="AJ75" t="str">
        <f>VLOOKUP($AC75,'oddspedia-matches'!$A:$AD,AJ$2,0)</f>
        <v>Green</v>
      </c>
      <c r="AK75" t="str">
        <f>VLOOKUP($AC75,'oddspedia-matches'!$A:$AD,AK$2,0)</f>
        <v>Red</v>
      </c>
      <c r="AL75" t="str">
        <f>VLOOKUP($AC75,'oddspedia-matches'!$A:$AD,AL$2,0)</f>
        <v>Green</v>
      </c>
      <c r="AM75" t="str">
        <f>VLOOKUP($AC75,'oddspedia-matches'!$A:$AD,AM$2,0)</f>
        <v>Red</v>
      </c>
      <c r="AN75" t="str">
        <f>VLOOKUP($AC75,'oddspedia-matches'!$A:$AD,AN$2,0)</f>
        <v>Green</v>
      </c>
      <c r="AO75" t="str">
        <f>VLOOKUP($AC75,'oddspedia-matches'!$A:$AD,AO$2,0)</f>
        <v>Green</v>
      </c>
      <c r="AP75" t="str">
        <f>VLOOKUP($AC75,'oddspedia-matches'!$A:$AD,AP$2,0)</f>
        <v>Green</v>
      </c>
      <c r="AQ75" t="str">
        <f>VLOOKUP($AC75,'oddspedia-matches'!$A:$AD,AQ$2,0)</f>
        <v>Red</v>
      </c>
      <c r="AR75" t="str">
        <f>VLOOKUP($AC75,'oddspedia-matches'!$A:$AD,AR$2,0)</f>
        <v>Green</v>
      </c>
      <c r="AS75" t="str">
        <f>VLOOKUP($AC75,'oddspedia-matches'!$A:$AD,AS$2,0)</f>
        <v>Green</v>
      </c>
      <c r="AT75" t="str">
        <f>VLOOKUP($AC75,'oddspedia-matches'!$A:$AD,AT$2,0)</f>
        <v>Red</v>
      </c>
    </row>
    <row r="76" spans="2:46" x14ac:dyDescent="0.25">
      <c r="B76" s="9" t="s">
        <v>488</v>
      </c>
      <c r="C76" s="7" t="s">
        <v>97</v>
      </c>
      <c r="D76" s="20">
        <v>0.8125</v>
      </c>
      <c r="E76" s="7" t="s">
        <v>106</v>
      </c>
      <c r="F76" s="7" t="s">
        <v>107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s="7">
        <v>0</v>
      </c>
      <c r="Y76" s="7">
        <v>44.4</v>
      </c>
      <c r="Z76" s="21"/>
      <c r="AA76" t="str">
        <f>VLOOKUP(E76,'Transform table'!A:B,2,0)</f>
        <v>Belgrano</v>
      </c>
      <c r="AB76" t="str">
        <f>VLOOKUP(F76,'Transform table'!A:B,2,0)</f>
        <v>Rosario Central</v>
      </c>
      <c r="AC76" t="str">
        <f t="shared" si="1"/>
        <v>23/07/2026BelgranoRosario Central</v>
      </c>
      <c r="AD76" t="str">
        <f>VLOOKUP($AC76,'oddspedia-matches'!$A:$AD,AD$2,0)</f>
        <v>2 - 1</v>
      </c>
      <c r="AE76" t="str">
        <f>VLOOKUP($AC76,'oddspedia-matches'!$A:$AD,AE$2,0)</f>
        <v>Green</v>
      </c>
      <c r="AF76" t="str">
        <f>VLOOKUP($AC76,'oddspedia-matches'!$A:$AD,AF$2,0)</f>
        <v>Red</v>
      </c>
      <c r="AG76" t="str">
        <f>VLOOKUP($AC76,'oddspedia-matches'!$A:$AD,AG$2,0)</f>
        <v>Red</v>
      </c>
      <c r="AH76" t="str">
        <f>VLOOKUP($AC76,'oddspedia-matches'!$A:$AD,AH$2,0)</f>
        <v>Green</v>
      </c>
      <c r="AI76" t="str">
        <f>VLOOKUP($AC76,'oddspedia-matches'!$A:$AD,AI$2,0)</f>
        <v>Red</v>
      </c>
      <c r="AJ76" t="str">
        <f>VLOOKUP($AC76,'oddspedia-matches'!$A:$AD,AJ$2,0)</f>
        <v>Green</v>
      </c>
      <c r="AK76" t="str">
        <f>VLOOKUP($AC76,'oddspedia-matches'!$A:$AD,AK$2,0)</f>
        <v>Green</v>
      </c>
      <c r="AL76" t="str">
        <f>VLOOKUP($AC76,'oddspedia-matches'!$A:$AD,AL$2,0)</f>
        <v>Red</v>
      </c>
      <c r="AM76" t="str">
        <f>VLOOKUP($AC76,'oddspedia-matches'!$A:$AD,AM$2,0)</f>
        <v>Red</v>
      </c>
      <c r="AN76" t="str">
        <f>VLOOKUP($AC76,'oddspedia-matches'!$A:$AD,AN$2,0)</f>
        <v>Green</v>
      </c>
      <c r="AO76" t="str">
        <f>VLOOKUP($AC76,'oddspedia-matches'!$A:$AD,AO$2,0)</f>
        <v>Green</v>
      </c>
      <c r="AP76" t="str">
        <f>VLOOKUP($AC76,'oddspedia-matches'!$A:$AD,AP$2,0)</f>
        <v>Green</v>
      </c>
      <c r="AQ76" t="str">
        <f>VLOOKUP($AC76,'oddspedia-matches'!$A:$AD,AQ$2,0)</f>
        <v>Red</v>
      </c>
      <c r="AR76" t="str">
        <f>VLOOKUP($AC76,'oddspedia-matches'!$A:$AD,AR$2,0)</f>
        <v>Green</v>
      </c>
      <c r="AS76" t="str">
        <f>VLOOKUP($AC76,'oddspedia-matches'!$A:$AD,AS$2,0)</f>
        <v>Green</v>
      </c>
      <c r="AT76" t="str">
        <f>VLOOKUP($AC76,'oddspedia-matches'!$A:$AD,AT$2,0)</f>
        <v>Red</v>
      </c>
    </row>
    <row r="77" spans="2:46" x14ac:dyDescent="0.25">
      <c r="B77" s="17" t="s">
        <v>488</v>
      </c>
      <c r="C77" s="8" t="s">
        <v>97</v>
      </c>
      <c r="D77" s="18">
        <v>0.8125</v>
      </c>
      <c r="E77" s="8" t="s">
        <v>108</v>
      </c>
      <c r="F77" s="8" t="s">
        <v>109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s="8">
        <v>25</v>
      </c>
      <c r="Y77" s="8">
        <v>14.3</v>
      </c>
      <c r="Z77" s="19"/>
      <c r="AA77" t="str">
        <f>VLOOKUP(E77,'Transform table'!A:B,2,0)</f>
        <v>Sarmiento</v>
      </c>
      <c r="AB77" t="str">
        <f>VLOOKUP(F77,'Transform table'!A:B,2,0)</f>
        <v>Argentinos Juniors</v>
      </c>
      <c r="AC77" t="str">
        <f t="shared" si="1"/>
        <v>23/07/2026SarmientoArgentinos Juniors</v>
      </c>
      <c r="AD77" t="str">
        <f>VLOOKUP($AC77,'oddspedia-matches'!$A:$AD,AD$2,0)</f>
        <v>2 - 3</v>
      </c>
      <c r="AE77" t="str">
        <f>VLOOKUP($AC77,'oddspedia-matches'!$A:$AD,AE$2,0)</f>
        <v>Red</v>
      </c>
      <c r="AF77" t="str">
        <f>VLOOKUP($AC77,'oddspedia-matches'!$A:$AD,AF$2,0)</f>
        <v>Red</v>
      </c>
      <c r="AG77" t="str">
        <f>VLOOKUP($AC77,'oddspedia-matches'!$A:$AD,AG$2,0)</f>
        <v>Green</v>
      </c>
      <c r="AH77" t="str">
        <f>VLOOKUP($AC77,'oddspedia-matches'!$A:$AD,AH$2,0)</f>
        <v>Red</v>
      </c>
      <c r="AI77" t="str">
        <f>VLOOKUP($AC77,'oddspedia-matches'!$A:$AD,AI$2,0)</f>
        <v>Green</v>
      </c>
      <c r="AJ77" t="str">
        <f>VLOOKUP($AC77,'oddspedia-matches'!$A:$AD,AJ$2,0)</f>
        <v>Green</v>
      </c>
      <c r="AK77" t="str">
        <f>VLOOKUP($AC77,'oddspedia-matches'!$A:$AD,AK$2,0)</f>
        <v>Green</v>
      </c>
      <c r="AL77" t="str">
        <f>VLOOKUP($AC77,'oddspedia-matches'!$A:$AD,AL$2,0)</f>
        <v>Red</v>
      </c>
      <c r="AM77" t="str">
        <f>VLOOKUP($AC77,'oddspedia-matches'!$A:$AD,AM$2,0)</f>
        <v>Red</v>
      </c>
      <c r="AN77" t="str">
        <f>VLOOKUP($AC77,'oddspedia-matches'!$A:$AD,AN$2,0)</f>
        <v>Green</v>
      </c>
      <c r="AO77" t="str">
        <f>VLOOKUP($AC77,'oddspedia-matches'!$A:$AD,AO$2,0)</f>
        <v>Green</v>
      </c>
      <c r="AP77" t="str">
        <f>VLOOKUP($AC77,'oddspedia-matches'!$A:$AD,AP$2,0)</f>
        <v>Green</v>
      </c>
      <c r="AQ77" t="str">
        <f>VLOOKUP($AC77,'oddspedia-matches'!$A:$AD,AQ$2,0)</f>
        <v>Red</v>
      </c>
      <c r="AR77" t="str">
        <f>VLOOKUP($AC77,'oddspedia-matches'!$A:$AD,AR$2,0)</f>
        <v>Red</v>
      </c>
      <c r="AS77" t="str">
        <f>VLOOKUP($AC77,'oddspedia-matches'!$A:$AD,AS$2,0)</f>
        <v>Green</v>
      </c>
      <c r="AT77" t="str">
        <f>VLOOKUP($AC77,'oddspedia-matches'!$A:$AD,AT$2,0)</f>
        <v>Red</v>
      </c>
    </row>
    <row r="78" spans="2:46" x14ac:dyDescent="0.25">
      <c r="B78" s="9" t="s">
        <v>472</v>
      </c>
      <c r="C78" s="7" t="s">
        <v>97</v>
      </c>
      <c r="D78" s="20">
        <v>0.8125</v>
      </c>
      <c r="E78" s="7" t="s">
        <v>110</v>
      </c>
      <c r="F78" s="7" t="s">
        <v>111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s="7" t="s">
        <v>22</v>
      </c>
      <c r="Y78" s="7" t="s">
        <v>22</v>
      </c>
      <c r="Z78" s="21"/>
      <c r="AA78" t="str">
        <f>VLOOKUP(E78,'Transform table'!A:B,2,0)</f>
        <v>Botafogo RJ</v>
      </c>
      <c r="AB78" t="str">
        <f>VLOOKUP(F78,'Transform table'!A:B,2,0)</f>
        <v>Vitoria BA</v>
      </c>
      <c r="AC78" t="str">
        <f t="shared" si="1"/>
        <v>23/07/2026Botafogo RJVitoria BA</v>
      </c>
      <c r="AD78" t="str">
        <f>VLOOKUP($AC78,'oddspedia-matches'!$A:$AD,AD$2,0)</f>
        <v>0 - 0</v>
      </c>
      <c r="AE78" t="str">
        <f>VLOOKUP($AC78,'oddspedia-matches'!$A:$AD,AE$2,0)</f>
        <v>Red</v>
      </c>
      <c r="AF78" t="str">
        <f>VLOOKUP($AC78,'oddspedia-matches'!$A:$AD,AF$2,0)</f>
        <v>Green</v>
      </c>
      <c r="AG78" t="str">
        <f>VLOOKUP($AC78,'oddspedia-matches'!$A:$AD,AG$2,0)</f>
        <v>Red</v>
      </c>
      <c r="AH78" t="str">
        <f>VLOOKUP($AC78,'oddspedia-matches'!$A:$AD,AH$2,0)</f>
        <v>Green</v>
      </c>
      <c r="AI78" t="str">
        <f>VLOOKUP($AC78,'oddspedia-matches'!$A:$AD,AI$2,0)</f>
        <v>Green</v>
      </c>
      <c r="AJ78" t="str">
        <f>VLOOKUP($AC78,'oddspedia-matches'!$A:$AD,AJ$2,0)</f>
        <v>Red</v>
      </c>
      <c r="AK78" t="str">
        <f>VLOOKUP($AC78,'oddspedia-matches'!$A:$AD,AK$2,0)</f>
        <v>Red</v>
      </c>
      <c r="AL78" t="str">
        <f>VLOOKUP($AC78,'oddspedia-matches'!$A:$AD,AL$2,0)</f>
        <v>Green</v>
      </c>
      <c r="AM78" t="str">
        <f>VLOOKUP($AC78,'oddspedia-matches'!$A:$AD,AM$2,0)</f>
        <v>Red</v>
      </c>
      <c r="AN78" t="str">
        <f>VLOOKUP($AC78,'oddspedia-matches'!$A:$AD,AN$2,0)</f>
        <v>Red</v>
      </c>
      <c r="AO78" t="str">
        <f>VLOOKUP($AC78,'oddspedia-matches'!$A:$AD,AO$2,0)</f>
        <v>Red</v>
      </c>
      <c r="AP78" t="str">
        <f>VLOOKUP($AC78,'oddspedia-matches'!$A:$AD,AP$2,0)</f>
        <v>Red</v>
      </c>
      <c r="AQ78" t="str">
        <f>VLOOKUP($AC78,'oddspedia-matches'!$A:$AD,AQ$2,0)</f>
        <v>Green</v>
      </c>
      <c r="AR78" t="str">
        <f>VLOOKUP($AC78,'oddspedia-matches'!$A:$AD,AR$2,0)</f>
        <v>Green</v>
      </c>
      <c r="AS78" t="str">
        <f>VLOOKUP($AC78,'oddspedia-matches'!$A:$AD,AS$2,0)</f>
        <v>Red</v>
      </c>
      <c r="AT78" t="str">
        <f>VLOOKUP($AC78,'oddspedia-matches'!$A:$AD,AT$2,0)</f>
        <v>Green</v>
      </c>
    </row>
    <row r="79" spans="2:46" x14ac:dyDescent="0.25">
      <c r="B79" s="17" t="s">
        <v>472</v>
      </c>
      <c r="C79" s="8" t="s">
        <v>97</v>
      </c>
      <c r="D79" s="18">
        <v>0.8125</v>
      </c>
      <c r="E79" s="8" t="s">
        <v>112</v>
      </c>
      <c r="F79" s="8" t="s">
        <v>113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s="8" t="s">
        <v>22</v>
      </c>
      <c r="Y79" s="8" t="s">
        <v>22</v>
      </c>
      <c r="Z79" s="19"/>
      <c r="AA79" t="str">
        <f>VLOOKUP(E79,'Transform table'!A:B,2,0)</f>
        <v>Corinthians</v>
      </c>
      <c r="AB79" t="str">
        <f>VLOOKUP(F79,'Transform table'!A:B,2,0)</f>
        <v>Clube Do Remo</v>
      </c>
      <c r="AC79" t="str">
        <f t="shared" si="1"/>
        <v>23/07/2026CorinthiansClube Do Remo</v>
      </c>
      <c r="AD79" t="str">
        <f>VLOOKUP($AC79,'oddspedia-matches'!$A:$AD,AD$2,0)</f>
        <v>3 - 0</v>
      </c>
      <c r="AE79" t="str">
        <f>VLOOKUP($AC79,'oddspedia-matches'!$A:$AD,AE$2,0)</f>
        <v>Green</v>
      </c>
      <c r="AF79" t="str">
        <f>VLOOKUP($AC79,'oddspedia-matches'!$A:$AD,AF$2,0)</f>
        <v>Red</v>
      </c>
      <c r="AG79" t="str">
        <f>VLOOKUP($AC79,'oddspedia-matches'!$A:$AD,AG$2,0)</f>
        <v>Red</v>
      </c>
      <c r="AH79" t="str">
        <f>VLOOKUP($AC79,'oddspedia-matches'!$A:$AD,AH$2,0)</f>
        <v>Green</v>
      </c>
      <c r="AI79" t="str">
        <f>VLOOKUP($AC79,'oddspedia-matches'!$A:$AD,AI$2,0)</f>
        <v>Red</v>
      </c>
      <c r="AJ79" t="str">
        <f>VLOOKUP($AC79,'oddspedia-matches'!$A:$AD,AJ$2,0)</f>
        <v>Green</v>
      </c>
      <c r="AK79" t="str">
        <f>VLOOKUP($AC79,'oddspedia-matches'!$A:$AD,AK$2,0)</f>
        <v>Green</v>
      </c>
      <c r="AL79" t="str">
        <f>VLOOKUP($AC79,'oddspedia-matches'!$A:$AD,AL$2,0)</f>
        <v>Red</v>
      </c>
      <c r="AM79" t="str">
        <f>VLOOKUP($AC79,'oddspedia-matches'!$A:$AD,AM$2,0)</f>
        <v>Red</v>
      </c>
      <c r="AN79" t="str">
        <f>VLOOKUP($AC79,'oddspedia-matches'!$A:$AD,AN$2,0)</f>
        <v>Green</v>
      </c>
      <c r="AO79" t="str">
        <f>VLOOKUP($AC79,'oddspedia-matches'!$A:$AD,AO$2,0)</f>
        <v>Green</v>
      </c>
      <c r="AP79" t="str">
        <f>VLOOKUP($AC79,'oddspedia-matches'!$A:$AD,AP$2,0)</f>
        <v>Green</v>
      </c>
      <c r="AQ79" t="str">
        <f>VLOOKUP($AC79,'oddspedia-matches'!$A:$AD,AQ$2,0)</f>
        <v>Red</v>
      </c>
      <c r="AR79" t="str">
        <f>VLOOKUP($AC79,'oddspedia-matches'!$A:$AD,AR$2,0)</f>
        <v>Green</v>
      </c>
      <c r="AS79" t="str">
        <f>VLOOKUP($AC79,'oddspedia-matches'!$A:$AD,AS$2,0)</f>
        <v>Red</v>
      </c>
      <c r="AT79" t="str">
        <f>VLOOKUP($AC79,'oddspedia-matches'!$A:$AD,AT$2,0)</f>
        <v>Green</v>
      </c>
    </row>
    <row r="80" spans="2:46" x14ac:dyDescent="0.25">
      <c r="B80" s="9" t="s">
        <v>473</v>
      </c>
      <c r="C80" s="7" t="s">
        <v>97</v>
      </c>
      <c r="D80" s="20">
        <v>0.8125</v>
      </c>
      <c r="E80" s="7" t="s">
        <v>114</v>
      </c>
      <c r="F80" s="7" t="s">
        <v>115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s="7" t="s">
        <v>22</v>
      </c>
      <c r="Y80" s="7" t="s">
        <v>22</v>
      </c>
      <c r="Z80" s="21"/>
      <c r="AA80" t="str">
        <f>VLOOKUP(E80,'Transform table'!A:B,2,0)</f>
        <v>Athletic Club MG</v>
      </c>
      <c r="AB80" t="str">
        <f>VLOOKUP(F80,'Transform table'!A:B,2,0)</f>
        <v>Sao Bernardo FC SP</v>
      </c>
      <c r="AC80" t="str">
        <f t="shared" si="1"/>
        <v>23/07/2026Athletic Club MGSao Bernardo FC SP</v>
      </c>
      <c r="AD80" t="str">
        <f>VLOOKUP($AC80,'oddspedia-matches'!$A:$AD,AD$2,0)</f>
        <v>2 - 1</v>
      </c>
      <c r="AE80" t="str">
        <f>VLOOKUP($AC80,'oddspedia-matches'!$A:$AD,AE$2,0)</f>
        <v>Green</v>
      </c>
      <c r="AF80" t="str">
        <f>VLOOKUP($AC80,'oddspedia-matches'!$A:$AD,AF$2,0)</f>
        <v>Red</v>
      </c>
      <c r="AG80" t="str">
        <f>VLOOKUP($AC80,'oddspedia-matches'!$A:$AD,AG$2,0)</f>
        <v>Red</v>
      </c>
      <c r="AH80" t="str">
        <f>VLOOKUP($AC80,'oddspedia-matches'!$A:$AD,AH$2,0)</f>
        <v>Green</v>
      </c>
      <c r="AI80" t="str">
        <f>VLOOKUP($AC80,'oddspedia-matches'!$A:$AD,AI$2,0)</f>
        <v>Red</v>
      </c>
      <c r="AJ80" t="str">
        <f>VLOOKUP($AC80,'oddspedia-matches'!$A:$AD,AJ$2,0)</f>
        <v>Green</v>
      </c>
      <c r="AK80" t="str">
        <f>VLOOKUP($AC80,'oddspedia-matches'!$A:$AD,AK$2,0)</f>
        <v>Red</v>
      </c>
      <c r="AL80" t="str">
        <f>VLOOKUP($AC80,'oddspedia-matches'!$A:$AD,AL$2,0)</f>
        <v>Green</v>
      </c>
      <c r="AM80" t="str">
        <f>VLOOKUP($AC80,'oddspedia-matches'!$A:$AD,AM$2,0)</f>
        <v>Red</v>
      </c>
      <c r="AN80" t="str">
        <f>VLOOKUP($AC80,'oddspedia-matches'!$A:$AD,AN$2,0)</f>
        <v>Green</v>
      </c>
      <c r="AO80" t="str">
        <f>VLOOKUP($AC80,'oddspedia-matches'!$A:$AD,AO$2,0)</f>
        <v>Green</v>
      </c>
      <c r="AP80" t="str">
        <f>VLOOKUP($AC80,'oddspedia-matches'!$A:$AD,AP$2,0)</f>
        <v>Green</v>
      </c>
      <c r="AQ80" t="str">
        <f>VLOOKUP($AC80,'oddspedia-matches'!$A:$AD,AQ$2,0)</f>
        <v>Red</v>
      </c>
      <c r="AR80" t="str">
        <f>VLOOKUP($AC80,'oddspedia-matches'!$A:$AD,AR$2,0)</f>
        <v>Green</v>
      </c>
      <c r="AS80" t="str">
        <f>VLOOKUP($AC80,'oddspedia-matches'!$A:$AD,AS$2,0)</f>
        <v>Green</v>
      </c>
      <c r="AT80" t="str">
        <f>VLOOKUP($AC80,'oddspedia-matches'!$A:$AD,AT$2,0)</f>
        <v>Red</v>
      </c>
    </row>
    <row r="81" spans="2:46" x14ac:dyDescent="0.25">
      <c r="B81" s="17" t="s">
        <v>473</v>
      </c>
      <c r="C81" s="8" t="s">
        <v>97</v>
      </c>
      <c r="D81" s="18">
        <v>0.85416666666666663</v>
      </c>
      <c r="E81" s="8" t="s">
        <v>116</v>
      </c>
      <c r="F81" s="8" t="s">
        <v>117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s="8" t="s">
        <v>22</v>
      </c>
      <c r="Y81" s="8" t="s">
        <v>22</v>
      </c>
      <c r="Z81" s="19"/>
      <c r="AA81" t="str">
        <f>VLOOKUP(E81,'Transform table'!A:B,2,0)</f>
        <v>Cuiaba</v>
      </c>
      <c r="AB81" t="str">
        <f>VLOOKUP(F81,'Transform table'!A:B,2,0)</f>
        <v>Atletico Goianiense</v>
      </c>
      <c r="AC81" t="str">
        <f t="shared" si="1"/>
        <v>23/07/2026CuiabaAtletico Goianiense</v>
      </c>
      <c r="AD81" t="str">
        <f>VLOOKUP($AC81,'oddspedia-matches'!$A:$AD,AD$2,0)</f>
        <v>0 - 1</v>
      </c>
      <c r="AE81" t="str">
        <f>VLOOKUP($AC81,'oddspedia-matches'!$A:$AD,AE$2,0)</f>
        <v>Red</v>
      </c>
      <c r="AF81" t="str">
        <f>VLOOKUP($AC81,'oddspedia-matches'!$A:$AD,AF$2,0)</f>
        <v>Red</v>
      </c>
      <c r="AG81" t="str">
        <f>VLOOKUP($AC81,'oddspedia-matches'!$A:$AD,AG$2,0)</f>
        <v>Green</v>
      </c>
      <c r="AH81" t="str">
        <f>VLOOKUP($AC81,'oddspedia-matches'!$A:$AD,AH$2,0)</f>
        <v>Red</v>
      </c>
      <c r="AI81" t="str">
        <f>VLOOKUP($AC81,'oddspedia-matches'!$A:$AD,AI$2,0)</f>
        <v>Green</v>
      </c>
      <c r="AJ81" t="str">
        <f>VLOOKUP($AC81,'oddspedia-matches'!$A:$AD,AJ$2,0)</f>
        <v>Green</v>
      </c>
      <c r="AK81" t="str">
        <f>VLOOKUP($AC81,'oddspedia-matches'!$A:$AD,AK$2,0)</f>
        <v>Red</v>
      </c>
      <c r="AL81" t="str">
        <f>VLOOKUP($AC81,'oddspedia-matches'!$A:$AD,AL$2,0)</f>
        <v>Green</v>
      </c>
      <c r="AM81" t="str">
        <f>VLOOKUP($AC81,'oddspedia-matches'!$A:$AD,AM$2,0)</f>
        <v>Red</v>
      </c>
      <c r="AN81" t="str">
        <f>VLOOKUP($AC81,'oddspedia-matches'!$A:$AD,AN$2,0)</f>
        <v>Red</v>
      </c>
      <c r="AO81" t="str">
        <f>VLOOKUP($AC81,'oddspedia-matches'!$A:$AD,AO$2,0)</f>
        <v>Red</v>
      </c>
      <c r="AP81" t="str">
        <f>VLOOKUP($AC81,'oddspedia-matches'!$A:$AD,AP$2,0)</f>
        <v>Red</v>
      </c>
      <c r="AQ81" t="str">
        <f>VLOOKUP($AC81,'oddspedia-matches'!$A:$AD,AQ$2,0)</f>
        <v>Green</v>
      </c>
      <c r="AR81" t="str">
        <f>VLOOKUP($AC81,'oddspedia-matches'!$A:$AD,AR$2,0)</f>
        <v>Green</v>
      </c>
      <c r="AS81" t="str">
        <f>VLOOKUP($AC81,'oddspedia-matches'!$A:$AD,AS$2,0)</f>
        <v>Red</v>
      </c>
      <c r="AT81" t="str">
        <f>VLOOKUP($AC81,'oddspedia-matches'!$A:$AD,AT$2,0)</f>
        <v>Green</v>
      </c>
    </row>
    <row r="82" spans="2:46" x14ac:dyDescent="0.25">
      <c r="B82" s="9" t="s">
        <v>470</v>
      </c>
      <c r="C82" s="7" t="s">
        <v>97</v>
      </c>
      <c r="D82" s="20">
        <v>0.875</v>
      </c>
      <c r="E82" s="7" t="s">
        <v>118</v>
      </c>
      <c r="F82" s="7" t="s">
        <v>119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s="7">
        <v>0</v>
      </c>
      <c r="Y82" s="7">
        <v>25</v>
      </c>
      <c r="Z82" s="21"/>
      <c r="AA82" t="str">
        <f>VLOOKUP(E82,'Transform table'!A:B,2,0)</f>
        <v>Emelec</v>
      </c>
      <c r="AB82" t="str">
        <f>VLOOKUP(F82,'Transform table'!A:B,2,0)</f>
        <v>Mushuc Runa</v>
      </c>
      <c r="AC82" t="str">
        <f t="shared" si="1"/>
        <v>23/07/2026EmelecMushuc Runa</v>
      </c>
      <c r="AD82" t="str">
        <f>VLOOKUP($AC82,'oddspedia-matches'!$A:$AD,AD$2,0)</f>
        <v>1 - 1</v>
      </c>
      <c r="AE82" t="str">
        <f>VLOOKUP($AC82,'oddspedia-matches'!$A:$AD,AE$2,0)</f>
        <v>Red</v>
      </c>
      <c r="AF82" t="str">
        <f>VLOOKUP($AC82,'oddspedia-matches'!$A:$AD,AF$2,0)</f>
        <v>Green</v>
      </c>
      <c r="AG82" t="str">
        <f>VLOOKUP($AC82,'oddspedia-matches'!$A:$AD,AG$2,0)</f>
        <v>Red</v>
      </c>
      <c r="AH82" t="str">
        <f>VLOOKUP($AC82,'oddspedia-matches'!$A:$AD,AH$2,0)</f>
        <v>Green</v>
      </c>
      <c r="AI82" t="str">
        <f>VLOOKUP($AC82,'oddspedia-matches'!$A:$AD,AI$2,0)</f>
        <v>Green</v>
      </c>
      <c r="AJ82" t="str">
        <f>VLOOKUP($AC82,'oddspedia-matches'!$A:$AD,AJ$2,0)</f>
        <v>Red</v>
      </c>
      <c r="AK82" t="str">
        <f>VLOOKUP($AC82,'oddspedia-matches'!$A:$AD,AK$2,0)</f>
        <v>Green</v>
      </c>
      <c r="AL82" t="str">
        <f>VLOOKUP($AC82,'oddspedia-matches'!$A:$AD,AL$2,0)</f>
        <v>Red</v>
      </c>
      <c r="AM82" t="str">
        <f>VLOOKUP($AC82,'oddspedia-matches'!$A:$AD,AM$2,0)</f>
        <v>Red</v>
      </c>
      <c r="AN82" t="str">
        <f>VLOOKUP($AC82,'oddspedia-matches'!$A:$AD,AN$2,0)</f>
        <v>Green</v>
      </c>
      <c r="AO82" t="str">
        <f>VLOOKUP($AC82,'oddspedia-matches'!$A:$AD,AO$2,0)</f>
        <v>Green</v>
      </c>
      <c r="AP82" t="str">
        <f>VLOOKUP($AC82,'oddspedia-matches'!$A:$AD,AP$2,0)</f>
        <v>Red</v>
      </c>
      <c r="AQ82" t="str">
        <f>VLOOKUP($AC82,'oddspedia-matches'!$A:$AD,AQ$2,0)</f>
        <v>Green</v>
      </c>
      <c r="AR82" t="str">
        <f>VLOOKUP($AC82,'oddspedia-matches'!$A:$AD,AR$2,0)</f>
        <v>Green</v>
      </c>
      <c r="AS82" t="str">
        <f>VLOOKUP($AC82,'oddspedia-matches'!$A:$AD,AS$2,0)</f>
        <v>Green</v>
      </c>
      <c r="AT82" t="str">
        <f>VLOOKUP($AC82,'oddspedia-matches'!$A:$AD,AT$2,0)</f>
        <v>Red</v>
      </c>
    </row>
    <row r="83" spans="2:46" x14ac:dyDescent="0.25">
      <c r="B83" s="17" t="s">
        <v>473</v>
      </c>
      <c r="C83" s="8" t="s">
        <v>97</v>
      </c>
      <c r="D83" s="18">
        <v>0.89583333333333337</v>
      </c>
      <c r="E83" s="8" t="s">
        <v>120</v>
      </c>
      <c r="F83" s="8" t="s">
        <v>121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s="8">
        <v>25</v>
      </c>
      <c r="Y83" s="8">
        <v>0</v>
      </c>
      <c r="Z83" s="19"/>
      <c r="AA83" t="str">
        <f>VLOOKUP(E83,'Transform table'!A:B,2,0)</f>
        <v>Botafogo SP</v>
      </c>
      <c r="AB83" t="str">
        <f>VLOOKUP(F83,'Transform table'!A:B,2,0)</f>
        <v>EC Juventude</v>
      </c>
      <c r="AC83" t="str">
        <f t="shared" si="1"/>
        <v>23/07/2026Botafogo SPEC Juventude</v>
      </c>
      <c r="AD83" t="str">
        <f>VLOOKUP($AC83,'oddspedia-matches'!$A:$AD,AD$2,0)</f>
        <v>4 - 2</v>
      </c>
      <c r="AE83" t="str">
        <f>VLOOKUP($AC83,'oddspedia-matches'!$A:$AD,AE$2,0)</f>
        <v>Green</v>
      </c>
      <c r="AF83" t="str">
        <f>VLOOKUP($AC83,'oddspedia-matches'!$A:$AD,AF$2,0)</f>
        <v>Red</v>
      </c>
      <c r="AG83" t="str">
        <f>VLOOKUP($AC83,'oddspedia-matches'!$A:$AD,AG$2,0)</f>
        <v>Red</v>
      </c>
      <c r="AH83" t="str">
        <f>VLOOKUP($AC83,'oddspedia-matches'!$A:$AD,AH$2,0)</f>
        <v>Green</v>
      </c>
      <c r="AI83" t="str">
        <f>VLOOKUP($AC83,'oddspedia-matches'!$A:$AD,AI$2,0)</f>
        <v>Red</v>
      </c>
      <c r="AJ83" t="str">
        <f>VLOOKUP($AC83,'oddspedia-matches'!$A:$AD,AJ$2,0)</f>
        <v>Green</v>
      </c>
      <c r="AK83" t="str">
        <f>VLOOKUP($AC83,'oddspedia-matches'!$A:$AD,AK$2,0)</f>
        <v>Green</v>
      </c>
      <c r="AL83" t="str">
        <f>VLOOKUP($AC83,'oddspedia-matches'!$A:$AD,AL$2,0)</f>
        <v>Red</v>
      </c>
      <c r="AM83" t="str">
        <f>VLOOKUP($AC83,'oddspedia-matches'!$A:$AD,AM$2,0)</f>
        <v>Red</v>
      </c>
      <c r="AN83" t="str">
        <f>VLOOKUP($AC83,'oddspedia-matches'!$A:$AD,AN$2,0)</f>
        <v>Green</v>
      </c>
      <c r="AO83" t="str">
        <f>VLOOKUP($AC83,'oddspedia-matches'!$A:$AD,AO$2,0)</f>
        <v>Green</v>
      </c>
      <c r="AP83" t="str">
        <f>VLOOKUP($AC83,'oddspedia-matches'!$A:$AD,AP$2,0)</f>
        <v>Green</v>
      </c>
      <c r="AQ83" t="str">
        <f>VLOOKUP($AC83,'oddspedia-matches'!$A:$AD,AQ$2,0)</f>
        <v>Red</v>
      </c>
      <c r="AR83" t="str">
        <f>VLOOKUP($AC83,'oddspedia-matches'!$A:$AD,AR$2,0)</f>
        <v>Red</v>
      </c>
      <c r="AS83" t="str">
        <f>VLOOKUP($AC83,'oddspedia-matches'!$A:$AD,AS$2,0)</f>
        <v>Green</v>
      </c>
      <c r="AT83" t="str">
        <f>VLOOKUP($AC83,'oddspedia-matches'!$A:$AD,AT$2,0)</f>
        <v>Red</v>
      </c>
    </row>
    <row r="84" spans="2:46" x14ac:dyDescent="0.25">
      <c r="B84" s="9" t="s">
        <v>488</v>
      </c>
      <c r="C84" s="7" t="s">
        <v>97</v>
      </c>
      <c r="D84" s="20">
        <v>0.90625</v>
      </c>
      <c r="E84" s="7" t="s">
        <v>122</v>
      </c>
      <c r="F84" s="7" t="s">
        <v>123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s="7">
        <v>0</v>
      </c>
      <c r="Y84" s="7">
        <v>0</v>
      </c>
      <c r="Z84" s="21"/>
      <c r="AA84" t="str">
        <f>VLOOKUP(E84,'Transform table'!A:B,2,0)</f>
        <v>Defensa Y Justicia</v>
      </c>
      <c r="AB84" t="str">
        <f>VLOOKUP(F84,'Transform table'!A:B,2,0)</f>
        <v>Aldosivi</v>
      </c>
      <c r="AC84" t="str">
        <f t="shared" si="1"/>
        <v>23/07/2026Defensa Y JusticiaAldosivi</v>
      </c>
      <c r="AD84" t="str">
        <f>VLOOKUP($AC84,'oddspedia-matches'!$A:$AD,AD$2,0)</f>
        <v>1 - 1</v>
      </c>
      <c r="AE84" t="str">
        <f>VLOOKUP($AC84,'oddspedia-matches'!$A:$AD,AE$2,0)</f>
        <v>Red</v>
      </c>
      <c r="AF84" t="str">
        <f>VLOOKUP($AC84,'oddspedia-matches'!$A:$AD,AF$2,0)</f>
        <v>Green</v>
      </c>
      <c r="AG84" t="str">
        <f>VLOOKUP($AC84,'oddspedia-matches'!$A:$AD,AG$2,0)</f>
        <v>Red</v>
      </c>
      <c r="AH84" t="str">
        <f>VLOOKUP($AC84,'oddspedia-matches'!$A:$AD,AH$2,0)</f>
        <v>Green</v>
      </c>
      <c r="AI84" t="str">
        <f>VLOOKUP($AC84,'oddspedia-matches'!$A:$AD,AI$2,0)</f>
        <v>Green</v>
      </c>
      <c r="AJ84" t="str">
        <f>VLOOKUP($AC84,'oddspedia-matches'!$A:$AD,AJ$2,0)</f>
        <v>Red</v>
      </c>
      <c r="AK84" t="str">
        <f>VLOOKUP($AC84,'oddspedia-matches'!$A:$AD,AK$2,0)</f>
        <v>Red</v>
      </c>
      <c r="AL84" t="str">
        <f>VLOOKUP($AC84,'oddspedia-matches'!$A:$AD,AL$2,0)</f>
        <v>Green</v>
      </c>
      <c r="AM84" t="str">
        <f>VLOOKUP($AC84,'oddspedia-matches'!$A:$AD,AM$2,0)</f>
        <v>Red</v>
      </c>
      <c r="AN84" t="str">
        <f>VLOOKUP($AC84,'oddspedia-matches'!$A:$AD,AN$2,0)</f>
        <v>Green</v>
      </c>
      <c r="AO84" t="str">
        <f>VLOOKUP($AC84,'oddspedia-matches'!$A:$AD,AO$2,0)</f>
        <v>Green</v>
      </c>
      <c r="AP84" t="str">
        <f>VLOOKUP($AC84,'oddspedia-matches'!$A:$AD,AP$2,0)</f>
        <v>Red</v>
      </c>
      <c r="AQ84" t="str">
        <f>VLOOKUP($AC84,'oddspedia-matches'!$A:$AD,AQ$2,0)</f>
        <v>Green</v>
      </c>
      <c r="AR84" t="str">
        <f>VLOOKUP($AC84,'oddspedia-matches'!$A:$AD,AR$2,0)</f>
        <v>Green</v>
      </c>
      <c r="AS84" t="str">
        <f>VLOOKUP($AC84,'oddspedia-matches'!$A:$AD,AS$2,0)</f>
        <v>Green</v>
      </c>
      <c r="AT84" t="str">
        <f>VLOOKUP($AC84,'oddspedia-matches'!$A:$AD,AT$2,0)</f>
        <v>Red</v>
      </c>
    </row>
    <row r="85" spans="2:46" x14ac:dyDescent="0.25">
      <c r="B85" s="17" t="s">
        <v>489</v>
      </c>
      <c r="C85" s="8" t="s">
        <v>124</v>
      </c>
      <c r="D85" s="18">
        <v>0.27083333333333331</v>
      </c>
      <c r="E85" s="8" t="s">
        <v>125</v>
      </c>
      <c r="F85" s="8" t="s">
        <v>126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s="8" t="s">
        <v>22</v>
      </c>
      <c r="Y85" s="8" t="s">
        <v>22</v>
      </c>
      <c r="Z85" s="19"/>
      <c r="AA85" t="str">
        <f>VLOOKUP(E85,'Transform table'!A:B,2,0)</f>
        <v>FC United of Manchester</v>
      </c>
      <c r="AB85" t="e">
        <f>VLOOKUP(F85,'Transform table'!A:B,2,0)</f>
        <v>#N/A</v>
      </c>
      <c r="AC85" t="e">
        <f t="shared" si="1"/>
        <v>#N/A</v>
      </c>
      <c r="AD85" t="e">
        <f>VLOOKUP($AC85,'oddspedia-matches'!$A:$AD,AD$2,0)</f>
        <v>#N/A</v>
      </c>
      <c r="AE85" t="e">
        <f>VLOOKUP($AC85,'oddspedia-matches'!$A:$AD,AE$2,0)</f>
        <v>#N/A</v>
      </c>
      <c r="AF85" t="e">
        <f>VLOOKUP($AC85,'oddspedia-matches'!$A:$AD,AF$2,0)</f>
        <v>#N/A</v>
      </c>
      <c r="AG85" t="e">
        <f>VLOOKUP($AC85,'oddspedia-matches'!$A:$AD,AG$2,0)</f>
        <v>#N/A</v>
      </c>
      <c r="AH85" t="e">
        <f>VLOOKUP($AC85,'oddspedia-matches'!$A:$AD,AH$2,0)</f>
        <v>#N/A</v>
      </c>
      <c r="AI85" t="e">
        <f>VLOOKUP($AC85,'oddspedia-matches'!$A:$AD,AI$2,0)</f>
        <v>#N/A</v>
      </c>
      <c r="AJ85" t="e">
        <f>VLOOKUP($AC85,'oddspedia-matches'!$A:$AD,AJ$2,0)</f>
        <v>#N/A</v>
      </c>
      <c r="AK85" t="e">
        <f>VLOOKUP($AC85,'oddspedia-matches'!$A:$AD,AK$2,0)</f>
        <v>#N/A</v>
      </c>
      <c r="AL85" t="e">
        <f>VLOOKUP($AC85,'oddspedia-matches'!$A:$AD,AL$2,0)</f>
        <v>#N/A</v>
      </c>
      <c r="AM85" t="e">
        <f>VLOOKUP($AC85,'oddspedia-matches'!$A:$AD,AM$2,0)</f>
        <v>#N/A</v>
      </c>
      <c r="AN85" t="e">
        <f>VLOOKUP($AC85,'oddspedia-matches'!$A:$AD,AN$2,0)</f>
        <v>#N/A</v>
      </c>
      <c r="AO85" t="e">
        <f>VLOOKUP($AC85,'oddspedia-matches'!$A:$AD,AO$2,0)</f>
        <v>#N/A</v>
      </c>
      <c r="AP85" t="e">
        <f>VLOOKUP($AC85,'oddspedia-matches'!$A:$AD,AP$2,0)</f>
        <v>#N/A</v>
      </c>
      <c r="AQ85" t="e">
        <f>VLOOKUP($AC85,'oddspedia-matches'!$A:$AD,AQ$2,0)</f>
        <v>#N/A</v>
      </c>
      <c r="AR85" t="e">
        <f>VLOOKUP($AC85,'oddspedia-matches'!$A:$AD,AR$2,0)</f>
        <v>#N/A</v>
      </c>
      <c r="AS85" t="e">
        <f>VLOOKUP($AC85,'oddspedia-matches'!$A:$AD,AS$2,0)</f>
        <v>#N/A</v>
      </c>
      <c r="AT85" t="e">
        <f>VLOOKUP($AC85,'oddspedia-matches'!$A:$AD,AT$2,0)</f>
        <v>#N/A</v>
      </c>
    </row>
    <row r="86" spans="2:46" x14ac:dyDescent="0.25">
      <c r="B86" s="9" t="s">
        <v>490</v>
      </c>
      <c r="C86" s="7" t="s">
        <v>124</v>
      </c>
      <c r="D86" s="20">
        <v>0.27083333333333331</v>
      </c>
      <c r="E86" s="7" t="s">
        <v>127</v>
      </c>
      <c r="F86" s="7" t="s">
        <v>128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s="7" t="s">
        <v>22</v>
      </c>
      <c r="Y86" s="7" t="s">
        <v>22</v>
      </c>
      <c r="Z86" s="21"/>
      <c r="AA86" t="str">
        <f>VLOOKUP(E86,'Transform table'!A:B,2,0)</f>
        <v>Glenavon</v>
      </c>
      <c r="AB86" t="e">
        <f>VLOOKUP(F86,'Transform table'!A:B,2,0)</f>
        <v>#N/A</v>
      </c>
      <c r="AC86" t="e">
        <f t="shared" si="1"/>
        <v>#N/A</v>
      </c>
      <c r="AD86" t="e">
        <f>VLOOKUP($AC86,'oddspedia-matches'!$A:$AD,AD$2,0)</f>
        <v>#N/A</v>
      </c>
      <c r="AE86" t="e">
        <f>VLOOKUP($AC86,'oddspedia-matches'!$A:$AD,AE$2,0)</f>
        <v>#N/A</v>
      </c>
      <c r="AF86" t="e">
        <f>VLOOKUP($AC86,'oddspedia-matches'!$A:$AD,AF$2,0)</f>
        <v>#N/A</v>
      </c>
      <c r="AG86" t="e">
        <f>VLOOKUP($AC86,'oddspedia-matches'!$A:$AD,AG$2,0)</f>
        <v>#N/A</v>
      </c>
      <c r="AH86" t="e">
        <f>VLOOKUP($AC86,'oddspedia-matches'!$A:$AD,AH$2,0)</f>
        <v>#N/A</v>
      </c>
      <c r="AI86" t="e">
        <f>VLOOKUP($AC86,'oddspedia-matches'!$A:$AD,AI$2,0)</f>
        <v>#N/A</v>
      </c>
      <c r="AJ86" t="e">
        <f>VLOOKUP($AC86,'oddspedia-matches'!$A:$AD,AJ$2,0)</f>
        <v>#N/A</v>
      </c>
      <c r="AK86" t="e">
        <f>VLOOKUP($AC86,'oddspedia-matches'!$A:$AD,AK$2,0)</f>
        <v>#N/A</v>
      </c>
      <c r="AL86" t="e">
        <f>VLOOKUP($AC86,'oddspedia-matches'!$A:$AD,AL$2,0)</f>
        <v>#N/A</v>
      </c>
      <c r="AM86" t="e">
        <f>VLOOKUP($AC86,'oddspedia-matches'!$A:$AD,AM$2,0)</f>
        <v>#N/A</v>
      </c>
      <c r="AN86" t="e">
        <f>VLOOKUP($AC86,'oddspedia-matches'!$A:$AD,AN$2,0)</f>
        <v>#N/A</v>
      </c>
      <c r="AO86" t="e">
        <f>VLOOKUP($AC86,'oddspedia-matches'!$A:$AD,AO$2,0)</f>
        <v>#N/A</v>
      </c>
      <c r="AP86" t="e">
        <f>VLOOKUP($AC86,'oddspedia-matches'!$A:$AD,AP$2,0)</f>
        <v>#N/A</v>
      </c>
      <c r="AQ86" t="e">
        <f>VLOOKUP($AC86,'oddspedia-matches'!$A:$AD,AQ$2,0)</f>
        <v>#N/A</v>
      </c>
      <c r="AR86" t="e">
        <f>VLOOKUP($AC86,'oddspedia-matches'!$A:$AD,AR$2,0)</f>
        <v>#N/A</v>
      </c>
      <c r="AS86" t="e">
        <f>VLOOKUP($AC86,'oddspedia-matches'!$A:$AD,AS$2,0)</f>
        <v>#N/A</v>
      </c>
      <c r="AT86" t="e">
        <f>VLOOKUP($AC86,'oddspedia-matches'!$A:$AD,AT$2,0)</f>
        <v>#N/A</v>
      </c>
    </row>
    <row r="87" spans="2:46" x14ac:dyDescent="0.25">
      <c r="B87" s="17" t="s">
        <v>490</v>
      </c>
      <c r="C87" s="8" t="s">
        <v>124</v>
      </c>
      <c r="D87" s="18">
        <v>0.27083333333333331</v>
      </c>
      <c r="E87" s="8" t="s">
        <v>129</v>
      </c>
      <c r="F87" s="8" t="s">
        <v>130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s="8" t="s">
        <v>22</v>
      </c>
      <c r="Y87" s="8" t="s">
        <v>22</v>
      </c>
      <c r="Z87" s="19"/>
      <c r="AA87" t="str">
        <f>VLOOKUP(E87,'Transform table'!A:B,2,0)</f>
        <v>Heidelberg United</v>
      </c>
      <c r="AB87" t="e">
        <f>VLOOKUP(F87,'Transform table'!A:B,2,0)</f>
        <v>#N/A</v>
      </c>
      <c r="AC87" t="e">
        <f t="shared" si="1"/>
        <v>#N/A</v>
      </c>
      <c r="AD87" t="e">
        <f>VLOOKUP($AC87,'oddspedia-matches'!$A:$AD,AD$2,0)</f>
        <v>#N/A</v>
      </c>
      <c r="AE87" t="e">
        <f>VLOOKUP($AC87,'oddspedia-matches'!$A:$AD,AE$2,0)</f>
        <v>#N/A</v>
      </c>
      <c r="AF87" t="e">
        <f>VLOOKUP($AC87,'oddspedia-matches'!$A:$AD,AF$2,0)</f>
        <v>#N/A</v>
      </c>
      <c r="AG87" t="e">
        <f>VLOOKUP($AC87,'oddspedia-matches'!$A:$AD,AG$2,0)</f>
        <v>#N/A</v>
      </c>
      <c r="AH87" t="e">
        <f>VLOOKUP($AC87,'oddspedia-matches'!$A:$AD,AH$2,0)</f>
        <v>#N/A</v>
      </c>
      <c r="AI87" t="e">
        <f>VLOOKUP($AC87,'oddspedia-matches'!$A:$AD,AI$2,0)</f>
        <v>#N/A</v>
      </c>
      <c r="AJ87" t="e">
        <f>VLOOKUP($AC87,'oddspedia-matches'!$A:$AD,AJ$2,0)</f>
        <v>#N/A</v>
      </c>
      <c r="AK87" t="e">
        <f>VLOOKUP($AC87,'oddspedia-matches'!$A:$AD,AK$2,0)</f>
        <v>#N/A</v>
      </c>
      <c r="AL87" t="e">
        <f>VLOOKUP($AC87,'oddspedia-matches'!$A:$AD,AL$2,0)</f>
        <v>#N/A</v>
      </c>
      <c r="AM87" t="e">
        <f>VLOOKUP($AC87,'oddspedia-matches'!$A:$AD,AM$2,0)</f>
        <v>#N/A</v>
      </c>
      <c r="AN87" t="e">
        <f>VLOOKUP($AC87,'oddspedia-matches'!$A:$AD,AN$2,0)</f>
        <v>#N/A</v>
      </c>
      <c r="AO87" t="e">
        <f>VLOOKUP($AC87,'oddspedia-matches'!$A:$AD,AO$2,0)</f>
        <v>#N/A</v>
      </c>
      <c r="AP87" t="e">
        <f>VLOOKUP($AC87,'oddspedia-matches'!$A:$AD,AP$2,0)</f>
        <v>#N/A</v>
      </c>
      <c r="AQ87" t="e">
        <f>VLOOKUP($AC87,'oddspedia-matches'!$A:$AD,AQ$2,0)</f>
        <v>#N/A</v>
      </c>
      <c r="AR87" t="e">
        <f>VLOOKUP($AC87,'oddspedia-matches'!$A:$AD,AR$2,0)</f>
        <v>#N/A</v>
      </c>
      <c r="AS87" t="e">
        <f>VLOOKUP($AC87,'oddspedia-matches'!$A:$AD,AS$2,0)</f>
        <v>#N/A</v>
      </c>
      <c r="AT87" t="e">
        <f>VLOOKUP($AC87,'oddspedia-matches'!$A:$AD,AT$2,0)</f>
        <v>#N/A</v>
      </c>
    </row>
    <row r="88" spans="2:46" x14ac:dyDescent="0.25">
      <c r="B88" s="9" t="s">
        <v>490</v>
      </c>
      <c r="C88" s="7" t="s">
        <v>124</v>
      </c>
      <c r="D88" s="20">
        <v>0.27083333333333331</v>
      </c>
      <c r="E88" s="7" t="s">
        <v>131</v>
      </c>
      <c r="F88" s="7" t="s">
        <v>132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s="7">
        <v>11.1</v>
      </c>
      <c r="Y88" s="7">
        <v>20</v>
      </c>
      <c r="Z88" s="21"/>
      <c r="AA88" t="str">
        <f>VLOOKUP(E88,'Transform table'!A:B,2,0)</f>
        <v>St Albans City</v>
      </c>
      <c r="AB88" t="e">
        <f>VLOOKUP(F88,'Transform table'!A:B,2,0)</f>
        <v>#N/A</v>
      </c>
      <c r="AC88" t="e">
        <f t="shared" si="1"/>
        <v>#N/A</v>
      </c>
      <c r="AD88" t="e">
        <f>VLOOKUP($AC88,'oddspedia-matches'!$A:$AD,AD$2,0)</f>
        <v>#N/A</v>
      </c>
      <c r="AE88" t="e">
        <f>VLOOKUP($AC88,'oddspedia-matches'!$A:$AD,AE$2,0)</f>
        <v>#N/A</v>
      </c>
      <c r="AF88" t="e">
        <f>VLOOKUP($AC88,'oddspedia-matches'!$A:$AD,AF$2,0)</f>
        <v>#N/A</v>
      </c>
      <c r="AG88" t="e">
        <f>VLOOKUP($AC88,'oddspedia-matches'!$A:$AD,AG$2,0)</f>
        <v>#N/A</v>
      </c>
      <c r="AH88" t="e">
        <f>VLOOKUP($AC88,'oddspedia-matches'!$A:$AD,AH$2,0)</f>
        <v>#N/A</v>
      </c>
      <c r="AI88" t="e">
        <f>VLOOKUP($AC88,'oddspedia-matches'!$A:$AD,AI$2,0)</f>
        <v>#N/A</v>
      </c>
      <c r="AJ88" t="e">
        <f>VLOOKUP($AC88,'oddspedia-matches'!$A:$AD,AJ$2,0)</f>
        <v>#N/A</v>
      </c>
      <c r="AK88" t="e">
        <f>VLOOKUP($AC88,'oddspedia-matches'!$A:$AD,AK$2,0)</f>
        <v>#N/A</v>
      </c>
      <c r="AL88" t="e">
        <f>VLOOKUP($AC88,'oddspedia-matches'!$A:$AD,AL$2,0)</f>
        <v>#N/A</v>
      </c>
      <c r="AM88" t="e">
        <f>VLOOKUP($AC88,'oddspedia-matches'!$A:$AD,AM$2,0)</f>
        <v>#N/A</v>
      </c>
      <c r="AN88" t="e">
        <f>VLOOKUP($AC88,'oddspedia-matches'!$A:$AD,AN$2,0)</f>
        <v>#N/A</v>
      </c>
      <c r="AO88" t="e">
        <f>VLOOKUP($AC88,'oddspedia-matches'!$A:$AD,AO$2,0)</f>
        <v>#N/A</v>
      </c>
      <c r="AP88" t="e">
        <f>VLOOKUP($AC88,'oddspedia-matches'!$A:$AD,AP$2,0)</f>
        <v>#N/A</v>
      </c>
      <c r="AQ88" t="e">
        <f>VLOOKUP($AC88,'oddspedia-matches'!$A:$AD,AQ$2,0)</f>
        <v>#N/A</v>
      </c>
      <c r="AR88" t="e">
        <f>VLOOKUP($AC88,'oddspedia-matches'!$A:$AD,AR$2,0)</f>
        <v>#N/A</v>
      </c>
      <c r="AS88" t="e">
        <f>VLOOKUP($AC88,'oddspedia-matches'!$A:$AD,AS$2,0)</f>
        <v>#N/A</v>
      </c>
      <c r="AT88" t="e">
        <f>VLOOKUP($AC88,'oddspedia-matches'!$A:$AD,AT$2,0)</f>
        <v>#N/A</v>
      </c>
    </row>
    <row r="89" spans="2:46" x14ac:dyDescent="0.25">
      <c r="B89" s="17" t="s">
        <v>490</v>
      </c>
      <c r="C89" s="8" t="s">
        <v>124</v>
      </c>
      <c r="D89" s="18">
        <v>0.30208333333333331</v>
      </c>
      <c r="E89" s="8" t="s">
        <v>133</v>
      </c>
      <c r="F89" s="8" t="s">
        <v>134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s="8" t="s">
        <v>22</v>
      </c>
      <c r="Y89" s="8" t="s">
        <v>22</v>
      </c>
      <c r="Z89" s="19"/>
      <c r="AA89">
        <f>VLOOKUP(E89,'Transform table'!A:B,2,0)</f>
        <v>0</v>
      </c>
      <c r="AB89" t="e">
        <f>VLOOKUP(F89,'Transform table'!A:B,2,0)</f>
        <v>#N/A</v>
      </c>
      <c r="AC89" t="e">
        <f t="shared" si="1"/>
        <v>#N/A</v>
      </c>
      <c r="AD89" t="e">
        <f>VLOOKUP($AC89,'oddspedia-matches'!$A:$AD,AD$2,0)</f>
        <v>#N/A</v>
      </c>
      <c r="AE89" t="e">
        <f>VLOOKUP($AC89,'oddspedia-matches'!$A:$AD,AE$2,0)</f>
        <v>#N/A</v>
      </c>
      <c r="AF89" t="e">
        <f>VLOOKUP($AC89,'oddspedia-matches'!$A:$AD,AF$2,0)</f>
        <v>#N/A</v>
      </c>
      <c r="AG89" t="e">
        <f>VLOOKUP($AC89,'oddspedia-matches'!$A:$AD,AG$2,0)</f>
        <v>#N/A</v>
      </c>
      <c r="AH89" t="e">
        <f>VLOOKUP($AC89,'oddspedia-matches'!$A:$AD,AH$2,0)</f>
        <v>#N/A</v>
      </c>
      <c r="AI89" t="e">
        <f>VLOOKUP($AC89,'oddspedia-matches'!$A:$AD,AI$2,0)</f>
        <v>#N/A</v>
      </c>
      <c r="AJ89" t="e">
        <f>VLOOKUP($AC89,'oddspedia-matches'!$A:$AD,AJ$2,0)</f>
        <v>#N/A</v>
      </c>
      <c r="AK89" t="e">
        <f>VLOOKUP($AC89,'oddspedia-matches'!$A:$AD,AK$2,0)</f>
        <v>#N/A</v>
      </c>
      <c r="AL89" t="e">
        <f>VLOOKUP($AC89,'oddspedia-matches'!$A:$AD,AL$2,0)</f>
        <v>#N/A</v>
      </c>
      <c r="AM89" t="e">
        <f>VLOOKUP($AC89,'oddspedia-matches'!$A:$AD,AM$2,0)</f>
        <v>#N/A</v>
      </c>
      <c r="AN89" t="e">
        <f>VLOOKUP($AC89,'oddspedia-matches'!$A:$AD,AN$2,0)</f>
        <v>#N/A</v>
      </c>
      <c r="AO89" t="e">
        <f>VLOOKUP($AC89,'oddspedia-matches'!$A:$AD,AO$2,0)</f>
        <v>#N/A</v>
      </c>
      <c r="AP89" t="e">
        <f>VLOOKUP($AC89,'oddspedia-matches'!$A:$AD,AP$2,0)</f>
        <v>#N/A</v>
      </c>
      <c r="AQ89" t="e">
        <f>VLOOKUP($AC89,'oddspedia-matches'!$A:$AD,AQ$2,0)</f>
        <v>#N/A</v>
      </c>
      <c r="AR89" t="e">
        <f>VLOOKUP($AC89,'oddspedia-matches'!$A:$AD,AR$2,0)</f>
        <v>#N/A</v>
      </c>
      <c r="AS89" t="e">
        <f>VLOOKUP($AC89,'oddspedia-matches'!$A:$AD,AS$2,0)</f>
        <v>#N/A</v>
      </c>
      <c r="AT89" t="e">
        <f>VLOOKUP($AC89,'oddspedia-matches'!$A:$AD,AT$2,0)</f>
        <v>#N/A</v>
      </c>
    </row>
    <row r="90" spans="2:46" x14ac:dyDescent="0.25">
      <c r="B90" s="9" t="s">
        <v>490</v>
      </c>
      <c r="C90" s="7" t="s">
        <v>124</v>
      </c>
      <c r="D90" s="20">
        <v>0.3125</v>
      </c>
      <c r="E90" s="7" t="s">
        <v>135</v>
      </c>
      <c r="F90" s="7" t="s">
        <v>136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s="7" t="s">
        <v>22</v>
      </c>
      <c r="Y90" s="7" t="s">
        <v>22</v>
      </c>
      <c r="Z90" s="21"/>
      <c r="AA90" t="str">
        <f>VLOOKUP(E90,'Transform table'!A:B,2,0)</f>
        <v>Preston Lions</v>
      </c>
      <c r="AB90" t="e">
        <f>VLOOKUP(F90,'Transform table'!A:B,2,0)</f>
        <v>#N/A</v>
      </c>
      <c r="AC90" t="e">
        <f t="shared" si="1"/>
        <v>#N/A</v>
      </c>
      <c r="AD90" t="e">
        <f>VLOOKUP($AC90,'oddspedia-matches'!$A:$AD,AD$2,0)</f>
        <v>#N/A</v>
      </c>
      <c r="AE90" t="e">
        <f>VLOOKUP($AC90,'oddspedia-matches'!$A:$AD,AE$2,0)</f>
        <v>#N/A</v>
      </c>
      <c r="AF90" t="e">
        <f>VLOOKUP($AC90,'oddspedia-matches'!$A:$AD,AF$2,0)</f>
        <v>#N/A</v>
      </c>
      <c r="AG90" t="e">
        <f>VLOOKUP($AC90,'oddspedia-matches'!$A:$AD,AG$2,0)</f>
        <v>#N/A</v>
      </c>
      <c r="AH90" t="e">
        <f>VLOOKUP($AC90,'oddspedia-matches'!$A:$AD,AH$2,0)</f>
        <v>#N/A</v>
      </c>
      <c r="AI90" t="e">
        <f>VLOOKUP($AC90,'oddspedia-matches'!$A:$AD,AI$2,0)</f>
        <v>#N/A</v>
      </c>
      <c r="AJ90" t="e">
        <f>VLOOKUP($AC90,'oddspedia-matches'!$A:$AD,AJ$2,0)</f>
        <v>#N/A</v>
      </c>
      <c r="AK90" t="e">
        <f>VLOOKUP($AC90,'oddspedia-matches'!$A:$AD,AK$2,0)</f>
        <v>#N/A</v>
      </c>
      <c r="AL90" t="e">
        <f>VLOOKUP($AC90,'oddspedia-matches'!$A:$AD,AL$2,0)</f>
        <v>#N/A</v>
      </c>
      <c r="AM90" t="e">
        <f>VLOOKUP($AC90,'oddspedia-matches'!$A:$AD,AM$2,0)</f>
        <v>#N/A</v>
      </c>
      <c r="AN90" t="e">
        <f>VLOOKUP($AC90,'oddspedia-matches'!$A:$AD,AN$2,0)</f>
        <v>#N/A</v>
      </c>
      <c r="AO90" t="e">
        <f>VLOOKUP($AC90,'oddspedia-matches'!$A:$AD,AO$2,0)</f>
        <v>#N/A</v>
      </c>
      <c r="AP90" t="e">
        <f>VLOOKUP($AC90,'oddspedia-matches'!$A:$AD,AP$2,0)</f>
        <v>#N/A</v>
      </c>
      <c r="AQ90" t="e">
        <f>VLOOKUP($AC90,'oddspedia-matches'!$A:$AD,AQ$2,0)</f>
        <v>#N/A</v>
      </c>
      <c r="AR90" t="e">
        <f>VLOOKUP($AC90,'oddspedia-matches'!$A:$AD,AR$2,0)</f>
        <v>#N/A</v>
      </c>
      <c r="AS90" t="e">
        <f>VLOOKUP($AC90,'oddspedia-matches'!$A:$AD,AS$2,0)</f>
        <v>#N/A</v>
      </c>
      <c r="AT90" t="e">
        <f>VLOOKUP($AC90,'oddspedia-matches'!$A:$AD,AT$2,0)</f>
        <v>#N/A</v>
      </c>
    </row>
    <row r="91" spans="2:46" x14ac:dyDescent="0.25">
      <c r="B91" s="17" t="s">
        <v>491</v>
      </c>
      <c r="C91" s="8" t="s">
        <v>124</v>
      </c>
      <c r="D91" s="18">
        <v>0.3125</v>
      </c>
      <c r="E91" s="8" t="s">
        <v>137</v>
      </c>
      <c r="F91" s="8" t="s">
        <v>138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s="8">
        <v>14.3</v>
      </c>
      <c r="Y91" s="8">
        <v>0</v>
      </c>
      <c r="Z91" s="19"/>
      <c r="AA91">
        <f>VLOOKUP(E91,'Transform table'!A:B,2,0)</f>
        <v>0</v>
      </c>
      <c r="AB91" t="e">
        <f>VLOOKUP(F91,'Transform table'!A:B,2,0)</f>
        <v>#N/A</v>
      </c>
      <c r="AC91" t="e">
        <f t="shared" si="1"/>
        <v>#N/A</v>
      </c>
      <c r="AD91" t="e">
        <f>VLOOKUP($AC91,'oddspedia-matches'!$A:$AD,AD$2,0)</f>
        <v>#N/A</v>
      </c>
      <c r="AE91" t="e">
        <f>VLOOKUP($AC91,'oddspedia-matches'!$A:$AD,AE$2,0)</f>
        <v>#N/A</v>
      </c>
      <c r="AF91" t="e">
        <f>VLOOKUP($AC91,'oddspedia-matches'!$A:$AD,AF$2,0)</f>
        <v>#N/A</v>
      </c>
      <c r="AG91" t="e">
        <f>VLOOKUP($AC91,'oddspedia-matches'!$A:$AD,AG$2,0)</f>
        <v>#N/A</v>
      </c>
      <c r="AH91" t="e">
        <f>VLOOKUP($AC91,'oddspedia-matches'!$A:$AD,AH$2,0)</f>
        <v>#N/A</v>
      </c>
      <c r="AI91" t="e">
        <f>VLOOKUP($AC91,'oddspedia-matches'!$A:$AD,AI$2,0)</f>
        <v>#N/A</v>
      </c>
      <c r="AJ91" t="e">
        <f>VLOOKUP($AC91,'oddspedia-matches'!$A:$AD,AJ$2,0)</f>
        <v>#N/A</v>
      </c>
      <c r="AK91" t="e">
        <f>VLOOKUP($AC91,'oddspedia-matches'!$A:$AD,AK$2,0)</f>
        <v>#N/A</v>
      </c>
      <c r="AL91" t="e">
        <f>VLOOKUP($AC91,'oddspedia-matches'!$A:$AD,AL$2,0)</f>
        <v>#N/A</v>
      </c>
      <c r="AM91" t="e">
        <f>VLOOKUP($AC91,'oddspedia-matches'!$A:$AD,AM$2,0)</f>
        <v>#N/A</v>
      </c>
      <c r="AN91" t="e">
        <f>VLOOKUP($AC91,'oddspedia-matches'!$A:$AD,AN$2,0)</f>
        <v>#N/A</v>
      </c>
      <c r="AO91" t="e">
        <f>VLOOKUP($AC91,'oddspedia-matches'!$A:$AD,AO$2,0)</f>
        <v>#N/A</v>
      </c>
      <c r="AP91" t="e">
        <f>VLOOKUP($AC91,'oddspedia-matches'!$A:$AD,AP$2,0)</f>
        <v>#N/A</v>
      </c>
      <c r="AQ91" t="e">
        <f>VLOOKUP($AC91,'oddspedia-matches'!$A:$AD,AQ$2,0)</f>
        <v>#N/A</v>
      </c>
      <c r="AR91" t="e">
        <f>VLOOKUP($AC91,'oddspedia-matches'!$A:$AD,AR$2,0)</f>
        <v>#N/A</v>
      </c>
      <c r="AS91" t="e">
        <f>VLOOKUP($AC91,'oddspedia-matches'!$A:$AD,AS$2,0)</f>
        <v>#N/A</v>
      </c>
      <c r="AT91" t="e">
        <f>VLOOKUP($AC91,'oddspedia-matches'!$A:$AD,AT$2,0)</f>
        <v>#N/A</v>
      </c>
    </row>
    <row r="92" spans="2:46" x14ac:dyDescent="0.25">
      <c r="B92" s="9" t="s">
        <v>491</v>
      </c>
      <c r="C92" s="7" t="s">
        <v>124</v>
      </c>
      <c r="D92" s="20">
        <v>0.3125</v>
      </c>
      <c r="E92" s="7" t="s">
        <v>139</v>
      </c>
      <c r="F92" s="7" t="s">
        <v>140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s="7">
        <v>0</v>
      </c>
      <c r="Y92" s="7">
        <v>0</v>
      </c>
      <c r="Z92" s="21"/>
      <c r="AA92">
        <f>VLOOKUP(E92,'Transform table'!A:B,2,0)</f>
        <v>0</v>
      </c>
      <c r="AB92" t="e">
        <f>VLOOKUP(F92,'Transform table'!A:B,2,0)</f>
        <v>#N/A</v>
      </c>
      <c r="AC92" t="e">
        <f t="shared" si="1"/>
        <v>#N/A</v>
      </c>
      <c r="AD92" t="e">
        <f>VLOOKUP($AC92,'oddspedia-matches'!$A:$AD,AD$2,0)</f>
        <v>#N/A</v>
      </c>
      <c r="AE92" t="e">
        <f>VLOOKUP($AC92,'oddspedia-matches'!$A:$AD,AE$2,0)</f>
        <v>#N/A</v>
      </c>
      <c r="AF92" t="e">
        <f>VLOOKUP($AC92,'oddspedia-matches'!$A:$AD,AF$2,0)</f>
        <v>#N/A</v>
      </c>
      <c r="AG92" t="e">
        <f>VLOOKUP($AC92,'oddspedia-matches'!$A:$AD,AG$2,0)</f>
        <v>#N/A</v>
      </c>
      <c r="AH92" t="e">
        <f>VLOOKUP($AC92,'oddspedia-matches'!$A:$AD,AH$2,0)</f>
        <v>#N/A</v>
      </c>
      <c r="AI92" t="e">
        <f>VLOOKUP($AC92,'oddspedia-matches'!$A:$AD,AI$2,0)</f>
        <v>#N/A</v>
      </c>
      <c r="AJ92" t="e">
        <f>VLOOKUP($AC92,'oddspedia-matches'!$A:$AD,AJ$2,0)</f>
        <v>#N/A</v>
      </c>
      <c r="AK92" t="e">
        <f>VLOOKUP($AC92,'oddspedia-matches'!$A:$AD,AK$2,0)</f>
        <v>#N/A</v>
      </c>
      <c r="AL92" t="e">
        <f>VLOOKUP($AC92,'oddspedia-matches'!$A:$AD,AL$2,0)</f>
        <v>#N/A</v>
      </c>
      <c r="AM92" t="e">
        <f>VLOOKUP($AC92,'oddspedia-matches'!$A:$AD,AM$2,0)</f>
        <v>#N/A</v>
      </c>
      <c r="AN92" t="e">
        <f>VLOOKUP($AC92,'oddspedia-matches'!$A:$AD,AN$2,0)</f>
        <v>#N/A</v>
      </c>
      <c r="AO92" t="e">
        <f>VLOOKUP($AC92,'oddspedia-matches'!$A:$AD,AO$2,0)</f>
        <v>#N/A</v>
      </c>
      <c r="AP92" t="e">
        <f>VLOOKUP($AC92,'oddspedia-matches'!$A:$AD,AP$2,0)</f>
        <v>#N/A</v>
      </c>
      <c r="AQ92" t="e">
        <f>VLOOKUP($AC92,'oddspedia-matches'!$A:$AD,AQ$2,0)</f>
        <v>#N/A</v>
      </c>
      <c r="AR92" t="e">
        <f>VLOOKUP($AC92,'oddspedia-matches'!$A:$AD,AR$2,0)</f>
        <v>#N/A</v>
      </c>
      <c r="AS92" t="e">
        <f>VLOOKUP($AC92,'oddspedia-matches'!$A:$AD,AS$2,0)</f>
        <v>#N/A</v>
      </c>
      <c r="AT92" t="e">
        <f>VLOOKUP($AC92,'oddspedia-matches'!$A:$AD,AT$2,0)</f>
        <v>#N/A</v>
      </c>
    </row>
    <row r="93" spans="2:46" x14ac:dyDescent="0.25">
      <c r="B93" s="17" t="s">
        <v>468</v>
      </c>
      <c r="C93" s="8" t="s">
        <v>124</v>
      </c>
      <c r="D93" s="18">
        <v>0.45833333333333331</v>
      </c>
      <c r="E93" s="8" t="s">
        <v>141</v>
      </c>
      <c r="F93" s="8" t="s">
        <v>142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s="8">
        <v>12.5</v>
      </c>
      <c r="Y93" s="8">
        <v>37.5</v>
      </c>
      <c r="Z93" s="19"/>
      <c r="AA93" t="str">
        <f>VLOOKUP(E93,'Transform table'!A:B,2,0)</f>
        <v>FK Panevezys</v>
      </c>
      <c r="AB93" t="str">
        <f>VLOOKUP(F93,'Transform table'!A:B,2,0)</f>
        <v>Kauno Zalgiris</v>
      </c>
      <c r="AC93" t="str">
        <f t="shared" si="1"/>
        <v>24/07/2026FK PanevezysKauno Zalgiris</v>
      </c>
      <c r="AD93" t="e">
        <f>VLOOKUP($AC93,'oddspedia-matches'!$A:$AD,AD$2,0)</f>
        <v>#N/A</v>
      </c>
      <c r="AE93" t="e">
        <f>VLOOKUP($AC93,'oddspedia-matches'!$A:$AD,AE$2,0)</f>
        <v>#N/A</v>
      </c>
      <c r="AF93" t="e">
        <f>VLOOKUP($AC93,'oddspedia-matches'!$A:$AD,AF$2,0)</f>
        <v>#N/A</v>
      </c>
      <c r="AG93" t="e">
        <f>VLOOKUP($AC93,'oddspedia-matches'!$A:$AD,AG$2,0)</f>
        <v>#N/A</v>
      </c>
      <c r="AH93" t="e">
        <f>VLOOKUP($AC93,'oddspedia-matches'!$A:$AD,AH$2,0)</f>
        <v>#N/A</v>
      </c>
      <c r="AI93" t="e">
        <f>VLOOKUP($AC93,'oddspedia-matches'!$A:$AD,AI$2,0)</f>
        <v>#N/A</v>
      </c>
      <c r="AJ93" t="e">
        <f>VLOOKUP($AC93,'oddspedia-matches'!$A:$AD,AJ$2,0)</f>
        <v>#N/A</v>
      </c>
      <c r="AK93" t="e">
        <f>VLOOKUP($AC93,'oddspedia-matches'!$A:$AD,AK$2,0)</f>
        <v>#N/A</v>
      </c>
      <c r="AL93" t="e">
        <f>VLOOKUP($AC93,'oddspedia-matches'!$A:$AD,AL$2,0)</f>
        <v>#N/A</v>
      </c>
      <c r="AM93" t="e">
        <f>VLOOKUP($AC93,'oddspedia-matches'!$A:$AD,AM$2,0)</f>
        <v>#N/A</v>
      </c>
      <c r="AN93" t="e">
        <f>VLOOKUP($AC93,'oddspedia-matches'!$A:$AD,AN$2,0)</f>
        <v>#N/A</v>
      </c>
      <c r="AO93" t="e">
        <f>VLOOKUP($AC93,'oddspedia-matches'!$A:$AD,AO$2,0)</f>
        <v>#N/A</v>
      </c>
      <c r="AP93" t="e">
        <f>VLOOKUP($AC93,'oddspedia-matches'!$A:$AD,AP$2,0)</f>
        <v>#N/A</v>
      </c>
      <c r="AQ93" t="e">
        <f>VLOOKUP($AC93,'oddspedia-matches'!$A:$AD,AQ$2,0)</f>
        <v>#N/A</v>
      </c>
      <c r="AR93" t="e">
        <f>VLOOKUP($AC93,'oddspedia-matches'!$A:$AD,AR$2,0)</f>
        <v>#N/A</v>
      </c>
      <c r="AS93" t="e">
        <f>VLOOKUP($AC93,'oddspedia-matches'!$A:$AD,AS$2,0)</f>
        <v>#N/A</v>
      </c>
      <c r="AT93" t="e">
        <f>VLOOKUP($AC93,'oddspedia-matches'!$A:$AD,AT$2,0)</f>
        <v>#N/A</v>
      </c>
    </row>
    <row r="94" spans="2:46" x14ac:dyDescent="0.25">
      <c r="B94" s="9" t="s">
        <v>492</v>
      </c>
      <c r="C94" s="7" t="s">
        <v>124</v>
      </c>
      <c r="D94" s="20">
        <v>0.54166666666666663</v>
      </c>
      <c r="E94" s="7" t="s">
        <v>143</v>
      </c>
      <c r="F94" s="7" t="s">
        <v>144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s="7">
        <v>25</v>
      </c>
      <c r="Y94" s="7">
        <v>25</v>
      </c>
      <c r="Z94" s="21"/>
      <c r="AA94" t="str">
        <f>VLOOKUP(E94,'Transform table'!A:B,2,0)</f>
        <v>FF Jaro II</v>
      </c>
      <c r="AB94" t="str">
        <f>VLOOKUP(F94,'Transform table'!A:B,2,0)</f>
        <v>Kuopio PS</v>
      </c>
      <c r="AC94" t="str">
        <f t="shared" si="1"/>
        <v>24/07/2026FF Jaro IIKuopio PS</v>
      </c>
      <c r="AD94" t="e">
        <f>VLOOKUP($AC94,'oddspedia-matches'!$A:$AD,AD$2,0)</f>
        <v>#N/A</v>
      </c>
      <c r="AE94" t="e">
        <f>VLOOKUP($AC94,'oddspedia-matches'!$A:$AD,AE$2,0)</f>
        <v>#N/A</v>
      </c>
      <c r="AF94" t="e">
        <f>VLOOKUP($AC94,'oddspedia-matches'!$A:$AD,AF$2,0)</f>
        <v>#N/A</v>
      </c>
      <c r="AG94" t="e">
        <f>VLOOKUP($AC94,'oddspedia-matches'!$A:$AD,AG$2,0)</f>
        <v>#N/A</v>
      </c>
      <c r="AH94" t="e">
        <f>VLOOKUP($AC94,'oddspedia-matches'!$A:$AD,AH$2,0)</f>
        <v>#N/A</v>
      </c>
      <c r="AI94" t="e">
        <f>VLOOKUP($AC94,'oddspedia-matches'!$A:$AD,AI$2,0)</f>
        <v>#N/A</v>
      </c>
      <c r="AJ94" t="e">
        <f>VLOOKUP($AC94,'oddspedia-matches'!$A:$AD,AJ$2,0)</f>
        <v>#N/A</v>
      </c>
      <c r="AK94" t="e">
        <f>VLOOKUP($AC94,'oddspedia-matches'!$A:$AD,AK$2,0)</f>
        <v>#N/A</v>
      </c>
      <c r="AL94" t="e">
        <f>VLOOKUP($AC94,'oddspedia-matches'!$A:$AD,AL$2,0)</f>
        <v>#N/A</v>
      </c>
      <c r="AM94" t="e">
        <f>VLOOKUP($AC94,'oddspedia-matches'!$A:$AD,AM$2,0)</f>
        <v>#N/A</v>
      </c>
      <c r="AN94" t="e">
        <f>VLOOKUP($AC94,'oddspedia-matches'!$A:$AD,AN$2,0)</f>
        <v>#N/A</v>
      </c>
      <c r="AO94" t="e">
        <f>VLOOKUP($AC94,'oddspedia-matches'!$A:$AD,AO$2,0)</f>
        <v>#N/A</v>
      </c>
      <c r="AP94" t="e">
        <f>VLOOKUP($AC94,'oddspedia-matches'!$A:$AD,AP$2,0)</f>
        <v>#N/A</v>
      </c>
      <c r="AQ94" t="e">
        <f>VLOOKUP($AC94,'oddspedia-matches'!$A:$AD,AQ$2,0)</f>
        <v>#N/A</v>
      </c>
      <c r="AR94" t="e">
        <f>VLOOKUP($AC94,'oddspedia-matches'!$A:$AD,AR$2,0)</f>
        <v>#N/A</v>
      </c>
      <c r="AS94" t="e">
        <f>VLOOKUP($AC94,'oddspedia-matches'!$A:$AD,AS$2,0)</f>
        <v>#N/A</v>
      </c>
      <c r="AT94" t="e">
        <f>VLOOKUP($AC94,'oddspedia-matches'!$A:$AD,AT$2,0)</f>
        <v>#N/A</v>
      </c>
    </row>
    <row r="95" spans="2:46" x14ac:dyDescent="0.25">
      <c r="B95" s="17" t="s">
        <v>493</v>
      </c>
      <c r="C95" s="8" t="s">
        <v>124</v>
      </c>
      <c r="D95" s="18">
        <v>0.54166666666666663</v>
      </c>
      <c r="E95" s="8" t="s">
        <v>145</v>
      </c>
      <c r="F95" s="8" t="s">
        <v>146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s="8" t="s">
        <v>22</v>
      </c>
      <c r="Y95" s="8" t="s">
        <v>22</v>
      </c>
      <c r="Z95" s="19"/>
      <c r="AA95" t="str">
        <f>VLOOKUP(E95,'Transform table'!A:B,2,0)</f>
        <v>VMFD Zalgiris</v>
      </c>
      <c r="AB95" t="str">
        <f>VLOOKUP(F95,'Transform table'!A:B,2,0)</f>
        <v>Hegelmann Litauen</v>
      </c>
      <c r="AC95" t="str">
        <f t="shared" si="1"/>
        <v>24/07/2026VMFD ZalgirisHegelmann Litauen</v>
      </c>
      <c r="AD95" t="e">
        <f>VLOOKUP($AC95,'oddspedia-matches'!$A:$AD,AD$2,0)</f>
        <v>#N/A</v>
      </c>
      <c r="AE95" t="e">
        <f>VLOOKUP($AC95,'oddspedia-matches'!$A:$AD,AE$2,0)</f>
        <v>#N/A</v>
      </c>
      <c r="AF95" t="e">
        <f>VLOOKUP($AC95,'oddspedia-matches'!$A:$AD,AF$2,0)</f>
        <v>#N/A</v>
      </c>
      <c r="AG95" t="e">
        <f>VLOOKUP($AC95,'oddspedia-matches'!$A:$AD,AG$2,0)</f>
        <v>#N/A</v>
      </c>
      <c r="AH95" t="e">
        <f>VLOOKUP($AC95,'oddspedia-matches'!$A:$AD,AH$2,0)</f>
        <v>#N/A</v>
      </c>
      <c r="AI95" t="e">
        <f>VLOOKUP($AC95,'oddspedia-matches'!$A:$AD,AI$2,0)</f>
        <v>#N/A</v>
      </c>
      <c r="AJ95" t="e">
        <f>VLOOKUP($AC95,'oddspedia-matches'!$A:$AD,AJ$2,0)</f>
        <v>#N/A</v>
      </c>
      <c r="AK95" t="e">
        <f>VLOOKUP($AC95,'oddspedia-matches'!$A:$AD,AK$2,0)</f>
        <v>#N/A</v>
      </c>
      <c r="AL95" t="e">
        <f>VLOOKUP($AC95,'oddspedia-matches'!$A:$AD,AL$2,0)</f>
        <v>#N/A</v>
      </c>
      <c r="AM95" t="e">
        <f>VLOOKUP($AC95,'oddspedia-matches'!$A:$AD,AM$2,0)</f>
        <v>#N/A</v>
      </c>
      <c r="AN95" t="e">
        <f>VLOOKUP($AC95,'oddspedia-matches'!$A:$AD,AN$2,0)</f>
        <v>#N/A</v>
      </c>
      <c r="AO95" t="e">
        <f>VLOOKUP($AC95,'oddspedia-matches'!$A:$AD,AO$2,0)</f>
        <v>#N/A</v>
      </c>
      <c r="AP95" t="e">
        <f>VLOOKUP($AC95,'oddspedia-matches'!$A:$AD,AP$2,0)</f>
        <v>#N/A</v>
      </c>
      <c r="AQ95" t="e">
        <f>VLOOKUP($AC95,'oddspedia-matches'!$A:$AD,AQ$2,0)</f>
        <v>#N/A</v>
      </c>
      <c r="AR95" t="e">
        <f>VLOOKUP($AC95,'oddspedia-matches'!$A:$AD,AR$2,0)</f>
        <v>#N/A</v>
      </c>
      <c r="AS95" t="e">
        <f>VLOOKUP($AC95,'oddspedia-matches'!$A:$AD,AS$2,0)</f>
        <v>#N/A</v>
      </c>
      <c r="AT95" t="e">
        <f>VLOOKUP($AC95,'oddspedia-matches'!$A:$AD,AT$2,0)</f>
        <v>#N/A</v>
      </c>
    </row>
    <row r="96" spans="2:46" x14ac:dyDescent="0.25">
      <c r="B96" s="9" t="s">
        <v>494</v>
      </c>
      <c r="C96" s="7" t="s">
        <v>124</v>
      </c>
      <c r="D96" s="20">
        <v>0.58333333333333337</v>
      </c>
      <c r="E96" s="7" t="s">
        <v>147</v>
      </c>
      <c r="F96" s="7" t="s">
        <v>148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s="7">
        <v>50</v>
      </c>
      <c r="Y96" s="7">
        <v>16.7</v>
      </c>
      <c r="Z96" s="21"/>
      <c r="AA96" t="str">
        <f>VLOOKUP(E96,'Transform table'!A:B,2,0)</f>
        <v>VSK Arhus</v>
      </c>
      <c r="AB96" t="str">
        <f>VLOOKUP(F96,'Transform table'!A:B,2,0)</f>
        <v>Orgryte IS</v>
      </c>
      <c r="AC96" t="str">
        <f t="shared" si="1"/>
        <v>24/07/2026VSK ArhusOrgryte IS</v>
      </c>
      <c r="AD96" t="e">
        <f>VLOOKUP($AC96,'oddspedia-matches'!$A:$AD,AD$2,0)</f>
        <v>#N/A</v>
      </c>
      <c r="AE96" t="e">
        <f>VLOOKUP($AC96,'oddspedia-matches'!$A:$AD,AE$2,0)</f>
        <v>#N/A</v>
      </c>
      <c r="AF96" t="e">
        <f>VLOOKUP($AC96,'oddspedia-matches'!$A:$AD,AF$2,0)</f>
        <v>#N/A</v>
      </c>
      <c r="AG96" t="e">
        <f>VLOOKUP($AC96,'oddspedia-matches'!$A:$AD,AG$2,0)</f>
        <v>#N/A</v>
      </c>
      <c r="AH96" t="e">
        <f>VLOOKUP($AC96,'oddspedia-matches'!$A:$AD,AH$2,0)</f>
        <v>#N/A</v>
      </c>
      <c r="AI96" t="e">
        <f>VLOOKUP($AC96,'oddspedia-matches'!$A:$AD,AI$2,0)</f>
        <v>#N/A</v>
      </c>
      <c r="AJ96" t="e">
        <f>VLOOKUP($AC96,'oddspedia-matches'!$A:$AD,AJ$2,0)</f>
        <v>#N/A</v>
      </c>
      <c r="AK96" t="e">
        <f>VLOOKUP($AC96,'oddspedia-matches'!$A:$AD,AK$2,0)</f>
        <v>#N/A</v>
      </c>
      <c r="AL96" t="e">
        <f>VLOOKUP($AC96,'oddspedia-matches'!$A:$AD,AL$2,0)</f>
        <v>#N/A</v>
      </c>
      <c r="AM96" t="e">
        <f>VLOOKUP($AC96,'oddspedia-matches'!$A:$AD,AM$2,0)</f>
        <v>#N/A</v>
      </c>
      <c r="AN96" t="e">
        <f>VLOOKUP($AC96,'oddspedia-matches'!$A:$AD,AN$2,0)</f>
        <v>#N/A</v>
      </c>
      <c r="AO96" t="e">
        <f>VLOOKUP($AC96,'oddspedia-matches'!$A:$AD,AO$2,0)</f>
        <v>#N/A</v>
      </c>
      <c r="AP96" t="e">
        <f>VLOOKUP($AC96,'oddspedia-matches'!$A:$AD,AP$2,0)</f>
        <v>#N/A</v>
      </c>
      <c r="AQ96" t="e">
        <f>VLOOKUP($AC96,'oddspedia-matches'!$A:$AD,AQ$2,0)</f>
        <v>#N/A</v>
      </c>
      <c r="AR96" t="e">
        <f>VLOOKUP($AC96,'oddspedia-matches'!$A:$AD,AR$2,0)</f>
        <v>#N/A</v>
      </c>
      <c r="AS96" t="e">
        <f>VLOOKUP($AC96,'oddspedia-matches'!$A:$AD,AS$2,0)</f>
        <v>#N/A</v>
      </c>
      <c r="AT96" t="e">
        <f>VLOOKUP($AC96,'oddspedia-matches'!$A:$AD,AT$2,0)</f>
        <v>#N/A</v>
      </c>
    </row>
    <row r="97" spans="2:46" x14ac:dyDescent="0.25">
      <c r="B97" s="17" t="s">
        <v>487</v>
      </c>
      <c r="C97" s="8" t="s">
        <v>124</v>
      </c>
      <c r="D97" s="18">
        <v>0.625</v>
      </c>
      <c r="E97" s="8" t="s">
        <v>149</v>
      </c>
      <c r="F97" s="8" t="s">
        <v>150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s="8">
        <v>28.6</v>
      </c>
      <c r="Y97" s="8">
        <v>42.9</v>
      </c>
      <c r="Z97" s="19"/>
      <c r="AA97">
        <f>VLOOKUP(E97,'Transform table'!A:B,2,0)</f>
        <v>0</v>
      </c>
      <c r="AB97" t="e">
        <f>VLOOKUP(F97,'Transform table'!A:B,2,0)</f>
        <v>#N/A</v>
      </c>
      <c r="AC97" t="e">
        <f t="shared" si="1"/>
        <v>#N/A</v>
      </c>
      <c r="AD97" t="e">
        <f>VLOOKUP($AC97,'oddspedia-matches'!$A:$AD,AD$2,0)</f>
        <v>#N/A</v>
      </c>
      <c r="AE97" t="e">
        <f>VLOOKUP($AC97,'oddspedia-matches'!$A:$AD,AE$2,0)</f>
        <v>#N/A</v>
      </c>
      <c r="AF97" t="e">
        <f>VLOOKUP($AC97,'oddspedia-matches'!$A:$AD,AF$2,0)</f>
        <v>#N/A</v>
      </c>
      <c r="AG97" t="e">
        <f>VLOOKUP($AC97,'oddspedia-matches'!$A:$AD,AG$2,0)</f>
        <v>#N/A</v>
      </c>
      <c r="AH97" t="e">
        <f>VLOOKUP($AC97,'oddspedia-matches'!$A:$AD,AH$2,0)</f>
        <v>#N/A</v>
      </c>
      <c r="AI97" t="e">
        <f>VLOOKUP($AC97,'oddspedia-matches'!$A:$AD,AI$2,0)</f>
        <v>#N/A</v>
      </c>
      <c r="AJ97" t="e">
        <f>VLOOKUP($AC97,'oddspedia-matches'!$A:$AD,AJ$2,0)</f>
        <v>#N/A</v>
      </c>
      <c r="AK97" t="e">
        <f>VLOOKUP($AC97,'oddspedia-matches'!$A:$AD,AK$2,0)</f>
        <v>#N/A</v>
      </c>
      <c r="AL97" t="e">
        <f>VLOOKUP($AC97,'oddspedia-matches'!$A:$AD,AL$2,0)</f>
        <v>#N/A</v>
      </c>
      <c r="AM97" t="e">
        <f>VLOOKUP($AC97,'oddspedia-matches'!$A:$AD,AM$2,0)</f>
        <v>#N/A</v>
      </c>
      <c r="AN97" t="e">
        <f>VLOOKUP($AC97,'oddspedia-matches'!$A:$AD,AN$2,0)</f>
        <v>#N/A</v>
      </c>
      <c r="AO97" t="e">
        <f>VLOOKUP($AC97,'oddspedia-matches'!$A:$AD,AO$2,0)</f>
        <v>#N/A</v>
      </c>
      <c r="AP97" t="e">
        <f>VLOOKUP($AC97,'oddspedia-matches'!$A:$AD,AP$2,0)</f>
        <v>#N/A</v>
      </c>
      <c r="AQ97" t="e">
        <f>VLOOKUP($AC97,'oddspedia-matches'!$A:$AD,AQ$2,0)</f>
        <v>#N/A</v>
      </c>
      <c r="AR97" t="e">
        <f>VLOOKUP($AC97,'oddspedia-matches'!$A:$AD,AR$2,0)</f>
        <v>#N/A</v>
      </c>
      <c r="AS97" t="e">
        <f>VLOOKUP($AC97,'oddspedia-matches'!$A:$AD,AS$2,0)</f>
        <v>#N/A</v>
      </c>
      <c r="AT97" t="e">
        <f>VLOOKUP($AC97,'oddspedia-matches'!$A:$AD,AT$2,0)</f>
        <v>#N/A</v>
      </c>
    </row>
    <row r="98" spans="2:46" x14ac:dyDescent="0.25">
      <c r="B98" s="9" t="s">
        <v>495</v>
      </c>
      <c r="C98" s="7" t="s">
        <v>124</v>
      </c>
      <c r="D98" s="20">
        <v>0.65625</v>
      </c>
      <c r="E98" s="7" t="s">
        <v>151</v>
      </c>
      <c r="F98" s="7" t="s">
        <v>152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s="7">
        <v>18.2</v>
      </c>
      <c r="Y98" s="7">
        <v>36.4</v>
      </c>
      <c r="Z98" s="21"/>
      <c r="AA98">
        <f>VLOOKUP(E98,'Transform table'!A:B,2,0)</f>
        <v>0</v>
      </c>
      <c r="AB98" t="e">
        <f>VLOOKUP(F98,'Transform table'!A:B,2,0)</f>
        <v>#N/A</v>
      </c>
      <c r="AC98" t="e">
        <f t="shared" si="1"/>
        <v>#N/A</v>
      </c>
      <c r="AD98" t="e">
        <f>VLOOKUP($AC98,'oddspedia-matches'!$A:$AD,AD$2,0)</f>
        <v>#N/A</v>
      </c>
      <c r="AE98" t="e">
        <f>VLOOKUP($AC98,'oddspedia-matches'!$A:$AD,AE$2,0)</f>
        <v>#N/A</v>
      </c>
      <c r="AF98" t="e">
        <f>VLOOKUP($AC98,'oddspedia-matches'!$A:$AD,AF$2,0)</f>
        <v>#N/A</v>
      </c>
      <c r="AG98" t="e">
        <f>VLOOKUP($AC98,'oddspedia-matches'!$A:$AD,AG$2,0)</f>
        <v>#N/A</v>
      </c>
      <c r="AH98" t="e">
        <f>VLOOKUP($AC98,'oddspedia-matches'!$A:$AD,AH$2,0)</f>
        <v>#N/A</v>
      </c>
      <c r="AI98" t="e">
        <f>VLOOKUP($AC98,'oddspedia-matches'!$A:$AD,AI$2,0)</f>
        <v>#N/A</v>
      </c>
      <c r="AJ98" t="e">
        <f>VLOOKUP($AC98,'oddspedia-matches'!$A:$AD,AJ$2,0)</f>
        <v>#N/A</v>
      </c>
      <c r="AK98" t="e">
        <f>VLOOKUP($AC98,'oddspedia-matches'!$A:$AD,AK$2,0)</f>
        <v>#N/A</v>
      </c>
      <c r="AL98" t="e">
        <f>VLOOKUP($AC98,'oddspedia-matches'!$A:$AD,AL$2,0)</f>
        <v>#N/A</v>
      </c>
      <c r="AM98" t="e">
        <f>VLOOKUP($AC98,'oddspedia-matches'!$A:$AD,AM$2,0)</f>
        <v>#N/A</v>
      </c>
      <c r="AN98" t="e">
        <f>VLOOKUP($AC98,'oddspedia-matches'!$A:$AD,AN$2,0)</f>
        <v>#N/A</v>
      </c>
      <c r="AO98" t="e">
        <f>VLOOKUP($AC98,'oddspedia-matches'!$A:$AD,AO$2,0)</f>
        <v>#N/A</v>
      </c>
      <c r="AP98" t="e">
        <f>VLOOKUP($AC98,'oddspedia-matches'!$A:$AD,AP$2,0)</f>
        <v>#N/A</v>
      </c>
      <c r="AQ98" t="e">
        <f>VLOOKUP($AC98,'oddspedia-matches'!$A:$AD,AQ$2,0)</f>
        <v>#N/A</v>
      </c>
      <c r="AR98" t="e">
        <f>VLOOKUP($AC98,'oddspedia-matches'!$A:$AD,AR$2,0)</f>
        <v>#N/A</v>
      </c>
      <c r="AS98" t="e">
        <f>VLOOKUP($AC98,'oddspedia-matches'!$A:$AD,AS$2,0)</f>
        <v>#N/A</v>
      </c>
      <c r="AT98" t="e">
        <f>VLOOKUP($AC98,'oddspedia-matches'!$A:$AD,AT$2,0)</f>
        <v>#N/A</v>
      </c>
    </row>
    <row r="99" spans="2:46" x14ac:dyDescent="0.25">
      <c r="B99" s="17" t="s">
        <v>495</v>
      </c>
      <c r="C99" s="8" t="s">
        <v>124</v>
      </c>
      <c r="D99" s="18">
        <v>0.65625</v>
      </c>
      <c r="E99" s="8" t="s">
        <v>153</v>
      </c>
      <c r="F99" s="8" t="s">
        <v>154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s="8">
        <v>9.1</v>
      </c>
      <c r="Y99" s="8">
        <v>18.2</v>
      </c>
      <c r="Z99" s="19"/>
      <c r="AA99">
        <f>VLOOKUP(E99,'Transform table'!A:B,2,0)</f>
        <v>0</v>
      </c>
      <c r="AB99" t="e">
        <f>VLOOKUP(F99,'Transform table'!A:B,2,0)</f>
        <v>#N/A</v>
      </c>
      <c r="AC99" t="e">
        <f t="shared" si="1"/>
        <v>#N/A</v>
      </c>
      <c r="AD99" t="e">
        <f>VLOOKUP($AC99,'oddspedia-matches'!$A:$AD,AD$2,0)</f>
        <v>#N/A</v>
      </c>
      <c r="AE99" t="e">
        <f>VLOOKUP($AC99,'oddspedia-matches'!$A:$AD,AE$2,0)</f>
        <v>#N/A</v>
      </c>
      <c r="AF99" t="e">
        <f>VLOOKUP($AC99,'oddspedia-matches'!$A:$AD,AF$2,0)</f>
        <v>#N/A</v>
      </c>
      <c r="AG99" t="e">
        <f>VLOOKUP($AC99,'oddspedia-matches'!$A:$AD,AG$2,0)</f>
        <v>#N/A</v>
      </c>
      <c r="AH99" t="e">
        <f>VLOOKUP($AC99,'oddspedia-matches'!$A:$AD,AH$2,0)</f>
        <v>#N/A</v>
      </c>
      <c r="AI99" t="e">
        <f>VLOOKUP($AC99,'oddspedia-matches'!$A:$AD,AI$2,0)</f>
        <v>#N/A</v>
      </c>
      <c r="AJ99" t="e">
        <f>VLOOKUP($AC99,'oddspedia-matches'!$A:$AD,AJ$2,0)</f>
        <v>#N/A</v>
      </c>
      <c r="AK99" t="e">
        <f>VLOOKUP($AC99,'oddspedia-matches'!$A:$AD,AK$2,0)</f>
        <v>#N/A</v>
      </c>
      <c r="AL99" t="e">
        <f>VLOOKUP($AC99,'oddspedia-matches'!$A:$AD,AL$2,0)</f>
        <v>#N/A</v>
      </c>
      <c r="AM99" t="e">
        <f>VLOOKUP($AC99,'oddspedia-matches'!$A:$AD,AM$2,0)</f>
        <v>#N/A</v>
      </c>
      <c r="AN99" t="e">
        <f>VLOOKUP($AC99,'oddspedia-matches'!$A:$AD,AN$2,0)</f>
        <v>#N/A</v>
      </c>
      <c r="AO99" t="e">
        <f>VLOOKUP($AC99,'oddspedia-matches'!$A:$AD,AO$2,0)</f>
        <v>#N/A</v>
      </c>
      <c r="AP99" t="e">
        <f>VLOOKUP($AC99,'oddspedia-matches'!$A:$AD,AP$2,0)</f>
        <v>#N/A</v>
      </c>
      <c r="AQ99" t="e">
        <f>VLOOKUP($AC99,'oddspedia-matches'!$A:$AD,AQ$2,0)</f>
        <v>#N/A</v>
      </c>
      <c r="AR99" t="e">
        <f>VLOOKUP($AC99,'oddspedia-matches'!$A:$AD,AR$2,0)</f>
        <v>#N/A</v>
      </c>
      <c r="AS99" t="e">
        <f>VLOOKUP($AC99,'oddspedia-matches'!$A:$AD,AS$2,0)</f>
        <v>#N/A</v>
      </c>
      <c r="AT99" t="e">
        <f>VLOOKUP($AC99,'oddspedia-matches'!$A:$AD,AT$2,0)</f>
        <v>#N/A</v>
      </c>
    </row>
    <row r="100" spans="2:46" x14ac:dyDescent="0.25">
      <c r="B100" s="9" t="s">
        <v>495</v>
      </c>
      <c r="C100" s="7" t="s">
        <v>124</v>
      </c>
      <c r="D100" s="20">
        <v>0.65625</v>
      </c>
      <c r="E100" s="7" t="s">
        <v>155</v>
      </c>
      <c r="F100" s="7" t="s">
        <v>156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s="7" t="s">
        <v>22</v>
      </c>
      <c r="Y100" s="7" t="s">
        <v>22</v>
      </c>
      <c r="Z100" s="21"/>
      <c r="AA100">
        <f>VLOOKUP(E100,'Transform table'!A:B,2,0)</f>
        <v>0</v>
      </c>
      <c r="AB100" t="e">
        <f>VLOOKUP(F100,'Transform table'!A:B,2,0)</f>
        <v>#N/A</v>
      </c>
      <c r="AC100" t="e">
        <f t="shared" si="1"/>
        <v>#N/A</v>
      </c>
      <c r="AD100" t="e">
        <f>VLOOKUP($AC100,'oddspedia-matches'!$A:$AD,AD$2,0)</f>
        <v>#N/A</v>
      </c>
      <c r="AE100" t="e">
        <f>VLOOKUP($AC100,'oddspedia-matches'!$A:$AD,AE$2,0)</f>
        <v>#N/A</v>
      </c>
      <c r="AF100" t="e">
        <f>VLOOKUP($AC100,'oddspedia-matches'!$A:$AD,AF$2,0)</f>
        <v>#N/A</v>
      </c>
      <c r="AG100" t="e">
        <f>VLOOKUP($AC100,'oddspedia-matches'!$A:$AD,AG$2,0)</f>
        <v>#N/A</v>
      </c>
      <c r="AH100" t="e">
        <f>VLOOKUP($AC100,'oddspedia-matches'!$A:$AD,AH$2,0)</f>
        <v>#N/A</v>
      </c>
      <c r="AI100" t="e">
        <f>VLOOKUP($AC100,'oddspedia-matches'!$A:$AD,AI$2,0)</f>
        <v>#N/A</v>
      </c>
      <c r="AJ100" t="e">
        <f>VLOOKUP($AC100,'oddspedia-matches'!$A:$AD,AJ$2,0)</f>
        <v>#N/A</v>
      </c>
      <c r="AK100" t="e">
        <f>VLOOKUP($AC100,'oddspedia-matches'!$A:$AD,AK$2,0)</f>
        <v>#N/A</v>
      </c>
      <c r="AL100" t="e">
        <f>VLOOKUP($AC100,'oddspedia-matches'!$A:$AD,AL$2,0)</f>
        <v>#N/A</v>
      </c>
      <c r="AM100" t="e">
        <f>VLOOKUP($AC100,'oddspedia-matches'!$A:$AD,AM$2,0)</f>
        <v>#N/A</v>
      </c>
      <c r="AN100" t="e">
        <f>VLOOKUP($AC100,'oddspedia-matches'!$A:$AD,AN$2,0)</f>
        <v>#N/A</v>
      </c>
      <c r="AO100" t="e">
        <f>VLOOKUP($AC100,'oddspedia-matches'!$A:$AD,AO$2,0)</f>
        <v>#N/A</v>
      </c>
      <c r="AP100" t="e">
        <f>VLOOKUP($AC100,'oddspedia-matches'!$A:$AD,AP$2,0)</f>
        <v>#N/A</v>
      </c>
      <c r="AQ100" t="e">
        <f>VLOOKUP($AC100,'oddspedia-matches'!$A:$AD,AQ$2,0)</f>
        <v>#N/A</v>
      </c>
      <c r="AR100" t="e">
        <f>VLOOKUP($AC100,'oddspedia-matches'!$A:$AD,AR$2,0)</f>
        <v>#N/A</v>
      </c>
      <c r="AS100" t="e">
        <f>VLOOKUP($AC100,'oddspedia-matches'!$A:$AD,AS$2,0)</f>
        <v>#N/A</v>
      </c>
      <c r="AT100" t="e">
        <f>VLOOKUP($AC100,'oddspedia-matches'!$A:$AD,AT$2,0)</f>
        <v>#N/A</v>
      </c>
    </row>
    <row r="101" spans="2:46" x14ac:dyDescent="0.25">
      <c r="B101" s="17" t="s">
        <v>495</v>
      </c>
      <c r="C101" s="8" t="s">
        <v>124</v>
      </c>
      <c r="D101" s="18">
        <v>0.65625</v>
      </c>
      <c r="E101" s="8" t="s">
        <v>157</v>
      </c>
      <c r="F101" s="8" t="s">
        <v>158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s="8" t="s">
        <v>22</v>
      </c>
      <c r="Y101" s="8" t="s">
        <v>22</v>
      </c>
      <c r="Z101" s="19"/>
      <c r="AA101">
        <f>VLOOKUP(E101,'Transform table'!A:B,2,0)</f>
        <v>0</v>
      </c>
      <c r="AB101" t="e">
        <f>VLOOKUP(F101,'Transform table'!A:B,2,0)</f>
        <v>#N/A</v>
      </c>
      <c r="AC101" t="e">
        <f t="shared" si="1"/>
        <v>#N/A</v>
      </c>
      <c r="AD101" t="e">
        <f>VLOOKUP($AC101,'oddspedia-matches'!$A:$AD,AD$2,0)</f>
        <v>#N/A</v>
      </c>
      <c r="AE101" t="e">
        <f>VLOOKUP($AC101,'oddspedia-matches'!$A:$AD,AE$2,0)</f>
        <v>#N/A</v>
      </c>
      <c r="AF101" t="e">
        <f>VLOOKUP($AC101,'oddspedia-matches'!$A:$AD,AF$2,0)</f>
        <v>#N/A</v>
      </c>
      <c r="AG101" t="e">
        <f>VLOOKUP($AC101,'oddspedia-matches'!$A:$AD,AG$2,0)</f>
        <v>#N/A</v>
      </c>
      <c r="AH101" t="e">
        <f>VLOOKUP($AC101,'oddspedia-matches'!$A:$AD,AH$2,0)</f>
        <v>#N/A</v>
      </c>
      <c r="AI101" t="e">
        <f>VLOOKUP($AC101,'oddspedia-matches'!$A:$AD,AI$2,0)</f>
        <v>#N/A</v>
      </c>
      <c r="AJ101" t="e">
        <f>VLOOKUP($AC101,'oddspedia-matches'!$A:$AD,AJ$2,0)</f>
        <v>#N/A</v>
      </c>
      <c r="AK101" t="e">
        <f>VLOOKUP($AC101,'oddspedia-matches'!$A:$AD,AK$2,0)</f>
        <v>#N/A</v>
      </c>
      <c r="AL101" t="e">
        <f>VLOOKUP($AC101,'oddspedia-matches'!$A:$AD,AL$2,0)</f>
        <v>#N/A</v>
      </c>
      <c r="AM101" t="e">
        <f>VLOOKUP($AC101,'oddspedia-matches'!$A:$AD,AM$2,0)</f>
        <v>#N/A</v>
      </c>
      <c r="AN101" t="e">
        <f>VLOOKUP($AC101,'oddspedia-matches'!$A:$AD,AN$2,0)</f>
        <v>#N/A</v>
      </c>
      <c r="AO101" t="e">
        <f>VLOOKUP($AC101,'oddspedia-matches'!$A:$AD,AO$2,0)</f>
        <v>#N/A</v>
      </c>
      <c r="AP101" t="e">
        <f>VLOOKUP($AC101,'oddspedia-matches'!$A:$AD,AP$2,0)</f>
        <v>#N/A</v>
      </c>
      <c r="AQ101" t="e">
        <f>VLOOKUP($AC101,'oddspedia-matches'!$A:$AD,AQ$2,0)</f>
        <v>#N/A</v>
      </c>
      <c r="AR101" t="e">
        <f>VLOOKUP($AC101,'oddspedia-matches'!$A:$AD,AR$2,0)</f>
        <v>#N/A</v>
      </c>
      <c r="AS101" t="e">
        <f>VLOOKUP($AC101,'oddspedia-matches'!$A:$AD,AS$2,0)</f>
        <v>#N/A</v>
      </c>
      <c r="AT101" t="e">
        <f>VLOOKUP($AC101,'oddspedia-matches'!$A:$AD,AT$2,0)</f>
        <v>#N/A</v>
      </c>
    </row>
    <row r="102" spans="2:46" x14ac:dyDescent="0.25">
      <c r="B102" s="9" t="s">
        <v>496</v>
      </c>
      <c r="C102" s="7" t="s">
        <v>124</v>
      </c>
      <c r="D102" s="20">
        <v>0.66666666666666663</v>
      </c>
      <c r="E102" s="7" t="s">
        <v>159</v>
      </c>
      <c r="F102" s="7" t="s">
        <v>160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s="7" t="s">
        <v>22</v>
      </c>
      <c r="Y102" s="7" t="s">
        <v>22</v>
      </c>
      <c r="Z102" s="21"/>
      <c r="AA102">
        <f>VLOOKUP(E102,'Transform table'!A:B,2,0)</f>
        <v>0</v>
      </c>
      <c r="AB102" t="e">
        <f>VLOOKUP(F102,'Transform table'!A:B,2,0)</f>
        <v>#N/A</v>
      </c>
      <c r="AC102" t="e">
        <f t="shared" si="1"/>
        <v>#N/A</v>
      </c>
      <c r="AD102" t="e">
        <f>VLOOKUP($AC102,'oddspedia-matches'!$A:$AD,AD$2,0)</f>
        <v>#N/A</v>
      </c>
      <c r="AE102" t="e">
        <f>VLOOKUP($AC102,'oddspedia-matches'!$A:$AD,AE$2,0)</f>
        <v>#N/A</v>
      </c>
      <c r="AF102" t="e">
        <f>VLOOKUP($AC102,'oddspedia-matches'!$A:$AD,AF$2,0)</f>
        <v>#N/A</v>
      </c>
      <c r="AG102" t="e">
        <f>VLOOKUP($AC102,'oddspedia-matches'!$A:$AD,AG$2,0)</f>
        <v>#N/A</v>
      </c>
      <c r="AH102" t="e">
        <f>VLOOKUP($AC102,'oddspedia-matches'!$A:$AD,AH$2,0)</f>
        <v>#N/A</v>
      </c>
      <c r="AI102" t="e">
        <f>VLOOKUP($AC102,'oddspedia-matches'!$A:$AD,AI$2,0)</f>
        <v>#N/A</v>
      </c>
      <c r="AJ102" t="e">
        <f>VLOOKUP($AC102,'oddspedia-matches'!$A:$AD,AJ$2,0)</f>
        <v>#N/A</v>
      </c>
      <c r="AK102" t="e">
        <f>VLOOKUP($AC102,'oddspedia-matches'!$A:$AD,AK$2,0)</f>
        <v>#N/A</v>
      </c>
      <c r="AL102" t="e">
        <f>VLOOKUP($AC102,'oddspedia-matches'!$A:$AD,AL$2,0)</f>
        <v>#N/A</v>
      </c>
      <c r="AM102" t="e">
        <f>VLOOKUP($AC102,'oddspedia-matches'!$A:$AD,AM$2,0)</f>
        <v>#N/A</v>
      </c>
      <c r="AN102" t="e">
        <f>VLOOKUP($AC102,'oddspedia-matches'!$A:$AD,AN$2,0)</f>
        <v>#N/A</v>
      </c>
      <c r="AO102" t="e">
        <f>VLOOKUP($AC102,'oddspedia-matches'!$A:$AD,AO$2,0)</f>
        <v>#N/A</v>
      </c>
      <c r="AP102" t="e">
        <f>VLOOKUP($AC102,'oddspedia-matches'!$A:$AD,AP$2,0)</f>
        <v>#N/A</v>
      </c>
      <c r="AQ102" t="e">
        <f>VLOOKUP($AC102,'oddspedia-matches'!$A:$AD,AQ$2,0)</f>
        <v>#N/A</v>
      </c>
      <c r="AR102" t="e">
        <f>VLOOKUP($AC102,'oddspedia-matches'!$A:$AD,AR$2,0)</f>
        <v>#N/A</v>
      </c>
      <c r="AS102" t="e">
        <f>VLOOKUP($AC102,'oddspedia-matches'!$A:$AD,AS$2,0)</f>
        <v>#N/A</v>
      </c>
      <c r="AT102" t="e">
        <f>VLOOKUP($AC102,'oddspedia-matches'!$A:$AD,AT$2,0)</f>
        <v>#N/A</v>
      </c>
    </row>
    <row r="103" spans="2:46" x14ac:dyDescent="0.25">
      <c r="B103" s="17" t="s">
        <v>497</v>
      </c>
      <c r="C103" s="8" t="s">
        <v>124</v>
      </c>
      <c r="D103" s="18">
        <v>0.66666666666666663</v>
      </c>
      <c r="E103" s="8" t="s">
        <v>161</v>
      </c>
      <c r="F103" s="8" t="s">
        <v>162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s="8">
        <v>18.2</v>
      </c>
      <c r="Y103" s="8">
        <v>9.1</v>
      </c>
      <c r="Z103" s="19"/>
      <c r="AA103" t="str">
        <f>VLOOKUP(E103,'Transform table'!A:B,2,0)</f>
        <v>3 de Mayo</v>
      </c>
      <c r="AB103" t="e">
        <f>VLOOKUP(F103,'Transform table'!A:B,2,0)</f>
        <v>#N/A</v>
      </c>
      <c r="AC103" t="e">
        <f t="shared" si="1"/>
        <v>#N/A</v>
      </c>
      <c r="AD103" t="e">
        <f>VLOOKUP($AC103,'oddspedia-matches'!$A:$AD,AD$2,0)</f>
        <v>#N/A</v>
      </c>
      <c r="AE103" t="e">
        <f>VLOOKUP($AC103,'oddspedia-matches'!$A:$AD,AE$2,0)</f>
        <v>#N/A</v>
      </c>
      <c r="AF103" t="e">
        <f>VLOOKUP($AC103,'oddspedia-matches'!$A:$AD,AF$2,0)</f>
        <v>#N/A</v>
      </c>
      <c r="AG103" t="e">
        <f>VLOOKUP($AC103,'oddspedia-matches'!$A:$AD,AG$2,0)</f>
        <v>#N/A</v>
      </c>
      <c r="AH103" t="e">
        <f>VLOOKUP($AC103,'oddspedia-matches'!$A:$AD,AH$2,0)</f>
        <v>#N/A</v>
      </c>
      <c r="AI103" t="e">
        <f>VLOOKUP($AC103,'oddspedia-matches'!$A:$AD,AI$2,0)</f>
        <v>#N/A</v>
      </c>
      <c r="AJ103" t="e">
        <f>VLOOKUP($AC103,'oddspedia-matches'!$A:$AD,AJ$2,0)</f>
        <v>#N/A</v>
      </c>
      <c r="AK103" t="e">
        <f>VLOOKUP($AC103,'oddspedia-matches'!$A:$AD,AK$2,0)</f>
        <v>#N/A</v>
      </c>
      <c r="AL103" t="e">
        <f>VLOOKUP($AC103,'oddspedia-matches'!$A:$AD,AL$2,0)</f>
        <v>#N/A</v>
      </c>
      <c r="AM103" t="e">
        <f>VLOOKUP($AC103,'oddspedia-matches'!$A:$AD,AM$2,0)</f>
        <v>#N/A</v>
      </c>
      <c r="AN103" t="e">
        <f>VLOOKUP($AC103,'oddspedia-matches'!$A:$AD,AN$2,0)</f>
        <v>#N/A</v>
      </c>
      <c r="AO103" t="e">
        <f>VLOOKUP($AC103,'oddspedia-matches'!$A:$AD,AO$2,0)</f>
        <v>#N/A</v>
      </c>
      <c r="AP103" t="e">
        <f>VLOOKUP($AC103,'oddspedia-matches'!$A:$AD,AP$2,0)</f>
        <v>#N/A</v>
      </c>
      <c r="AQ103" t="e">
        <f>VLOOKUP($AC103,'oddspedia-matches'!$A:$AD,AQ$2,0)</f>
        <v>#N/A</v>
      </c>
      <c r="AR103" t="e">
        <f>VLOOKUP($AC103,'oddspedia-matches'!$A:$AD,AR$2,0)</f>
        <v>#N/A</v>
      </c>
      <c r="AS103" t="e">
        <f>VLOOKUP($AC103,'oddspedia-matches'!$A:$AD,AS$2,0)</f>
        <v>#N/A</v>
      </c>
      <c r="AT103" t="e">
        <f>VLOOKUP($AC103,'oddspedia-matches'!$A:$AD,AT$2,0)</f>
        <v>#N/A</v>
      </c>
    </row>
    <row r="104" spans="2:46" x14ac:dyDescent="0.25">
      <c r="B104" s="9" t="s">
        <v>487</v>
      </c>
      <c r="C104" s="7" t="s">
        <v>124</v>
      </c>
      <c r="D104" s="20">
        <v>0.67708333333333337</v>
      </c>
      <c r="E104" s="7" t="s">
        <v>163</v>
      </c>
      <c r="F104" s="7" t="s">
        <v>164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s="7">
        <v>28.6</v>
      </c>
      <c r="Y104" s="7">
        <v>14.3</v>
      </c>
      <c r="Z104" s="21"/>
      <c r="AA104">
        <f>VLOOKUP(E104,'Transform table'!A:B,2,0)</f>
        <v>0</v>
      </c>
      <c r="AB104" t="str">
        <f>VLOOKUP(F104,'Transform table'!A:B,2,0)</f>
        <v>Kopavogs</v>
      </c>
      <c r="AC104" t="str">
        <f t="shared" si="1"/>
        <v>24/07/20260Kopavogs</v>
      </c>
      <c r="AD104" t="e">
        <f>VLOOKUP($AC104,'oddspedia-matches'!$A:$AD,AD$2,0)</f>
        <v>#N/A</v>
      </c>
      <c r="AE104" t="e">
        <f>VLOOKUP($AC104,'oddspedia-matches'!$A:$AD,AE$2,0)</f>
        <v>#N/A</v>
      </c>
      <c r="AF104" t="e">
        <f>VLOOKUP($AC104,'oddspedia-matches'!$A:$AD,AF$2,0)</f>
        <v>#N/A</v>
      </c>
      <c r="AG104" t="e">
        <f>VLOOKUP($AC104,'oddspedia-matches'!$A:$AD,AG$2,0)</f>
        <v>#N/A</v>
      </c>
      <c r="AH104" t="e">
        <f>VLOOKUP($AC104,'oddspedia-matches'!$A:$AD,AH$2,0)</f>
        <v>#N/A</v>
      </c>
      <c r="AI104" t="e">
        <f>VLOOKUP($AC104,'oddspedia-matches'!$A:$AD,AI$2,0)</f>
        <v>#N/A</v>
      </c>
      <c r="AJ104" t="e">
        <f>VLOOKUP($AC104,'oddspedia-matches'!$A:$AD,AJ$2,0)</f>
        <v>#N/A</v>
      </c>
      <c r="AK104" t="e">
        <f>VLOOKUP($AC104,'oddspedia-matches'!$A:$AD,AK$2,0)</f>
        <v>#N/A</v>
      </c>
      <c r="AL104" t="e">
        <f>VLOOKUP($AC104,'oddspedia-matches'!$A:$AD,AL$2,0)</f>
        <v>#N/A</v>
      </c>
      <c r="AM104" t="e">
        <f>VLOOKUP($AC104,'oddspedia-matches'!$A:$AD,AM$2,0)</f>
        <v>#N/A</v>
      </c>
      <c r="AN104" t="e">
        <f>VLOOKUP($AC104,'oddspedia-matches'!$A:$AD,AN$2,0)</f>
        <v>#N/A</v>
      </c>
      <c r="AO104" t="e">
        <f>VLOOKUP($AC104,'oddspedia-matches'!$A:$AD,AO$2,0)</f>
        <v>#N/A</v>
      </c>
      <c r="AP104" t="e">
        <f>VLOOKUP($AC104,'oddspedia-matches'!$A:$AD,AP$2,0)</f>
        <v>#N/A</v>
      </c>
      <c r="AQ104" t="e">
        <f>VLOOKUP($AC104,'oddspedia-matches'!$A:$AD,AQ$2,0)</f>
        <v>#N/A</v>
      </c>
      <c r="AR104" t="e">
        <f>VLOOKUP($AC104,'oddspedia-matches'!$A:$AD,AR$2,0)</f>
        <v>#N/A</v>
      </c>
      <c r="AS104" t="e">
        <f>VLOOKUP($AC104,'oddspedia-matches'!$A:$AD,AS$2,0)</f>
        <v>#N/A</v>
      </c>
      <c r="AT104" t="e">
        <f>VLOOKUP($AC104,'oddspedia-matches'!$A:$AD,AT$2,0)</f>
        <v>#N/A</v>
      </c>
    </row>
    <row r="105" spans="2:46" x14ac:dyDescent="0.25">
      <c r="B105" s="17" t="s">
        <v>498</v>
      </c>
      <c r="C105" s="8" t="s">
        <v>124</v>
      </c>
      <c r="D105" s="18">
        <v>0.67708333333333337</v>
      </c>
      <c r="E105" s="8" t="s">
        <v>165</v>
      </c>
      <c r="F105" s="8" t="s">
        <v>166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s="8" t="s">
        <v>22</v>
      </c>
      <c r="Y105" s="8" t="s">
        <v>22</v>
      </c>
      <c r="Z105" s="19"/>
      <c r="AA105">
        <f>VLOOKUP(E105,'Transform table'!A:B,2,0)</f>
        <v>0</v>
      </c>
      <c r="AB105" t="e">
        <f>VLOOKUP(F105,'Transform table'!A:B,2,0)</f>
        <v>#N/A</v>
      </c>
      <c r="AC105" t="e">
        <f t="shared" si="1"/>
        <v>#N/A</v>
      </c>
      <c r="AD105" t="e">
        <f>VLOOKUP($AC105,'oddspedia-matches'!$A:$AD,AD$2,0)</f>
        <v>#N/A</v>
      </c>
      <c r="AE105" t="e">
        <f>VLOOKUP($AC105,'oddspedia-matches'!$A:$AD,AE$2,0)</f>
        <v>#N/A</v>
      </c>
      <c r="AF105" t="e">
        <f>VLOOKUP($AC105,'oddspedia-matches'!$A:$AD,AF$2,0)</f>
        <v>#N/A</v>
      </c>
      <c r="AG105" t="e">
        <f>VLOOKUP($AC105,'oddspedia-matches'!$A:$AD,AG$2,0)</f>
        <v>#N/A</v>
      </c>
      <c r="AH105" t="e">
        <f>VLOOKUP($AC105,'oddspedia-matches'!$A:$AD,AH$2,0)</f>
        <v>#N/A</v>
      </c>
      <c r="AI105" t="e">
        <f>VLOOKUP($AC105,'oddspedia-matches'!$A:$AD,AI$2,0)</f>
        <v>#N/A</v>
      </c>
      <c r="AJ105" t="e">
        <f>VLOOKUP($AC105,'oddspedia-matches'!$A:$AD,AJ$2,0)</f>
        <v>#N/A</v>
      </c>
      <c r="AK105" t="e">
        <f>VLOOKUP($AC105,'oddspedia-matches'!$A:$AD,AK$2,0)</f>
        <v>#N/A</v>
      </c>
      <c r="AL105" t="e">
        <f>VLOOKUP($AC105,'oddspedia-matches'!$A:$AD,AL$2,0)</f>
        <v>#N/A</v>
      </c>
      <c r="AM105" t="e">
        <f>VLOOKUP($AC105,'oddspedia-matches'!$A:$AD,AM$2,0)</f>
        <v>#N/A</v>
      </c>
      <c r="AN105" t="e">
        <f>VLOOKUP($AC105,'oddspedia-matches'!$A:$AD,AN$2,0)</f>
        <v>#N/A</v>
      </c>
      <c r="AO105" t="e">
        <f>VLOOKUP($AC105,'oddspedia-matches'!$A:$AD,AO$2,0)</f>
        <v>#N/A</v>
      </c>
      <c r="AP105" t="e">
        <f>VLOOKUP($AC105,'oddspedia-matches'!$A:$AD,AP$2,0)</f>
        <v>#N/A</v>
      </c>
      <c r="AQ105" t="e">
        <f>VLOOKUP($AC105,'oddspedia-matches'!$A:$AD,AQ$2,0)</f>
        <v>#N/A</v>
      </c>
      <c r="AR105" t="e">
        <f>VLOOKUP($AC105,'oddspedia-matches'!$A:$AD,AR$2,0)</f>
        <v>#N/A</v>
      </c>
      <c r="AS105" t="e">
        <f>VLOOKUP($AC105,'oddspedia-matches'!$A:$AD,AS$2,0)</f>
        <v>#N/A</v>
      </c>
      <c r="AT105" t="e">
        <f>VLOOKUP($AC105,'oddspedia-matches'!$A:$AD,AT$2,0)</f>
        <v>#N/A</v>
      </c>
    </row>
    <row r="106" spans="2:46" x14ac:dyDescent="0.25">
      <c r="B106" s="9" t="s">
        <v>488</v>
      </c>
      <c r="C106" s="7" t="s">
        <v>124</v>
      </c>
      <c r="D106" s="20">
        <v>0.69791666666666663</v>
      </c>
      <c r="E106" s="7" t="s">
        <v>167</v>
      </c>
      <c r="F106" s="7" t="s">
        <v>168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s="7">
        <v>25</v>
      </c>
      <c r="Y106" s="7">
        <v>12.5</v>
      </c>
      <c r="Z106" s="21"/>
      <c r="AA106">
        <f>VLOOKUP(E106,'Transform table'!A:B,2,0)</f>
        <v>0</v>
      </c>
      <c r="AB106" t="e">
        <f>VLOOKUP(F106,'Transform table'!A:B,2,0)</f>
        <v>#N/A</v>
      </c>
      <c r="AC106" t="e">
        <f t="shared" si="1"/>
        <v>#N/A</v>
      </c>
      <c r="AD106" t="e">
        <f>VLOOKUP($AC106,'oddspedia-matches'!$A:$AD,AD$2,0)</f>
        <v>#N/A</v>
      </c>
      <c r="AE106" t="e">
        <f>VLOOKUP($AC106,'oddspedia-matches'!$A:$AD,AE$2,0)</f>
        <v>#N/A</v>
      </c>
      <c r="AF106" t="e">
        <f>VLOOKUP($AC106,'oddspedia-matches'!$A:$AD,AF$2,0)</f>
        <v>#N/A</v>
      </c>
      <c r="AG106" t="e">
        <f>VLOOKUP($AC106,'oddspedia-matches'!$A:$AD,AG$2,0)</f>
        <v>#N/A</v>
      </c>
      <c r="AH106" t="e">
        <f>VLOOKUP($AC106,'oddspedia-matches'!$A:$AD,AH$2,0)</f>
        <v>#N/A</v>
      </c>
      <c r="AI106" t="e">
        <f>VLOOKUP($AC106,'oddspedia-matches'!$A:$AD,AI$2,0)</f>
        <v>#N/A</v>
      </c>
      <c r="AJ106" t="e">
        <f>VLOOKUP($AC106,'oddspedia-matches'!$A:$AD,AJ$2,0)</f>
        <v>#N/A</v>
      </c>
      <c r="AK106" t="e">
        <f>VLOOKUP($AC106,'oddspedia-matches'!$A:$AD,AK$2,0)</f>
        <v>#N/A</v>
      </c>
      <c r="AL106" t="e">
        <f>VLOOKUP($AC106,'oddspedia-matches'!$A:$AD,AL$2,0)</f>
        <v>#N/A</v>
      </c>
      <c r="AM106" t="e">
        <f>VLOOKUP($AC106,'oddspedia-matches'!$A:$AD,AM$2,0)</f>
        <v>#N/A</v>
      </c>
      <c r="AN106" t="e">
        <f>VLOOKUP($AC106,'oddspedia-matches'!$A:$AD,AN$2,0)</f>
        <v>#N/A</v>
      </c>
      <c r="AO106" t="e">
        <f>VLOOKUP($AC106,'oddspedia-matches'!$A:$AD,AO$2,0)</f>
        <v>#N/A</v>
      </c>
      <c r="AP106" t="e">
        <f>VLOOKUP($AC106,'oddspedia-matches'!$A:$AD,AP$2,0)</f>
        <v>#N/A</v>
      </c>
      <c r="AQ106" t="e">
        <f>VLOOKUP($AC106,'oddspedia-matches'!$A:$AD,AQ$2,0)</f>
        <v>#N/A</v>
      </c>
      <c r="AR106" t="e">
        <f>VLOOKUP($AC106,'oddspedia-matches'!$A:$AD,AR$2,0)</f>
        <v>#N/A</v>
      </c>
      <c r="AS106" t="e">
        <f>VLOOKUP($AC106,'oddspedia-matches'!$A:$AD,AS$2,0)</f>
        <v>#N/A</v>
      </c>
      <c r="AT106" t="e">
        <f>VLOOKUP($AC106,'oddspedia-matches'!$A:$AD,AT$2,0)</f>
        <v>#N/A</v>
      </c>
    </row>
    <row r="107" spans="2:46" x14ac:dyDescent="0.25">
      <c r="B107" s="17" t="s">
        <v>499</v>
      </c>
      <c r="C107" s="8" t="s">
        <v>124</v>
      </c>
      <c r="D107" s="18">
        <v>0.70833333333333337</v>
      </c>
      <c r="E107" s="8" t="s">
        <v>169</v>
      </c>
      <c r="F107" s="8" t="s">
        <v>170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s="8" t="s">
        <v>22</v>
      </c>
      <c r="Y107" s="8" t="s">
        <v>22</v>
      </c>
      <c r="Z107" s="19"/>
      <c r="AA107" t="str">
        <f>VLOOKUP(E107,'Transform table'!A:B,2,0)</f>
        <v>Vikingur Reykjavik</v>
      </c>
      <c r="AB107" t="str">
        <f>VLOOKUP(F107,'Transform table'!A:B,2,0)</f>
        <v>Keflavik</v>
      </c>
      <c r="AC107" t="str">
        <f t="shared" si="1"/>
        <v>24/07/2026Vikingur ReykjavikKeflavik</v>
      </c>
      <c r="AD107" t="e">
        <f>VLOOKUP($AC107,'oddspedia-matches'!$A:$AD,AD$2,0)</f>
        <v>#N/A</v>
      </c>
      <c r="AE107" t="e">
        <f>VLOOKUP($AC107,'oddspedia-matches'!$A:$AD,AE$2,0)</f>
        <v>#N/A</v>
      </c>
      <c r="AF107" t="e">
        <f>VLOOKUP($AC107,'oddspedia-matches'!$A:$AD,AF$2,0)</f>
        <v>#N/A</v>
      </c>
      <c r="AG107" t="e">
        <f>VLOOKUP($AC107,'oddspedia-matches'!$A:$AD,AG$2,0)</f>
        <v>#N/A</v>
      </c>
      <c r="AH107" t="e">
        <f>VLOOKUP($AC107,'oddspedia-matches'!$A:$AD,AH$2,0)</f>
        <v>#N/A</v>
      </c>
      <c r="AI107" t="e">
        <f>VLOOKUP($AC107,'oddspedia-matches'!$A:$AD,AI$2,0)</f>
        <v>#N/A</v>
      </c>
      <c r="AJ107" t="e">
        <f>VLOOKUP($AC107,'oddspedia-matches'!$A:$AD,AJ$2,0)</f>
        <v>#N/A</v>
      </c>
      <c r="AK107" t="e">
        <f>VLOOKUP($AC107,'oddspedia-matches'!$A:$AD,AK$2,0)</f>
        <v>#N/A</v>
      </c>
      <c r="AL107" t="e">
        <f>VLOOKUP($AC107,'oddspedia-matches'!$A:$AD,AL$2,0)</f>
        <v>#N/A</v>
      </c>
      <c r="AM107" t="e">
        <f>VLOOKUP($AC107,'oddspedia-matches'!$A:$AD,AM$2,0)</f>
        <v>#N/A</v>
      </c>
      <c r="AN107" t="e">
        <f>VLOOKUP($AC107,'oddspedia-matches'!$A:$AD,AN$2,0)</f>
        <v>#N/A</v>
      </c>
      <c r="AO107" t="e">
        <f>VLOOKUP($AC107,'oddspedia-matches'!$A:$AD,AO$2,0)</f>
        <v>#N/A</v>
      </c>
      <c r="AP107" t="e">
        <f>VLOOKUP($AC107,'oddspedia-matches'!$A:$AD,AP$2,0)</f>
        <v>#N/A</v>
      </c>
      <c r="AQ107" t="e">
        <f>VLOOKUP($AC107,'oddspedia-matches'!$A:$AD,AQ$2,0)</f>
        <v>#N/A</v>
      </c>
      <c r="AR107" t="e">
        <f>VLOOKUP($AC107,'oddspedia-matches'!$A:$AD,AR$2,0)</f>
        <v>#N/A</v>
      </c>
      <c r="AS107" t="e">
        <f>VLOOKUP($AC107,'oddspedia-matches'!$A:$AD,AS$2,0)</f>
        <v>#N/A</v>
      </c>
      <c r="AT107" t="e">
        <f>VLOOKUP($AC107,'oddspedia-matches'!$A:$AD,AT$2,0)</f>
        <v>#N/A</v>
      </c>
    </row>
    <row r="108" spans="2:46" x14ac:dyDescent="0.25">
      <c r="B108" s="9" t="s">
        <v>498</v>
      </c>
      <c r="C108" s="7" t="s">
        <v>124</v>
      </c>
      <c r="D108" s="20">
        <v>0.70833333333333337</v>
      </c>
      <c r="E108" s="7" t="s">
        <v>171</v>
      </c>
      <c r="F108" s="7" t="s">
        <v>172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s="7" t="s">
        <v>22</v>
      </c>
      <c r="Y108" s="7" t="s">
        <v>22</v>
      </c>
      <c r="Z108" s="21"/>
      <c r="AA108">
        <f>VLOOKUP(E108,'Transform table'!A:B,2,0)</f>
        <v>0</v>
      </c>
      <c r="AB108" t="e">
        <f>VLOOKUP(F108,'Transform table'!A:B,2,0)</f>
        <v>#N/A</v>
      </c>
      <c r="AC108" t="e">
        <f t="shared" si="1"/>
        <v>#N/A</v>
      </c>
      <c r="AD108" t="e">
        <f>VLOOKUP($AC108,'oddspedia-matches'!$A:$AD,AD$2,0)</f>
        <v>#N/A</v>
      </c>
      <c r="AE108" t="e">
        <f>VLOOKUP($AC108,'oddspedia-matches'!$A:$AD,AE$2,0)</f>
        <v>#N/A</v>
      </c>
      <c r="AF108" t="e">
        <f>VLOOKUP($AC108,'oddspedia-matches'!$A:$AD,AF$2,0)</f>
        <v>#N/A</v>
      </c>
      <c r="AG108" t="e">
        <f>VLOOKUP($AC108,'oddspedia-matches'!$A:$AD,AG$2,0)</f>
        <v>#N/A</v>
      </c>
      <c r="AH108" t="e">
        <f>VLOOKUP($AC108,'oddspedia-matches'!$A:$AD,AH$2,0)</f>
        <v>#N/A</v>
      </c>
      <c r="AI108" t="e">
        <f>VLOOKUP($AC108,'oddspedia-matches'!$A:$AD,AI$2,0)</f>
        <v>#N/A</v>
      </c>
      <c r="AJ108" t="e">
        <f>VLOOKUP($AC108,'oddspedia-matches'!$A:$AD,AJ$2,0)</f>
        <v>#N/A</v>
      </c>
      <c r="AK108" t="e">
        <f>VLOOKUP($AC108,'oddspedia-matches'!$A:$AD,AK$2,0)</f>
        <v>#N/A</v>
      </c>
      <c r="AL108" t="e">
        <f>VLOOKUP($AC108,'oddspedia-matches'!$A:$AD,AL$2,0)</f>
        <v>#N/A</v>
      </c>
      <c r="AM108" t="e">
        <f>VLOOKUP($AC108,'oddspedia-matches'!$A:$AD,AM$2,0)</f>
        <v>#N/A</v>
      </c>
      <c r="AN108" t="e">
        <f>VLOOKUP($AC108,'oddspedia-matches'!$A:$AD,AN$2,0)</f>
        <v>#N/A</v>
      </c>
      <c r="AO108" t="e">
        <f>VLOOKUP($AC108,'oddspedia-matches'!$A:$AD,AO$2,0)</f>
        <v>#N/A</v>
      </c>
      <c r="AP108" t="e">
        <f>VLOOKUP($AC108,'oddspedia-matches'!$A:$AD,AP$2,0)</f>
        <v>#N/A</v>
      </c>
      <c r="AQ108" t="e">
        <f>VLOOKUP($AC108,'oddspedia-matches'!$A:$AD,AQ$2,0)</f>
        <v>#N/A</v>
      </c>
      <c r="AR108" t="e">
        <f>VLOOKUP($AC108,'oddspedia-matches'!$A:$AD,AR$2,0)</f>
        <v>#N/A</v>
      </c>
      <c r="AS108" t="e">
        <f>VLOOKUP($AC108,'oddspedia-matches'!$A:$AD,AS$2,0)</f>
        <v>#N/A</v>
      </c>
      <c r="AT108" t="e">
        <f>VLOOKUP($AC108,'oddspedia-matches'!$A:$AD,AT$2,0)</f>
        <v>#N/A</v>
      </c>
    </row>
    <row r="109" spans="2:46" x14ac:dyDescent="0.25">
      <c r="B109" s="17" t="s">
        <v>500</v>
      </c>
      <c r="C109" s="8" t="s">
        <v>124</v>
      </c>
      <c r="D109" s="18">
        <v>0.70833333333333337</v>
      </c>
      <c r="E109" s="8" t="s">
        <v>173</v>
      </c>
      <c r="F109" s="8" t="s">
        <v>174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s="8">
        <v>12.5</v>
      </c>
      <c r="Y109" s="8">
        <v>0</v>
      </c>
      <c r="Z109" s="19"/>
      <c r="AA109">
        <f>VLOOKUP(E109,'Transform table'!A:B,2,0)</f>
        <v>0</v>
      </c>
      <c r="AB109" t="e">
        <f>VLOOKUP(F109,'Transform table'!A:B,2,0)</f>
        <v>#N/A</v>
      </c>
      <c r="AC109" t="e">
        <f t="shared" si="1"/>
        <v>#N/A</v>
      </c>
      <c r="AD109" t="e">
        <f>VLOOKUP($AC109,'oddspedia-matches'!$A:$AD,AD$2,0)</f>
        <v>#N/A</v>
      </c>
      <c r="AE109" t="e">
        <f>VLOOKUP($AC109,'oddspedia-matches'!$A:$AD,AE$2,0)</f>
        <v>#N/A</v>
      </c>
      <c r="AF109" t="e">
        <f>VLOOKUP($AC109,'oddspedia-matches'!$A:$AD,AF$2,0)</f>
        <v>#N/A</v>
      </c>
      <c r="AG109" t="e">
        <f>VLOOKUP($AC109,'oddspedia-matches'!$A:$AD,AG$2,0)</f>
        <v>#N/A</v>
      </c>
      <c r="AH109" t="e">
        <f>VLOOKUP($AC109,'oddspedia-matches'!$A:$AD,AH$2,0)</f>
        <v>#N/A</v>
      </c>
      <c r="AI109" t="e">
        <f>VLOOKUP($AC109,'oddspedia-matches'!$A:$AD,AI$2,0)</f>
        <v>#N/A</v>
      </c>
      <c r="AJ109" t="e">
        <f>VLOOKUP($AC109,'oddspedia-matches'!$A:$AD,AJ$2,0)</f>
        <v>#N/A</v>
      </c>
      <c r="AK109" t="e">
        <f>VLOOKUP($AC109,'oddspedia-matches'!$A:$AD,AK$2,0)</f>
        <v>#N/A</v>
      </c>
      <c r="AL109" t="e">
        <f>VLOOKUP($AC109,'oddspedia-matches'!$A:$AD,AL$2,0)</f>
        <v>#N/A</v>
      </c>
      <c r="AM109" t="e">
        <f>VLOOKUP($AC109,'oddspedia-matches'!$A:$AD,AM$2,0)</f>
        <v>#N/A</v>
      </c>
      <c r="AN109" t="e">
        <f>VLOOKUP($AC109,'oddspedia-matches'!$A:$AD,AN$2,0)</f>
        <v>#N/A</v>
      </c>
      <c r="AO109" t="e">
        <f>VLOOKUP($AC109,'oddspedia-matches'!$A:$AD,AO$2,0)</f>
        <v>#N/A</v>
      </c>
      <c r="AP109" t="e">
        <f>VLOOKUP($AC109,'oddspedia-matches'!$A:$AD,AP$2,0)</f>
        <v>#N/A</v>
      </c>
      <c r="AQ109" t="e">
        <f>VLOOKUP($AC109,'oddspedia-matches'!$A:$AD,AQ$2,0)</f>
        <v>#N/A</v>
      </c>
      <c r="AR109" t="e">
        <f>VLOOKUP($AC109,'oddspedia-matches'!$A:$AD,AR$2,0)</f>
        <v>#N/A</v>
      </c>
      <c r="AS109" t="e">
        <f>VLOOKUP($AC109,'oddspedia-matches'!$A:$AD,AS$2,0)</f>
        <v>#N/A</v>
      </c>
      <c r="AT109" t="e">
        <f>VLOOKUP($AC109,'oddspedia-matches'!$A:$AD,AT$2,0)</f>
        <v>#N/A</v>
      </c>
    </row>
    <row r="110" spans="2:46" x14ac:dyDescent="0.25">
      <c r="B110" s="9" t="s">
        <v>501</v>
      </c>
      <c r="C110" s="7" t="s">
        <v>124</v>
      </c>
      <c r="D110" s="20">
        <v>0.75347222222222221</v>
      </c>
      <c r="E110" s="7" t="s">
        <v>175</v>
      </c>
      <c r="F110" s="7" t="s">
        <v>176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s="7">
        <v>10</v>
      </c>
      <c r="Y110" s="7">
        <v>12.5</v>
      </c>
      <c r="Z110" s="21"/>
      <c r="AA110" t="str">
        <f>VLOOKUP(E110,'Transform table'!A:B,2,0)</f>
        <v>Deportes Quindio</v>
      </c>
      <c r="AB110" t="e">
        <f>VLOOKUP(F110,'Transform table'!A:B,2,0)</f>
        <v>#N/A</v>
      </c>
      <c r="AC110" t="e">
        <f t="shared" si="1"/>
        <v>#N/A</v>
      </c>
      <c r="AD110" t="e">
        <f>VLOOKUP($AC110,'oddspedia-matches'!$A:$AD,AD$2,0)</f>
        <v>#N/A</v>
      </c>
      <c r="AE110" t="e">
        <f>VLOOKUP($AC110,'oddspedia-matches'!$A:$AD,AE$2,0)</f>
        <v>#N/A</v>
      </c>
      <c r="AF110" t="e">
        <f>VLOOKUP($AC110,'oddspedia-matches'!$A:$AD,AF$2,0)</f>
        <v>#N/A</v>
      </c>
      <c r="AG110" t="e">
        <f>VLOOKUP($AC110,'oddspedia-matches'!$A:$AD,AG$2,0)</f>
        <v>#N/A</v>
      </c>
      <c r="AH110" t="e">
        <f>VLOOKUP($AC110,'oddspedia-matches'!$A:$AD,AH$2,0)</f>
        <v>#N/A</v>
      </c>
      <c r="AI110" t="e">
        <f>VLOOKUP($AC110,'oddspedia-matches'!$A:$AD,AI$2,0)</f>
        <v>#N/A</v>
      </c>
      <c r="AJ110" t="e">
        <f>VLOOKUP($AC110,'oddspedia-matches'!$A:$AD,AJ$2,0)</f>
        <v>#N/A</v>
      </c>
      <c r="AK110" t="e">
        <f>VLOOKUP($AC110,'oddspedia-matches'!$A:$AD,AK$2,0)</f>
        <v>#N/A</v>
      </c>
      <c r="AL110" t="e">
        <f>VLOOKUP($AC110,'oddspedia-matches'!$A:$AD,AL$2,0)</f>
        <v>#N/A</v>
      </c>
      <c r="AM110" t="e">
        <f>VLOOKUP($AC110,'oddspedia-matches'!$A:$AD,AM$2,0)</f>
        <v>#N/A</v>
      </c>
      <c r="AN110" t="e">
        <f>VLOOKUP($AC110,'oddspedia-matches'!$A:$AD,AN$2,0)</f>
        <v>#N/A</v>
      </c>
      <c r="AO110" t="e">
        <f>VLOOKUP($AC110,'oddspedia-matches'!$A:$AD,AO$2,0)</f>
        <v>#N/A</v>
      </c>
      <c r="AP110" t="e">
        <f>VLOOKUP($AC110,'oddspedia-matches'!$A:$AD,AP$2,0)</f>
        <v>#N/A</v>
      </c>
      <c r="AQ110" t="e">
        <f>VLOOKUP($AC110,'oddspedia-matches'!$A:$AD,AQ$2,0)</f>
        <v>#N/A</v>
      </c>
      <c r="AR110" t="e">
        <f>VLOOKUP($AC110,'oddspedia-matches'!$A:$AD,AR$2,0)</f>
        <v>#N/A</v>
      </c>
      <c r="AS110" t="e">
        <f>VLOOKUP($AC110,'oddspedia-matches'!$A:$AD,AS$2,0)</f>
        <v>#N/A</v>
      </c>
      <c r="AT110" t="e">
        <f>VLOOKUP($AC110,'oddspedia-matches'!$A:$AD,AT$2,0)</f>
        <v>#N/A</v>
      </c>
    </row>
    <row r="111" spans="2:46" x14ac:dyDescent="0.25">
      <c r="B111" s="17" t="s">
        <v>497</v>
      </c>
      <c r="C111" s="8" t="s">
        <v>124</v>
      </c>
      <c r="D111" s="18">
        <v>0.77083333333333337</v>
      </c>
      <c r="E111" s="8" t="s">
        <v>177</v>
      </c>
      <c r="F111" s="8" t="s">
        <v>178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s="8">
        <v>9.1</v>
      </c>
      <c r="Y111" s="8">
        <v>18.2</v>
      </c>
      <c r="Z111" s="19"/>
      <c r="AA111">
        <f>VLOOKUP(E111,'Transform table'!A:B,2,0)</f>
        <v>0</v>
      </c>
      <c r="AB111" t="e">
        <f>VLOOKUP(F111,'Transform table'!A:B,2,0)</f>
        <v>#N/A</v>
      </c>
      <c r="AC111" t="e">
        <f t="shared" si="1"/>
        <v>#N/A</v>
      </c>
      <c r="AD111" t="e">
        <f>VLOOKUP($AC111,'oddspedia-matches'!$A:$AD,AD$2,0)</f>
        <v>#N/A</v>
      </c>
      <c r="AE111" t="e">
        <f>VLOOKUP($AC111,'oddspedia-matches'!$A:$AD,AE$2,0)</f>
        <v>#N/A</v>
      </c>
      <c r="AF111" t="e">
        <f>VLOOKUP($AC111,'oddspedia-matches'!$A:$AD,AF$2,0)</f>
        <v>#N/A</v>
      </c>
      <c r="AG111" t="e">
        <f>VLOOKUP($AC111,'oddspedia-matches'!$A:$AD,AG$2,0)</f>
        <v>#N/A</v>
      </c>
      <c r="AH111" t="e">
        <f>VLOOKUP($AC111,'oddspedia-matches'!$A:$AD,AH$2,0)</f>
        <v>#N/A</v>
      </c>
      <c r="AI111" t="e">
        <f>VLOOKUP($AC111,'oddspedia-matches'!$A:$AD,AI$2,0)</f>
        <v>#N/A</v>
      </c>
      <c r="AJ111" t="e">
        <f>VLOOKUP($AC111,'oddspedia-matches'!$A:$AD,AJ$2,0)</f>
        <v>#N/A</v>
      </c>
      <c r="AK111" t="e">
        <f>VLOOKUP($AC111,'oddspedia-matches'!$A:$AD,AK$2,0)</f>
        <v>#N/A</v>
      </c>
      <c r="AL111" t="e">
        <f>VLOOKUP($AC111,'oddspedia-matches'!$A:$AD,AL$2,0)</f>
        <v>#N/A</v>
      </c>
      <c r="AM111" t="e">
        <f>VLOOKUP($AC111,'oddspedia-matches'!$A:$AD,AM$2,0)</f>
        <v>#N/A</v>
      </c>
      <c r="AN111" t="e">
        <f>VLOOKUP($AC111,'oddspedia-matches'!$A:$AD,AN$2,0)</f>
        <v>#N/A</v>
      </c>
      <c r="AO111" t="e">
        <f>VLOOKUP($AC111,'oddspedia-matches'!$A:$AD,AO$2,0)</f>
        <v>#N/A</v>
      </c>
      <c r="AP111" t="e">
        <f>VLOOKUP($AC111,'oddspedia-matches'!$A:$AD,AP$2,0)</f>
        <v>#N/A</v>
      </c>
      <c r="AQ111" t="e">
        <f>VLOOKUP($AC111,'oddspedia-matches'!$A:$AD,AQ$2,0)</f>
        <v>#N/A</v>
      </c>
      <c r="AR111" t="e">
        <f>VLOOKUP($AC111,'oddspedia-matches'!$A:$AD,AR$2,0)</f>
        <v>#N/A</v>
      </c>
      <c r="AS111" t="e">
        <f>VLOOKUP($AC111,'oddspedia-matches'!$A:$AD,AS$2,0)</f>
        <v>#N/A</v>
      </c>
      <c r="AT111" t="e">
        <f>VLOOKUP($AC111,'oddspedia-matches'!$A:$AD,AT$2,0)</f>
        <v>#N/A</v>
      </c>
    </row>
    <row r="112" spans="2:46" x14ac:dyDescent="0.25">
      <c r="B112" s="9" t="s">
        <v>488</v>
      </c>
      <c r="C112" s="7" t="s">
        <v>124</v>
      </c>
      <c r="D112" s="20">
        <v>0.79166666666666663</v>
      </c>
      <c r="E112" s="7" t="s">
        <v>179</v>
      </c>
      <c r="F112" s="7" t="s">
        <v>180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s="7">
        <v>0</v>
      </c>
      <c r="Y112" s="7">
        <v>0</v>
      </c>
      <c r="Z112" s="21"/>
      <c r="AA112">
        <f>VLOOKUP(E112,'Transform table'!A:B,2,0)</f>
        <v>0</v>
      </c>
      <c r="AB112" t="e">
        <f>VLOOKUP(F112,'Transform table'!A:B,2,0)</f>
        <v>#N/A</v>
      </c>
      <c r="AC112" t="e">
        <f t="shared" si="1"/>
        <v>#N/A</v>
      </c>
      <c r="AD112" t="e">
        <f>VLOOKUP($AC112,'oddspedia-matches'!$A:$AD,AD$2,0)</f>
        <v>#N/A</v>
      </c>
      <c r="AE112" t="e">
        <f>VLOOKUP($AC112,'oddspedia-matches'!$A:$AD,AE$2,0)</f>
        <v>#N/A</v>
      </c>
      <c r="AF112" t="e">
        <f>VLOOKUP($AC112,'oddspedia-matches'!$A:$AD,AF$2,0)</f>
        <v>#N/A</v>
      </c>
      <c r="AG112" t="e">
        <f>VLOOKUP($AC112,'oddspedia-matches'!$A:$AD,AG$2,0)</f>
        <v>#N/A</v>
      </c>
      <c r="AH112" t="e">
        <f>VLOOKUP($AC112,'oddspedia-matches'!$A:$AD,AH$2,0)</f>
        <v>#N/A</v>
      </c>
      <c r="AI112" t="e">
        <f>VLOOKUP($AC112,'oddspedia-matches'!$A:$AD,AI$2,0)</f>
        <v>#N/A</v>
      </c>
      <c r="AJ112" t="e">
        <f>VLOOKUP($AC112,'oddspedia-matches'!$A:$AD,AJ$2,0)</f>
        <v>#N/A</v>
      </c>
      <c r="AK112" t="e">
        <f>VLOOKUP($AC112,'oddspedia-matches'!$A:$AD,AK$2,0)</f>
        <v>#N/A</v>
      </c>
      <c r="AL112" t="e">
        <f>VLOOKUP($AC112,'oddspedia-matches'!$A:$AD,AL$2,0)</f>
        <v>#N/A</v>
      </c>
      <c r="AM112" t="e">
        <f>VLOOKUP($AC112,'oddspedia-matches'!$A:$AD,AM$2,0)</f>
        <v>#N/A</v>
      </c>
      <c r="AN112" t="e">
        <f>VLOOKUP($AC112,'oddspedia-matches'!$A:$AD,AN$2,0)</f>
        <v>#N/A</v>
      </c>
      <c r="AO112" t="e">
        <f>VLOOKUP($AC112,'oddspedia-matches'!$A:$AD,AO$2,0)</f>
        <v>#N/A</v>
      </c>
      <c r="AP112" t="e">
        <f>VLOOKUP($AC112,'oddspedia-matches'!$A:$AD,AP$2,0)</f>
        <v>#N/A</v>
      </c>
      <c r="AQ112" t="e">
        <f>VLOOKUP($AC112,'oddspedia-matches'!$A:$AD,AQ$2,0)</f>
        <v>#N/A</v>
      </c>
      <c r="AR112" t="e">
        <f>VLOOKUP($AC112,'oddspedia-matches'!$A:$AD,AR$2,0)</f>
        <v>#N/A</v>
      </c>
      <c r="AS112" t="e">
        <f>VLOOKUP($AC112,'oddspedia-matches'!$A:$AD,AS$2,0)</f>
        <v>#N/A</v>
      </c>
      <c r="AT112" t="e">
        <f>VLOOKUP($AC112,'oddspedia-matches'!$A:$AD,AT$2,0)</f>
        <v>#N/A</v>
      </c>
    </row>
    <row r="113" spans="2:46" x14ac:dyDescent="0.25">
      <c r="B113" s="17" t="s">
        <v>488</v>
      </c>
      <c r="C113" s="8" t="s">
        <v>124</v>
      </c>
      <c r="D113" s="18">
        <v>0.79166666666666663</v>
      </c>
      <c r="E113" s="8" t="s">
        <v>181</v>
      </c>
      <c r="F113" s="8" t="s">
        <v>182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s="8">
        <v>11.1</v>
      </c>
      <c r="Y113" s="8">
        <v>0</v>
      </c>
      <c r="Z113" s="19"/>
      <c r="AA113" t="str">
        <f>VLOOKUP(E113,'Transform table'!A:B,2,0)</f>
        <v>FK Velez Mostar</v>
      </c>
      <c r="AB113" t="e">
        <f>VLOOKUP(F113,'Transform table'!A:B,2,0)</f>
        <v>#N/A</v>
      </c>
      <c r="AC113" t="e">
        <f t="shared" si="1"/>
        <v>#N/A</v>
      </c>
      <c r="AD113" t="e">
        <f>VLOOKUP($AC113,'oddspedia-matches'!$A:$AD,AD$2,0)</f>
        <v>#N/A</v>
      </c>
      <c r="AE113" t="e">
        <f>VLOOKUP($AC113,'oddspedia-matches'!$A:$AD,AE$2,0)</f>
        <v>#N/A</v>
      </c>
      <c r="AF113" t="e">
        <f>VLOOKUP($AC113,'oddspedia-matches'!$A:$AD,AF$2,0)</f>
        <v>#N/A</v>
      </c>
      <c r="AG113" t="e">
        <f>VLOOKUP($AC113,'oddspedia-matches'!$A:$AD,AG$2,0)</f>
        <v>#N/A</v>
      </c>
      <c r="AH113" t="e">
        <f>VLOOKUP($AC113,'oddspedia-matches'!$A:$AD,AH$2,0)</f>
        <v>#N/A</v>
      </c>
      <c r="AI113" t="e">
        <f>VLOOKUP($AC113,'oddspedia-matches'!$A:$AD,AI$2,0)</f>
        <v>#N/A</v>
      </c>
      <c r="AJ113" t="e">
        <f>VLOOKUP($AC113,'oddspedia-matches'!$A:$AD,AJ$2,0)</f>
        <v>#N/A</v>
      </c>
      <c r="AK113" t="e">
        <f>VLOOKUP($AC113,'oddspedia-matches'!$A:$AD,AK$2,0)</f>
        <v>#N/A</v>
      </c>
      <c r="AL113" t="e">
        <f>VLOOKUP($AC113,'oddspedia-matches'!$A:$AD,AL$2,0)</f>
        <v>#N/A</v>
      </c>
      <c r="AM113" t="e">
        <f>VLOOKUP($AC113,'oddspedia-matches'!$A:$AD,AM$2,0)</f>
        <v>#N/A</v>
      </c>
      <c r="AN113" t="e">
        <f>VLOOKUP($AC113,'oddspedia-matches'!$A:$AD,AN$2,0)</f>
        <v>#N/A</v>
      </c>
      <c r="AO113" t="e">
        <f>VLOOKUP($AC113,'oddspedia-matches'!$A:$AD,AO$2,0)</f>
        <v>#N/A</v>
      </c>
      <c r="AP113" t="e">
        <f>VLOOKUP($AC113,'oddspedia-matches'!$A:$AD,AP$2,0)</f>
        <v>#N/A</v>
      </c>
      <c r="AQ113" t="e">
        <f>VLOOKUP($AC113,'oddspedia-matches'!$A:$AD,AQ$2,0)</f>
        <v>#N/A</v>
      </c>
      <c r="AR113" t="e">
        <f>VLOOKUP($AC113,'oddspedia-matches'!$A:$AD,AR$2,0)</f>
        <v>#N/A</v>
      </c>
      <c r="AS113" t="e">
        <f>VLOOKUP($AC113,'oddspedia-matches'!$A:$AD,AS$2,0)</f>
        <v>#N/A</v>
      </c>
      <c r="AT113" t="e">
        <f>VLOOKUP($AC113,'oddspedia-matches'!$A:$AD,AT$2,0)</f>
        <v>#N/A</v>
      </c>
    </row>
    <row r="114" spans="2:46" x14ac:dyDescent="0.25">
      <c r="B114" s="9" t="s">
        <v>502</v>
      </c>
      <c r="C114" s="7" t="s">
        <v>124</v>
      </c>
      <c r="D114" s="20">
        <v>0.79166666666666663</v>
      </c>
      <c r="E114" s="7" t="s">
        <v>183</v>
      </c>
      <c r="F114" s="7" t="s">
        <v>184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s="7" t="s">
        <v>22</v>
      </c>
      <c r="Y114" s="7" t="s">
        <v>22</v>
      </c>
      <c r="Z114" s="21"/>
      <c r="AA114">
        <f>VLOOKUP(E114,'Transform table'!A:B,2,0)</f>
        <v>0</v>
      </c>
      <c r="AB114" t="e">
        <f>VLOOKUP(F114,'Transform table'!A:B,2,0)</f>
        <v>#N/A</v>
      </c>
      <c r="AC114" t="e">
        <f t="shared" si="1"/>
        <v>#N/A</v>
      </c>
      <c r="AD114" t="e">
        <f>VLOOKUP($AC114,'oddspedia-matches'!$A:$AD,AD$2,0)</f>
        <v>#N/A</v>
      </c>
      <c r="AE114" t="e">
        <f>VLOOKUP($AC114,'oddspedia-matches'!$A:$AD,AE$2,0)</f>
        <v>#N/A</v>
      </c>
      <c r="AF114" t="e">
        <f>VLOOKUP($AC114,'oddspedia-matches'!$A:$AD,AF$2,0)</f>
        <v>#N/A</v>
      </c>
      <c r="AG114" t="e">
        <f>VLOOKUP($AC114,'oddspedia-matches'!$A:$AD,AG$2,0)</f>
        <v>#N/A</v>
      </c>
      <c r="AH114" t="e">
        <f>VLOOKUP($AC114,'oddspedia-matches'!$A:$AD,AH$2,0)</f>
        <v>#N/A</v>
      </c>
      <c r="AI114" t="e">
        <f>VLOOKUP($AC114,'oddspedia-matches'!$A:$AD,AI$2,0)</f>
        <v>#N/A</v>
      </c>
      <c r="AJ114" t="e">
        <f>VLOOKUP($AC114,'oddspedia-matches'!$A:$AD,AJ$2,0)</f>
        <v>#N/A</v>
      </c>
      <c r="AK114" t="e">
        <f>VLOOKUP($AC114,'oddspedia-matches'!$A:$AD,AK$2,0)</f>
        <v>#N/A</v>
      </c>
      <c r="AL114" t="e">
        <f>VLOOKUP($AC114,'oddspedia-matches'!$A:$AD,AL$2,0)</f>
        <v>#N/A</v>
      </c>
      <c r="AM114" t="e">
        <f>VLOOKUP($AC114,'oddspedia-matches'!$A:$AD,AM$2,0)</f>
        <v>#N/A</v>
      </c>
      <c r="AN114" t="e">
        <f>VLOOKUP($AC114,'oddspedia-matches'!$A:$AD,AN$2,0)</f>
        <v>#N/A</v>
      </c>
      <c r="AO114" t="e">
        <f>VLOOKUP($AC114,'oddspedia-matches'!$A:$AD,AO$2,0)</f>
        <v>#N/A</v>
      </c>
      <c r="AP114" t="e">
        <f>VLOOKUP($AC114,'oddspedia-matches'!$A:$AD,AP$2,0)</f>
        <v>#N/A</v>
      </c>
      <c r="AQ114" t="e">
        <f>VLOOKUP($AC114,'oddspedia-matches'!$A:$AD,AQ$2,0)</f>
        <v>#N/A</v>
      </c>
      <c r="AR114" t="e">
        <f>VLOOKUP($AC114,'oddspedia-matches'!$A:$AD,AR$2,0)</f>
        <v>#N/A</v>
      </c>
      <c r="AS114" t="e">
        <f>VLOOKUP($AC114,'oddspedia-matches'!$A:$AD,AS$2,0)</f>
        <v>#N/A</v>
      </c>
      <c r="AT114" t="e">
        <f>VLOOKUP($AC114,'oddspedia-matches'!$A:$AD,AT$2,0)</f>
        <v>#N/A</v>
      </c>
    </row>
    <row r="115" spans="2:46" x14ac:dyDescent="0.25">
      <c r="B115" s="17" t="s">
        <v>503</v>
      </c>
      <c r="C115" s="8" t="s">
        <v>124</v>
      </c>
      <c r="D115" s="18">
        <v>0.79166666666666663</v>
      </c>
      <c r="E115" s="8" t="s">
        <v>185</v>
      </c>
      <c r="F115" s="8" t="s">
        <v>186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s="8">
        <v>50</v>
      </c>
      <c r="Y115" s="8">
        <v>42.9</v>
      </c>
      <c r="Z115" s="19"/>
      <c r="AA115">
        <f>VLOOKUP(E115,'Transform table'!A:B,2,0)</f>
        <v>0</v>
      </c>
      <c r="AB115" t="e">
        <f>VLOOKUP(F115,'Transform table'!A:B,2,0)</f>
        <v>#N/A</v>
      </c>
      <c r="AC115" t="e">
        <f t="shared" si="1"/>
        <v>#N/A</v>
      </c>
      <c r="AD115" t="e">
        <f>VLOOKUP($AC115,'oddspedia-matches'!$A:$AD,AD$2,0)</f>
        <v>#N/A</v>
      </c>
      <c r="AE115" t="e">
        <f>VLOOKUP($AC115,'oddspedia-matches'!$A:$AD,AE$2,0)</f>
        <v>#N/A</v>
      </c>
      <c r="AF115" t="e">
        <f>VLOOKUP($AC115,'oddspedia-matches'!$A:$AD,AF$2,0)</f>
        <v>#N/A</v>
      </c>
      <c r="AG115" t="e">
        <f>VLOOKUP($AC115,'oddspedia-matches'!$A:$AD,AG$2,0)</f>
        <v>#N/A</v>
      </c>
      <c r="AH115" t="e">
        <f>VLOOKUP($AC115,'oddspedia-matches'!$A:$AD,AH$2,0)</f>
        <v>#N/A</v>
      </c>
      <c r="AI115" t="e">
        <f>VLOOKUP($AC115,'oddspedia-matches'!$A:$AD,AI$2,0)</f>
        <v>#N/A</v>
      </c>
      <c r="AJ115" t="e">
        <f>VLOOKUP($AC115,'oddspedia-matches'!$A:$AD,AJ$2,0)</f>
        <v>#N/A</v>
      </c>
      <c r="AK115" t="e">
        <f>VLOOKUP($AC115,'oddspedia-matches'!$A:$AD,AK$2,0)</f>
        <v>#N/A</v>
      </c>
      <c r="AL115" t="e">
        <f>VLOOKUP($AC115,'oddspedia-matches'!$A:$AD,AL$2,0)</f>
        <v>#N/A</v>
      </c>
      <c r="AM115" t="e">
        <f>VLOOKUP($AC115,'oddspedia-matches'!$A:$AD,AM$2,0)</f>
        <v>#N/A</v>
      </c>
      <c r="AN115" t="e">
        <f>VLOOKUP($AC115,'oddspedia-matches'!$A:$AD,AN$2,0)</f>
        <v>#N/A</v>
      </c>
      <c r="AO115" t="e">
        <f>VLOOKUP($AC115,'oddspedia-matches'!$A:$AD,AO$2,0)</f>
        <v>#N/A</v>
      </c>
      <c r="AP115" t="e">
        <f>VLOOKUP($AC115,'oddspedia-matches'!$A:$AD,AP$2,0)</f>
        <v>#N/A</v>
      </c>
      <c r="AQ115" t="e">
        <f>VLOOKUP($AC115,'oddspedia-matches'!$A:$AD,AQ$2,0)</f>
        <v>#N/A</v>
      </c>
      <c r="AR115" t="e">
        <f>VLOOKUP($AC115,'oddspedia-matches'!$A:$AD,AR$2,0)</f>
        <v>#N/A</v>
      </c>
      <c r="AS115" t="e">
        <f>VLOOKUP($AC115,'oddspedia-matches'!$A:$AD,AS$2,0)</f>
        <v>#N/A</v>
      </c>
      <c r="AT115" t="e">
        <f>VLOOKUP($AC115,'oddspedia-matches'!$A:$AD,AT$2,0)</f>
        <v>#N/A</v>
      </c>
    </row>
    <row r="116" spans="2:46" x14ac:dyDescent="0.25">
      <c r="B116" s="9" t="s">
        <v>504</v>
      </c>
      <c r="C116" s="7" t="s">
        <v>124</v>
      </c>
      <c r="D116" s="20">
        <v>0.8125</v>
      </c>
      <c r="E116" s="7" t="s">
        <v>187</v>
      </c>
      <c r="F116" s="7" t="s">
        <v>188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s="7">
        <v>10</v>
      </c>
      <c r="Y116" s="7">
        <v>0</v>
      </c>
      <c r="Z116" s="21"/>
      <c r="AA116" t="str">
        <f>VLOOKUP(E116,'Transform table'!A:B,2,0)</f>
        <v>Nacional De Football</v>
      </c>
      <c r="AB116" t="e">
        <f>VLOOKUP(F116,'Transform table'!A:B,2,0)</f>
        <v>#N/A</v>
      </c>
      <c r="AC116" t="e">
        <f t="shared" si="1"/>
        <v>#N/A</v>
      </c>
      <c r="AD116" t="e">
        <f>VLOOKUP($AC116,'oddspedia-matches'!$A:$AD,AD$2,0)</f>
        <v>#N/A</v>
      </c>
      <c r="AE116" t="e">
        <f>VLOOKUP($AC116,'oddspedia-matches'!$A:$AD,AE$2,0)</f>
        <v>#N/A</v>
      </c>
      <c r="AF116" t="e">
        <f>VLOOKUP($AC116,'oddspedia-matches'!$A:$AD,AF$2,0)</f>
        <v>#N/A</v>
      </c>
      <c r="AG116" t="e">
        <f>VLOOKUP($AC116,'oddspedia-matches'!$A:$AD,AG$2,0)</f>
        <v>#N/A</v>
      </c>
      <c r="AH116" t="e">
        <f>VLOOKUP($AC116,'oddspedia-matches'!$A:$AD,AH$2,0)</f>
        <v>#N/A</v>
      </c>
      <c r="AI116" t="e">
        <f>VLOOKUP($AC116,'oddspedia-matches'!$A:$AD,AI$2,0)</f>
        <v>#N/A</v>
      </c>
      <c r="AJ116" t="e">
        <f>VLOOKUP($AC116,'oddspedia-matches'!$A:$AD,AJ$2,0)</f>
        <v>#N/A</v>
      </c>
      <c r="AK116" t="e">
        <f>VLOOKUP($AC116,'oddspedia-matches'!$A:$AD,AK$2,0)</f>
        <v>#N/A</v>
      </c>
      <c r="AL116" t="e">
        <f>VLOOKUP($AC116,'oddspedia-matches'!$A:$AD,AL$2,0)</f>
        <v>#N/A</v>
      </c>
      <c r="AM116" t="e">
        <f>VLOOKUP($AC116,'oddspedia-matches'!$A:$AD,AM$2,0)</f>
        <v>#N/A</v>
      </c>
      <c r="AN116" t="e">
        <f>VLOOKUP($AC116,'oddspedia-matches'!$A:$AD,AN$2,0)</f>
        <v>#N/A</v>
      </c>
      <c r="AO116" t="e">
        <f>VLOOKUP($AC116,'oddspedia-matches'!$A:$AD,AO$2,0)</f>
        <v>#N/A</v>
      </c>
      <c r="AP116" t="e">
        <f>VLOOKUP($AC116,'oddspedia-matches'!$A:$AD,AP$2,0)</f>
        <v>#N/A</v>
      </c>
      <c r="AQ116" t="e">
        <f>VLOOKUP($AC116,'oddspedia-matches'!$A:$AD,AQ$2,0)</f>
        <v>#N/A</v>
      </c>
      <c r="AR116" t="e">
        <f>VLOOKUP($AC116,'oddspedia-matches'!$A:$AD,AR$2,0)</f>
        <v>#N/A</v>
      </c>
      <c r="AS116" t="e">
        <f>VLOOKUP($AC116,'oddspedia-matches'!$A:$AD,AS$2,0)</f>
        <v>#N/A</v>
      </c>
      <c r="AT116" t="e">
        <f>VLOOKUP($AC116,'oddspedia-matches'!$A:$AD,AT$2,0)</f>
        <v>#N/A</v>
      </c>
    </row>
    <row r="117" spans="2:46" x14ac:dyDescent="0.25">
      <c r="B117" s="17" t="s">
        <v>475</v>
      </c>
      <c r="C117" s="8" t="s">
        <v>124</v>
      </c>
      <c r="D117" s="18">
        <v>0.83333333333333337</v>
      </c>
      <c r="E117" s="8" t="s">
        <v>189</v>
      </c>
      <c r="F117" s="8" t="s">
        <v>190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s="8">
        <v>40</v>
      </c>
      <c r="Y117" s="8">
        <v>40</v>
      </c>
      <c r="Z117" s="19"/>
      <c r="AA117" t="str">
        <f>VLOOKUP(E117,'Transform table'!A:B,2,0)</f>
        <v>Arouca</v>
      </c>
      <c r="AB117" t="str">
        <f>VLOOKUP(F117,'Transform table'!A:B,2,0)</f>
        <v>ABB</v>
      </c>
      <c r="AC117" t="str">
        <f t="shared" si="1"/>
        <v>24/07/2026AroucaABB</v>
      </c>
      <c r="AD117" t="e">
        <f>VLOOKUP($AC117,'oddspedia-matches'!$A:$AD,AD$2,0)</f>
        <v>#N/A</v>
      </c>
      <c r="AE117" t="e">
        <f>VLOOKUP($AC117,'oddspedia-matches'!$A:$AD,AE$2,0)</f>
        <v>#N/A</v>
      </c>
      <c r="AF117" t="e">
        <f>VLOOKUP($AC117,'oddspedia-matches'!$A:$AD,AF$2,0)</f>
        <v>#N/A</v>
      </c>
      <c r="AG117" t="e">
        <f>VLOOKUP($AC117,'oddspedia-matches'!$A:$AD,AG$2,0)</f>
        <v>#N/A</v>
      </c>
      <c r="AH117" t="e">
        <f>VLOOKUP($AC117,'oddspedia-matches'!$A:$AD,AH$2,0)</f>
        <v>#N/A</v>
      </c>
      <c r="AI117" t="e">
        <f>VLOOKUP($AC117,'oddspedia-matches'!$A:$AD,AI$2,0)</f>
        <v>#N/A</v>
      </c>
      <c r="AJ117" t="e">
        <f>VLOOKUP($AC117,'oddspedia-matches'!$A:$AD,AJ$2,0)</f>
        <v>#N/A</v>
      </c>
      <c r="AK117" t="e">
        <f>VLOOKUP($AC117,'oddspedia-matches'!$A:$AD,AK$2,0)</f>
        <v>#N/A</v>
      </c>
      <c r="AL117" t="e">
        <f>VLOOKUP($AC117,'oddspedia-matches'!$A:$AD,AL$2,0)</f>
        <v>#N/A</v>
      </c>
      <c r="AM117" t="e">
        <f>VLOOKUP($AC117,'oddspedia-matches'!$A:$AD,AM$2,0)</f>
        <v>#N/A</v>
      </c>
      <c r="AN117" t="e">
        <f>VLOOKUP($AC117,'oddspedia-matches'!$A:$AD,AN$2,0)</f>
        <v>#N/A</v>
      </c>
      <c r="AO117" t="e">
        <f>VLOOKUP($AC117,'oddspedia-matches'!$A:$AD,AO$2,0)</f>
        <v>#N/A</v>
      </c>
      <c r="AP117" t="e">
        <f>VLOOKUP($AC117,'oddspedia-matches'!$A:$AD,AP$2,0)</f>
        <v>#N/A</v>
      </c>
      <c r="AQ117" t="e">
        <f>VLOOKUP($AC117,'oddspedia-matches'!$A:$AD,AQ$2,0)</f>
        <v>#N/A</v>
      </c>
      <c r="AR117" t="e">
        <f>VLOOKUP($AC117,'oddspedia-matches'!$A:$AD,AR$2,0)</f>
        <v>#N/A</v>
      </c>
      <c r="AS117" t="e">
        <f>VLOOKUP($AC117,'oddspedia-matches'!$A:$AD,AS$2,0)</f>
        <v>#N/A</v>
      </c>
      <c r="AT117" t="e">
        <f>VLOOKUP($AC117,'oddspedia-matches'!$A:$AD,AT$2,0)</f>
        <v>#N/A</v>
      </c>
    </row>
    <row r="118" spans="2:46" x14ac:dyDescent="0.25">
      <c r="B118" s="9" t="s">
        <v>501</v>
      </c>
      <c r="C118" s="7" t="s">
        <v>124</v>
      </c>
      <c r="D118" s="20">
        <v>0.83333333333333337</v>
      </c>
      <c r="E118" s="7" t="s">
        <v>191</v>
      </c>
      <c r="F118" s="7" t="s">
        <v>192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s="7">
        <v>18.2</v>
      </c>
      <c r="Y118" s="7">
        <v>20</v>
      </c>
      <c r="Z118" s="21"/>
      <c r="AA118" t="str">
        <f>VLOOKUP(E118,'Transform table'!A:B,2,0)</f>
        <v>Tigres FC</v>
      </c>
      <c r="AB118" t="e">
        <f>VLOOKUP(F118,'Transform table'!A:B,2,0)</f>
        <v>#N/A</v>
      </c>
      <c r="AC118" t="e">
        <f t="shared" si="1"/>
        <v>#N/A</v>
      </c>
      <c r="AD118" t="e">
        <f>VLOOKUP($AC118,'oddspedia-matches'!$A:$AD,AD$2,0)</f>
        <v>#N/A</v>
      </c>
      <c r="AE118" t="e">
        <f>VLOOKUP($AC118,'oddspedia-matches'!$A:$AD,AE$2,0)</f>
        <v>#N/A</v>
      </c>
      <c r="AF118" t="e">
        <f>VLOOKUP($AC118,'oddspedia-matches'!$A:$AD,AF$2,0)</f>
        <v>#N/A</v>
      </c>
      <c r="AG118" t="e">
        <f>VLOOKUP($AC118,'oddspedia-matches'!$A:$AD,AG$2,0)</f>
        <v>#N/A</v>
      </c>
      <c r="AH118" t="e">
        <f>VLOOKUP($AC118,'oddspedia-matches'!$A:$AD,AH$2,0)</f>
        <v>#N/A</v>
      </c>
      <c r="AI118" t="e">
        <f>VLOOKUP($AC118,'oddspedia-matches'!$A:$AD,AI$2,0)</f>
        <v>#N/A</v>
      </c>
      <c r="AJ118" t="e">
        <f>VLOOKUP($AC118,'oddspedia-matches'!$A:$AD,AJ$2,0)</f>
        <v>#N/A</v>
      </c>
      <c r="AK118" t="e">
        <f>VLOOKUP($AC118,'oddspedia-matches'!$A:$AD,AK$2,0)</f>
        <v>#N/A</v>
      </c>
      <c r="AL118" t="e">
        <f>VLOOKUP($AC118,'oddspedia-matches'!$A:$AD,AL$2,0)</f>
        <v>#N/A</v>
      </c>
      <c r="AM118" t="e">
        <f>VLOOKUP($AC118,'oddspedia-matches'!$A:$AD,AM$2,0)</f>
        <v>#N/A</v>
      </c>
      <c r="AN118" t="e">
        <f>VLOOKUP($AC118,'oddspedia-matches'!$A:$AD,AN$2,0)</f>
        <v>#N/A</v>
      </c>
      <c r="AO118" t="e">
        <f>VLOOKUP($AC118,'oddspedia-matches'!$A:$AD,AO$2,0)</f>
        <v>#N/A</v>
      </c>
      <c r="AP118" t="e">
        <f>VLOOKUP($AC118,'oddspedia-matches'!$A:$AD,AP$2,0)</f>
        <v>#N/A</v>
      </c>
      <c r="AQ118" t="e">
        <f>VLOOKUP($AC118,'oddspedia-matches'!$A:$AD,AQ$2,0)</f>
        <v>#N/A</v>
      </c>
      <c r="AR118" t="e">
        <f>VLOOKUP($AC118,'oddspedia-matches'!$A:$AD,AR$2,0)</f>
        <v>#N/A</v>
      </c>
      <c r="AS118" t="e">
        <f>VLOOKUP($AC118,'oddspedia-matches'!$A:$AD,AS$2,0)</f>
        <v>#N/A</v>
      </c>
      <c r="AT118" t="e">
        <f>VLOOKUP($AC118,'oddspedia-matches'!$A:$AD,AT$2,0)</f>
        <v>#N/A</v>
      </c>
    </row>
    <row r="119" spans="2:46" x14ac:dyDescent="0.25">
      <c r="B119" s="17" t="s">
        <v>484</v>
      </c>
      <c r="C119" s="8" t="s">
        <v>124</v>
      </c>
      <c r="D119" s="18">
        <v>0.83333333333333337</v>
      </c>
      <c r="E119" s="8" t="s">
        <v>193</v>
      </c>
      <c r="F119" s="8" t="s">
        <v>194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s="8" t="s">
        <v>22</v>
      </c>
      <c r="Y119" s="8" t="s">
        <v>22</v>
      </c>
      <c r="Z119" s="19"/>
      <c r="AA119" t="str">
        <f>VLOOKUP(E119,'Transform table'!A:B,2,0)</f>
        <v>New York City II</v>
      </c>
      <c r="AB119" t="e">
        <f>VLOOKUP(F119,'Transform table'!A:B,2,0)</f>
        <v>#N/A</v>
      </c>
      <c r="AC119" t="e">
        <f t="shared" si="1"/>
        <v>#N/A</v>
      </c>
      <c r="AD119" t="e">
        <f>VLOOKUP($AC119,'oddspedia-matches'!$A:$AD,AD$2,0)</f>
        <v>#N/A</v>
      </c>
      <c r="AE119" t="e">
        <f>VLOOKUP($AC119,'oddspedia-matches'!$A:$AD,AE$2,0)</f>
        <v>#N/A</v>
      </c>
      <c r="AF119" t="e">
        <f>VLOOKUP($AC119,'oddspedia-matches'!$A:$AD,AF$2,0)</f>
        <v>#N/A</v>
      </c>
      <c r="AG119" t="e">
        <f>VLOOKUP($AC119,'oddspedia-matches'!$A:$AD,AG$2,0)</f>
        <v>#N/A</v>
      </c>
      <c r="AH119" t="e">
        <f>VLOOKUP($AC119,'oddspedia-matches'!$A:$AD,AH$2,0)</f>
        <v>#N/A</v>
      </c>
      <c r="AI119" t="e">
        <f>VLOOKUP($AC119,'oddspedia-matches'!$A:$AD,AI$2,0)</f>
        <v>#N/A</v>
      </c>
      <c r="AJ119" t="e">
        <f>VLOOKUP($AC119,'oddspedia-matches'!$A:$AD,AJ$2,0)</f>
        <v>#N/A</v>
      </c>
      <c r="AK119" t="e">
        <f>VLOOKUP($AC119,'oddspedia-matches'!$A:$AD,AK$2,0)</f>
        <v>#N/A</v>
      </c>
      <c r="AL119" t="e">
        <f>VLOOKUP($AC119,'oddspedia-matches'!$A:$AD,AL$2,0)</f>
        <v>#N/A</v>
      </c>
      <c r="AM119" t="e">
        <f>VLOOKUP($AC119,'oddspedia-matches'!$A:$AD,AM$2,0)</f>
        <v>#N/A</v>
      </c>
      <c r="AN119" t="e">
        <f>VLOOKUP($AC119,'oddspedia-matches'!$A:$AD,AN$2,0)</f>
        <v>#N/A</v>
      </c>
      <c r="AO119" t="e">
        <f>VLOOKUP($AC119,'oddspedia-matches'!$A:$AD,AO$2,0)</f>
        <v>#N/A</v>
      </c>
      <c r="AP119" t="e">
        <f>VLOOKUP($AC119,'oddspedia-matches'!$A:$AD,AP$2,0)</f>
        <v>#N/A</v>
      </c>
      <c r="AQ119" t="e">
        <f>VLOOKUP($AC119,'oddspedia-matches'!$A:$AD,AQ$2,0)</f>
        <v>#N/A</v>
      </c>
      <c r="AR119" t="e">
        <f>VLOOKUP($AC119,'oddspedia-matches'!$A:$AD,AR$2,0)</f>
        <v>#N/A</v>
      </c>
      <c r="AS119" t="e">
        <f>VLOOKUP($AC119,'oddspedia-matches'!$A:$AD,AS$2,0)</f>
        <v>#N/A</v>
      </c>
      <c r="AT119" t="e">
        <f>VLOOKUP($AC119,'oddspedia-matches'!$A:$AD,AT$2,0)</f>
        <v>#N/A</v>
      </c>
    </row>
    <row r="120" spans="2:46" x14ac:dyDescent="0.25">
      <c r="B120" s="9" t="s">
        <v>505</v>
      </c>
      <c r="C120" s="7" t="s">
        <v>124</v>
      </c>
      <c r="D120" s="20">
        <v>0.84027777777777779</v>
      </c>
      <c r="E120" s="7" t="s">
        <v>195</v>
      </c>
      <c r="F120" s="7" t="s">
        <v>196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22</v>
      </c>
      <c r="O120" s="7" t="s">
        <v>22</v>
      </c>
      <c r="P120" s="7" t="s">
        <v>22</v>
      </c>
      <c r="Q120" s="7" t="s">
        <v>22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s="7">
        <v>22.2</v>
      </c>
      <c r="Y120" s="7">
        <v>20</v>
      </c>
      <c r="Z120" s="21"/>
      <c r="AA120">
        <f>VLOOKUP(E120,'Transform table'!A:B,2,0)</f>
        <v>0</v>
      </c>
      <c r="AB120" t="e">
        <f>VLOOKUP(F120,'Transform table'!A:B,2,0)</f>
        <v>#N/A</v>
      </c>
      <c r="AC120" t="e">
        <f t="shared" si="1"/>
        <v>#N/A</v>
      </c>
      <c r="AD120" t="e">
        <f>VLOOKUP($AC120,'oddspedia-matches'!$A:$AD,AD$2,0)</f>
        <v>#N/A</v>
      </c>
      <c r="AE120" t="e">
        <f>VLOOKUP($AC120,'oddspedia-matches'!$A:$AD,AE$2,0)</f>
        <v>#N/A</v>
      </c>
      <c r="AF120" t="e">
        <f>VLOOKUP($AC120,'oddspedia-matches'!$A:$AD,AF$2,0)</f>
        <v>#N/A</v>
      </c>
      <c r="AG120" t="e">
        <f>VLOOKUP($AC120,'oddspedia-matches'!$A:$AD,AG$2,0)</f>
        <v>#N/A</v>
      </c>
      <c r="AH120" t="e">
        <f>VLOOKUP($AC120,'oddspedia-matches'!$A:$AD,AH$2,0)</f>
        <v>#N/A</v>
      </c>
      <c r="AI120" t="e">
        <f>VLOOKUP($AC120,'oddspedia-matches'!$A:$AD,AI$2,0)</f>
        <v>#N/A</v>
      </c>
      <c r="AJ120" t="e">
        <f>VLOOKUP($AC120,'oddspedia-matches'!$A:$AD,AJ$2,0)</f>
        <v>#N/A</v>
      </c>
      <c r="AK120" t="e">
        <f>VLOOKUP($AC120,'oddspedia-matches'!$A:$AD,AK$2,0)</f>
        <v>#N/A</v>
      </c>
      <c r="AL120" t="e">
        <f>VLOOKUP($AC120,'oddspedia-matches'!$A:$AD,AL$2,0)</f>
        <v>#N/A</v>
      </c>
      <c r="AM120" t="e">
        <f>VLOOKUP($AC120,'oddspedia-matches'!$A:$AD,AM$2,0)</f>
        <v>#N/A</v>
      </c>
      <c r="AN120" t="e">
        <f>VLOOKUP($AC120,'oddspedia-matches'!$A:$AD,AN$2,0)</f>
        <v>#N/A</v>
      </c>
      <c r="AO120" t="e">
        <f>VLOOKUP($AC120,'oddspedia-matches'!$A:$AD,AO$2,0)</f>
        <v>#N/A</v>
      </c>
      <c r="AP120" t="e">
        <f>VLOOKUP($AC120,'oddspedia-matches'!$A:$AD,AP$2,0)</f>
        <v>#N/A</v>
      </c>
      <c r="AQ120" t="e">
        <f>VLOOKUP($AC120,'oddspedia-matches'!$A:$AD,AQ$2,0)</f>
        <v>#N/A</v>
      </c>
      <c r="AR120" t="e">
        <f>VLOOKUP($AC120,'oddspedia-matches'!$A:$AD,AR$2,0)</f>
        <v>#N/A</v>
      </c>
      <c r="AS120" t="e">
        <f>VLOOKUP($AC120,'oddspedia-matches'!$A:$AD,AS$2,0)</f>
        <v>#N/A</v>
      </c>
      <c r="AT120" t="e">
        <f>VLOOKUP($AC120,'oddspedia-matches'!$A:$AD,AT$2,0)</f>
        <v>#N/A</v>
      </c>
    </row>
    <row r="121" spans="2:46" x14ac:dyDescent="0.25">
      <c r="B121" s="17" t="s">
        <v>485</v>
      </c>
      <c r="C121" s="8" t="s">
        <v>124</v>
      </c>
      <c r="D121" s="18">
        <v>0.875</v>
      </c>
      <c r="E121" s="8" t="s">
        <v>197</v>
      </c>
      <c r="F121" s="8" t="s">
        <v>198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s="8">
        <v>11.1</v>
      </c>
      <c r="Y121" s="8">
        <v>14.3</v>
      </c>
      <c r="Z121" s="19"/>
      <c r="AA121">
        <f>VLOOKUP(E121,'Transform table'!A:B,2,0)</f>
        <v>0</v>
      </c>
      <c r="AB121" t="e">
        <f>VLOOKUP(F121,'Transform table'!A:B,2,0)</f>
        <v>#N/A</v>
      </c>
      <c r="AC121" t="e">
        <f t="shared" si="1"/>
        <v>#N/A</v>
      </c>
      <c r="AD121" t="e">
        <f>VLOOKUP($AC121,'oddspedia-matches'!$A:$AD,AD$2,0)</f>
        <v>#N/A</v>
      </c>
      <c r="AE121" t="e">
        <f>VLOOKUP($AC121,'oddspedia-matches'!$A:$AD,AE$2,0)</f>
        <v>#N/A</v>
      </c>
      <c r="AF121" t="e">
        <f>VLOOKUP($AC121,'oddspedia-matches'!$A:$AD,AF$2,0)</f>
        <v>#N/A</v>
      </c>
      <c r="AG121" t="e">
        <f>VLOOKUP($AC121,'oddspedia-matches'!$A:$AD,AG$2,0)</f>
        <v>#N/A</v>
      </c>
      <c r="AH121" t="e">
        <f>VLOOKUP($AC121,'oddspedia-matches'!$A:$AD,AH$2,0)</f>
        <v>#N/A</v>
      </c>
      <c r="AI121" t="e">
        <f>VLOOKUP($AC121,'oddspedia-matches'!$A:$AD,AI$2,0)</f>
        <v>#N/A</v>
      </c>
      <c r="AJ121" t="e">
        <f>VLOOKUP($AC121,'oddspedia-matches'!$A:$AD,AJ$2,0)</f>
        <v>#N/A</v>
      </c>
      <c r="AK121" t="e">
        <f>VLOOKUP($AC121,'oddspedia-matches'!$A:$AD,AK$2,0)</f>
        <v>#N/A</v>
      </c>
      <c r="AL121" t="e">
        <f>VLOOKUP($AC121,'oddspedia-matches'!$A:$AD,AL$2,0)</f>
        <v>#N/A</v>
      </c>
      <c r="AM121" t="e">
        <f>VLOOKUP($AC121,'oddspedia-matches'!$A:$AD,AM$2,0)</f>
        <v>#N/A</v>
      </c>
      <c r="AN121" t="e">
        <f>VLOOKUP($AC121,'oddspedia-matches'!$A:$AD,AN$2,0)</f>
        <v>#N/A</v>
      </c>
      <c r="AO121" t="e">
        <f>VLOOKUP($AC121,'oddspedia-matches'!$A:$AD,AO$2,0)</f>
        <v>#N/A</v>
      </c>
      <c r="AP121" t="e">
        <f>VLOOKUP($AC121,'oddspedia-matches'!$A:$AD,AP$2,0)</f>
        <v>#N/A</v>
      </c>
      <c r="AQ121" t="e">
        <f>VLOOKUP($AC121,'oddspedia-matches'!$A:$AD,AQ$2,0)</f>
        <v>#N/A</v>
      </c>
      <c r="AR121" t="e">
        <f>VLOOKUP($AC121,'oddspedia-matches'!$A:$AD,AR$2,0)</f>
        <v>#N/A</v>
      </c>
      <c r="AS121" t="e">
        <f>VLOOKUP($AC121,'oddspedia-matches'!$A:$AD,AS$2,0)</f>
        <v>#N/A</v>
      </c>
      <c r="AT121" t="e">
        <f>VLOOKUP($AC121,'oddspedia-matches'!$A:$AD,AT$2,0)</f>
        <v>#N/A</v>
      </c>
    </row>
    <row r="122" spans="2:46" x14ac:dyDescent="0.25">
      <c r="B122" s="9" t="s">
        <v>488</v>
      </c>
      <c r="C122" s="7" t="s">
        <v>124</v>
      </c>
      <c r="D122" s="20">
        <v>0.88541666666666663</v>
      </c>
      <c r="E122" s="7" t="s">
        <v>199</v>
      </c>
      <c r="F122" s="7" t="s">
        <v>200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s="7">
        <v>12.5</v>
      </c>
      <c r="Y122" s="7">
        <v>12.5</v>
      </c>
      <c r="Z122" s="21"/>
      <c r="AA122" t="str">
        <f>VLOOKUP(E122,'Transform table'!A:B,2,0)</f>
        <v>Huracan DPA</v>
      </c>
      <c r="AB122" t="e">
        <f>VLOOKUP(F122,'Transform table'!A:B,2,0)</f>
        <v>#N/A</v>
      </c>
      <c r="AC122" t="e">
        <f t="shared" si="1"/>
        <v>#N/A</v>
      </c>
      <c r="AD122" t="e">
        <f>VLOOKUP($AC122,'oddspedia-matches'!$A:$AD,AD$2,0)</f>
        <v>#N/A</v>
      </c>
      <c r="AE122" t="e">
        <f>VLOOKUP($AC122,'oddspedia-matches'!$A:$AD,AE$2,0)</f>
        <v>#N/A</v>
      </c>
      <c r="AF122" t="e">
        <f>VLOOKUP($AC122,'oddspedia-matches'!$A:$AD,AF$2,0)</f>
        <v>#N/A</v>
      </c>
      <c r="AG122" t="e">
        <f>VLOOKUP($AC122,'oddspedia-matches'!$A:$AD,AG$2,0)</f>
        <v>#N/A</v>
      </c>
      <c r="AH122" t="e">
        <f>VLOOKUP($AC122,'oddspedia-matches'!$A:$AD,AH$2,0)</f>
        <v>#N/A</v>
      </c>
      <c r="AI122" t="e">
        <f>VLOOKUP($AC122,'oddspedia-matches'!$A:$AD,AI$2,0)</f>
        <v>#N/A</v>
      </c>
      <c r="AJ122" t="e">
        <f>VLOOKUP($AC122,'oddspedia-matches'!$A:$AD,AJ$2,0)</f>
        <v>#N/A</v>
      </c>
      <c r="AK122" t="e">
        <f>VLOOKUP($AC122,'oddspedia-matches'!$A:$AD,AK$2,0)</f>
        <v>#N/A</v>
      </c>
      <c r="AL122" t="e">
        <f>VLOOKUP($AC122,'oddspedia-matches'!$A:$AD,AL$2,0)</f>
        <v>#N/A</v>
      </c>
      <c r="AM122" t="e">
        <f>VLOOKUP($AC122,'oddspedia-matches'!$A:$AD,AM$2,0)</f>
        <v>#N/A</v>
      </c>
      <c r="AN122" t="e">
        <f>VLOOKUP($AC122,'oddspedia-matches'!$A:$AD,AN$2,0)</f>
        <v>#N/A</v>
      </c>
      <c r="AO122" t="e">
        <f>VLOOKUP($AC122,'oddspedia-matches'!$A:$AD,AO$2,0)</f>
        <v>#N/A</v>
      </c>
      <c r="AP122" t="e">
        <f>VLOOKUP($AC122,'oddspedia-matches'!$A:$AD,AP$2,0)</f>
        <v>#N/A</v>
      </c>
      <c r="AQ122" t="e">
        <f>VLOOKUP($AC122,'oddspedia-matches'!$A:$AD,AQ$2,0)</f>
        <v>#N/A</v>
      </c>
      <c r="AR122" t="e">
        <f>VLOOKUP($AC122,'oddspedia-matches'!$A:$AD,AR$2,0)</f>
        <v>#N/A</v>
      </c>
      <c r="AS122" t="e">
        <f>VLOOKUP($AC122,'oddspedia-matches'!$A:$AD,AS$2,0)</f>
        <v>#N/A</v>
      </c>
      <c r="AT122" t="e">
        <f>VLOOKUP($AC122,'oddspedia-matches'!$A:$AD,AT$2,0)</f>
        <v>#N/A</v>
      </c>
    </row>
    <row r="123" spans="2:46" x14ac:dyDescent="0.25">
      <c r="B123" s="17" t="s">
        <v>488</v>
      </c>
      <c r="C123" s="8" t="s">
        <v>124</v>
      </c>
      <c r="D123" s="18">
        <v>0.88541666666666663</v>
      </c>
      <c r="E123" s="8" t="s">
        <v>201</v>
      </c>
      <c r="F123" s="8" t="s">
        <v>202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s="8">
        <v>12.5</v>
      </c>
      <c r="Y123" s="8">
        <v>10</v>
      </c>
      <c r="Z123" s="19"/>
      <c r="AA123" t="str">
        <f>VLOOKUP(E123,'Transform table'!A:B,2,0)</f>
        <v>FC Platinum</v>
      </c>
      <c r="AB123" t="e">
        <f>VLOOKUP(F123,'Transform table'!A:B,2,0)</f>
        <v>#N/A</v>
      </c>
      <c r="AC123" t="e">
        <f t="shared" si="1"/>
        <v>#N/A</v>
      </c>
      <c r="AD123" t="e">
        <f>VLOOKUP($AC123,'oddspedia-matches'!$A:$AD,AD$2,0)</f>
        <v>#N/A</v>
      </c>
      <c r="AE123" t="e">
        <f>VLOOKUP($AC123,'oddspedia-matches'!$A:$AD,AE$2,0)</f>
        <v>#N/A</v>
      </c>
      <c r="AF123" t="e">
        <f>VLOOKUP($AC123,'oddspedia-matches'!$A:$AD,AF$2,0)</f>
        <v>#N/A</v>
      </c>
      <c r="AG123" t="e">
        <f>VLOOKUP($AC123,'oddspedia-matches'!$A:$AD,AG$2,0)</f>
        <v>#N/A</v>
      </c>
      <c r="AH123" t="e">
        <f>VLOOKUP($AC123,'oddspedia-matches'!$A:$AD,AH$2,0)</f>
        <v>#N/A</v>
      </c>
      <c r="AI123" t="e">
        <f>VLOOKUP($AC123,'oddspedia-matches'!$A:$AD,AI$2,0)</f>
        <v>#N/A</v>
      </c>
      <c r="AJ123" t="e">
        <f>VLOOKUP($AC123,'oddspedia-matches'!$A:$AD,AJ$2,0)</f>
        <v>#N/A</v>
      </c>
      <c r="AK123" t="e">
        <f>VLOOKUP($AC123,'oddspedia-matches'!$A:$AD,AK$2,0)</f>
        <v>#N/A</v>
      </c>
      <c r="AL123" t="e">
        <f>VLOOKUP($AC123,'oddspedia-matches'!$A:$AD,AL$2,0)</f>
        <v>#N/A</v>
      </c>
      <c r="AM123" t="e">
        <f>VLOOKUP($AC123,'oddspedia-matches'!$A:$AD,AM$2,0)</f>
        <v>#N/A</v>
      </c>
      <c r="AN123" t="e">
        <f>VLOOKUP($AC123,'oddspedia-matches'!$A:$AD,AN$2,0)</f>
        <v>#N/A</v>
      </c>
      <c r="AO123" t="e">
        <f>VLOOKUP($AC123,'oddspedia-matches'!$A:$AD,AO$2,0)</f>
        <v>#N/A</v>
      </c>
      <c r="AP123" t="e">
        <f>VLOOKUP($AC123,'oddspedia-matches'!$A:$AD,AP$2,0)</f>
        <v>#N/A</v>
      </c>
      <c r="AQ123" t="e">
        <f>VLOOKUP($AC123,'oddspedia-matches'!$A:$AD,AQ$2,0)</f>
        <v>#N/A</v>
      </c>
      <c r="AR123" t="e">
        <f>VLOOKUP($AC123,'oddspedia-matches'!$A:$AD,AR$2,0)</f>
        <v>#N/A</v>
      </c>
      <c r="AS123" t="e">
        <f>VLOOKUP($AC123,'oddspedia-matches'!$A:$AD,AS$2,0)</f>
        <v>#N/A</v>
      </c>
      <c r="AT123" t="e">
        <f>VLOOKUP($AC123,'oddspedia-matches'!$A:$AD,AT$2,0)</f>
        <v>#N/A</v>
      </c>
    </row>
    <row r="124" spans="2:46" x14ac:dyDescent="0.25">
      <c r="B124" s="9" t="s">
        <v>503</v>
      </c>
      <c r="C124" s="7" t="s">
        <v>124</v>
      </c>
      <c r="D124" s="20">
        <v>0.89583333333333337</v>
      </c>
      <c r="E124" s="7" t="s">
        <v>203</v>
      </c>
      <c r="F124" s="7" t="s">
        <v>204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s="7">
        <v>12.5</v>
      </c>
      <c r="Y124" s="7">
        <v>14.3</v>
      </c>
      <c r="Z124" s="21"/>
      <c r="AA124" t="str">
        <f>VLOOKUP(E124,'Transform table'!A:B,2,0)</f>
        <v>Coleraine</v>
      </c>
      <c r="AB124" t="e">
        <f>VLOOKUP(F124,'Transform table'!A:B,2,0)</f>
        <v>#N/A</v>
      </c>
      <c r="AC124" t="e">
        <f t="shared" si="1"/>
        <v>#N/A</v>
      </c>
      <c r="AD124" t="e">
        <f>VLOOKUP($AC124,'oddspedia-matches'!$A:$AD,AD$2,0)</f>
        <v>#N/A</v>
      </c>
      <c r="AE124" t="e">
        <f>VLOOKUP($AC124,'oddspedia-matches'!$A:$AD,AE$2,0)</f>
        <v>#N/A</v>
      </c>
      <c r="AF124" t="e">
        <f>VLOOKUP($AC124,'oddspedia-matches'!$A:$AD,AF$2,0)</f>
        <v>#N/A</v>
      </c>
      <c r="AG124" t="e">
        <f>VLOOKUP($AC124,'oddspedia-matches'!$A:$AD,AG$2,0)</f>
        <v>#N/A</v>
      </c>
      <c r="AH124" t="e">
        <f>VLOOKUP($AC124,'oddspedia-matches'!$A:$AD,AH$2,0)</f>
        <v>#N/A</v>
      </c>
      <c r="AI124" t="e">
        <f>VLOOKUP($AC124,'oddspedia-matches'!$A:$AD,AI$2,0)</f>
        <v>#N/A</v>
      </c>
      <c r="AJ124" t="e">
        <f>VLOOKUP($AC124,'oddspedia-matches'!$A:$AD,AJ$2,0)</f>
        <v>#N/A</v>
      </c>
      <c r="AK124" t="e">
        <f>VLOOKUP($AC124,'oddspedia-matches'!$A:$AD,AK$2,0)</f>
        <v>#N/A</v>
      </c>
      <c r="AL124" t="e">
        <f>VLOOKUP($AC124,'oddspedia-matches'!$A:$AD,AL$2,0)</f>
        <v>#N/A</v>
      </c>
      <c r="AM124" t="e">
        <f>VLOOKUP($AC124,'oddspedia-matches'!$A:$AD,AM$2,0)</f>
        <v>#N/A</v>
      </c>
      <c r="AN124" t="e">
        <f>VLOOKUP($AC124,'oddspedia-matches'!$A:$AD,AN$2,0)</f>
        <v>#N/A</v>
      </c>
      <c r="AO124" t="e">
        <f>VLOOKUP($AC124,'oddspedia-matches'!$A:$AD,AO$2,0)</f>
        <v>#N/A</v>
      </c>
      <c r="AP124" t="e">
        <f>VLOOKUP($AC124,'oddspedia-matches'!$A:$AD,AP$2,0)</f>
        <v>#N/A</v>
      </c>
      <c r="AQ124" t="e">
        <f>VLOOKUP($AC124,'oddspedia-matches'!$A:$AD,AQ$2,0)</f>
        <v>#N/A</v>
      </c>
      <c r="AR124" t="e">
        <f>VLOOKUP($AC124,'oddspedia-matches'!$A:$AD,AR$2,0)</f>
        <v>#N/A</v>
      </c>
      <c r="AS124" t="e">
        <f>VLOOKUP($AC124,'oddspedia-matches'!$A:$AD,AS$2,0)</f>
        <v>#N/A</v>
      </c>
      <c r="AT124" t="e">
        <f>VLOOKUP($AC124,'oddspedia-matches'!$A:$AD,AT$2,0)</f>
        <v>#N/A</v>
      </c>
    </row>
    <row r="125" spans="2:46" x14ac:dyDescent="0.25">
      <c r="B125" s="17" t="s">
        <v>506</v>
      </c>
      <c r="C125" s="8" t="s">
        <v>124</v>
      </c>
      <c r="D125" s="18">
        <v>0.89583333333333337</v>
      </c>
      <c r="E125" s="8" t="s">
        <v>205</v>
      </c>
      <c r="F125" s="8" t="s">
        <v>206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s="8">
        <v>12.5</v>
      </c>
      <c r="Y125" s="8">
        <v>12.5</v>
      </c>
      <c r="Z125" s="19"/>
      <c r="AA125">
        <f>VLOOKUP(E125,'Transform table'!A:B,2,0)</f>
        <v>0</v>
      </c>
      <c r="AB125" t="e">
        <f>VLOOKUP(F125,'Transform table'!A:B,2,0)</f>
        <v>#N/A</v>
      </c>
      <c r="AC125" t="e">
        <f t="shared" si="1"/>
        <v>#N/A</v>
      </c>
      <c r="AD125" t="e">
        <f>VLOOKUP($AC125,'oddspedia-matches'!$A:$AD,AD$2,0)</f>
        <v>#N/A</v>
      </c>
      <c r="AE125" t="e">
        <f>VLOOKUP($AC125,'oddspedia-matches'!$A:$AD,AE$2,0)</f>
        <v>#N/A</v>
      </c>
      <c r="AF125" t="e">
        <f>VLOOKUP($AC125,'oddspedia-matches'!$A:$AD,AF$2,0)</f>
        <v>#N/A</v>
      </c>
      <c r="AG125" t="e">
        <f>VLOOKUP($AC125,'oddspedia-matches'!$A:$AD,AG$2,0)</f>
        <v>#N/A</v>
      </c>
      <c r="AH125" t="e">
        <f>VLOOKUP($AC125,'oddspedia-matches'!$A:$AD,AH$2,0)</f>
        <v>#N/A</v>
      </c>
      <c r="AI125" t="e">
        <f>VLOOKUP($AC125,'oddspedia-matches'!$A:$AD,AI$2,0)</f>
        <v>#N/A</v>
      </c>
      <c r="AJ125" t="e">
        <f>VLOOKUP($AC125,'oddspedia-matches'!$A:$AD,AJ$2,0)</f>
        <v>#N/A</v>
      </c>
      <c r="AK125" t="e">
        <f>VLOOKUP($AC125,'oddspedia-matches'!$A:$AD,AK$2,0)</f>
        <v>#N/A</v>
      </c>
      <c r="AL125" t="e">
        <f>VLOOKUP($AC125,'oddspedia-matches'!$A:$AD,AL$2,0)</f>
        <v>#N/A</v>
      </c>
      <c r="AM125" t="e">
        <f>VLOOKUP($AC125,'oddspedia-matches'!$A:$AD,AM$2,0)</f>
        <v>#N/A</v>
      </c>
      <c r="AN125" t="e">
        <f>VLOOKUP($AC125,'oddspedia-matches'!$A:$AD,AN$2,0)</f>
        <v>#N/A</v>
      </c>
      <c r="AO125" t="e">
        <f>VLOOKUP($AC125,'oddspedia-matches'!$A:$AD,AO$2,0)</f>
        <v>#N/A</v>
      </c>
      <c r="AP125" t="e">
        <f>VLOOKUP($AC125,'oddspedia-matches'!$A:$AD,AP$2,0)</f>
        <v>#N/A</v>
      </c>
      <c r="AQ125" t="e">
        <f>VLOOKUP($AC125,'oddspedia-matches'!$A:$AD,AQ$2,0)</f>
        <v>#N/A</v>
      </c>
      <c r="AR125" t="e">
        <f>VLOOKUP($AC125,'oddspedia-matches'!$A:$AD,AR$2,0)</f>
        <v>#N/A</v>
      </c>
      <c r="AS125" t="e">
        <f>VLOOKUP($AC125,'oddspedia-matches'!$A:$AD,AS$2,0)</f>
        <v>#N/A</v>
      </c>
      <c r="AT125" t="e">
        <f>VLOOKUP($AC125,'oddspedia-matches'!$A:$AD,AT$2,0)</f>
        <v>#N/A</v>
      </c>
    </row>
    <row r="126" spans="2:46" x14ac:dyDescent="0.25">
      <c r="B126" s="9" t="s">
        <v>505</v>
      </c>
      <c r="C126" s="7" t="s">
        <v>124</v>
      </c>
      <c r="D126" s="20">
        <v>0.92708333333333337</v>
      </c>
      <c r="E126" s="7" t="s">
        <v>207</v>
      </c>
      <c r="F126" s="7" t="s">
        <v>208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s="7">
        <v>10</v>
      </c>
      <c r="Y126" s="7">
        <v>33.299999999999997</v>
      </c>
      <c r="Z126" s="21"/>
      <c r="AA126">
        <f>VLOOKUP(E126,'Transform table'!A:B,2,0)</f>
        <v>0</v>
      </c>
      <c r="AB126" t="e">
        <f>VLOOKUP(F126,'Transform table'!A:B,2,0)</f>
        <v>#N/A</v>
      </c>
      <c r="AC126" t="e">
        <f t="shared" si="1"/>
        <v>#N/A</v>
      </c>
      <c r="AD126" t="e">
        <f>VLOOKUP($AC126,'oddspedia-matches'!$A:$AD,AD$2,0)</f>
        <v>#N/A</v>
      </c>
      <c r="AE126" t="e">
        <f>VLOOKUP($AC126,'oddspedia-matches'!$A:$AD,AE$2,0)</f>
        <v>#N/A</v>
      </c>
      <c r="AF126" t="e">
        <f>VLOOKUP($AC126,'oddspedia-matches'!$A:$AD,AF$2,0)</f>
        <v>#N/A</v>
      </c>
      <c r="AG126" t="e">
        <f>VLOOKUP($AC126,'oddspedia-matches'!$A:$AD,AG$2,0)</f>
        <v>#N/A</v>
      </c>
      <c r="AH126" t="e">
        <f>VLOOKUP($AC126,'oddspedia-matches'!$A:$AD,AH$2,0)</f>
        <v>#N/A</v>
      </c>
      <c r="AI126" t="e">
        <f>VLOOKUP($AC126,'oddspedia-matches'!$A:$AD,AI$2,0)</f>
        <v>#N/A</v>
      </c>
      <c r="AJ126" t="e">
        <f>VLOOKUP($AC126,'oddspedia-matches'!$A:$AD,AJ$2,0)</f>
        <v>#N/A</v>
      </c>
      <c r="AK126" t="e">
        <f>VLOOKUP($AC126,'oddspedia-matches'!$A:$AD,AK$2,0)</f>
        <v>#N/A</v>
      </c>
      <c r="AL126" t="e">
        <f>VLOOKUP($AC126,'oddspedia-matches'!$A:$AD,AL$2,0)</f>
        <v>#N/A</v>
      </c>
      <c r="AM126" t="e">
        <f>VLOOKUP($AC126,'oddspedia-matches'!$A:$AD,AM$2,0)</f>
        <v>#N/A</v>
      </c>
      <c r="AN126" t="e">
        <f>VLOOKUP($AC126,'oddspedia-matches'!$A:$AD,AN$2,0)</f>
        <v>#N/A</v>
      </c>
      <c r="AO126" t="e">
        <f>VLOOKUP($AC126,'oddspedia-matches'!$A:$AD,AO$2,0)</f>
        <v>#N/A</v>
      </c>
      <c r="AP126" t="e">
        <f>VLOOKUP($AC126,'oddspedia-matches'!$A:$AD,AP$2,0)</f>
        <v>#N/A</v>
      </c>
      <c r="AQ126" t="e">
        <f>VLOOKUP($AC126,'oddspedia-matches'!$A:$AD,AQ$2,0)</f>
        <v>#N/A</v>
      </c>
      <c r="AR126" t="e">
        <f>VLOOKUP($AC126,'oddspedia-matches'!$A:$AD,AR$2,0)</f>
        <v>#N/A</v>
      </c>
      <c r="AS126" t="e">
        <f>VLOOKUP($AC126,'oddspedia-matches'!$A:$AD,AS$2,0)</f>
        <v>#N/A</v>
      </c>
      <c r="AT126" t="e">
        <f>VLOOKUP($AC126,'oddspedia-matches'!$A:$AD,AT$2,0)</f>
        <v>#N/A</v>
      </c>
    </row>
    <row r="127" spans="2:46" x14ac:dyDescent="0.25">
      <c r="B127" s="17" t="s">
        <v>507</v>
      </c>
      <c r="C127" s="8" t="s">
        <v>124</v>
      </c>
      <c r="D127" s="18">
        <v>0.9375</v>
      </c>
      <c r="E127" s="8" t="s">
        <v>209</v>
      </c>
      <c r="F127" s="8" t="s">
        <v>210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s="8" t="s">
        <v>22</v>
      </c>
      <c r="Y127" s="8" t="s">
        <v>22</v>
      </c>
      <c r="Z127" s="19"/>
      <c r="AA127" t="str">
        <f>VLOOKUP(E127,'Transform table'!A:B,2,0)</f>
        <v>CD Leones Del Norte</v>
      </c>
      <c r="AB127" t="e">
        <f>VLOOKUP(F127,'Transform table'!A:B,2,0)</f>
        <v>#N/A</v>
      </c>
      <c r="AC127" t="e">
        <f t="shared" si="1"/>
        <v>#N/A</v>
      </c>
      <c r="AD127" t="e">
        <f>VLOOKUP($AC127,'oddspedia-matches'!$A:$AD,AD$2,0)</f>
        <v>#N/A</v>
      </c>
      <c r="AE127" t="e">
        <f>VLOOKUP($AC127,'oddspedia-matches'!$A:$AD,AE$2,0)</f>
        <v>#N/A</v>
      </c>
      <c r="AF127" t="e">
        <f>VLOOKUP($AC127,'oddspedia-matches'!$A:$AD,AF$2,0)</f>
        <v>#N/A</v>
      </c>
      <c r="AG127" t="e">
        <f>VLOOKUP($AC127,'oddspedia-matches'!$A:$AD,AG$2,0)</f>
        <v>#N/A</v>
      </c>
      <c r="AH127" t="e">
        <f>VLOOKUP($AC127,'oddspedia-matches'!$A:$AD,AH$2,0)</f>
        <v>#N/A</v>
      </c>
      <c r="AI127" t="e">
        <f>VLOOKUP($AC127,'oddspedia-matches'!$A:$AD,AI$2,0)</f>
        <v>#N/A</v>
      </c>
      <c r="AJ127" t="e">
        <f>VLOOKUP($AC127,'oddspedia-matches'!$A:$AD,AJ$2,0)</f>
        <v>#N/A</v>
      </c>
      <c r="AK127" t="e">
        <f>VLOOKUP($AC127,'oddspedia-matches'!$A:$AD,AK$2,0)</f>
        <v>#N/A</v>
      </c>
      <c r="AL127" t="e">
        <f>VLOOKUP($AC127,'oddspedia-matches'!$A:$AD,AL$2,0)</f>
        <v>#N/A</v>
      </c>
      <c r="AM127" t="e">
        <f>VLOOKUP($AC127,'oddspedia-matches'!$A:$AD,AM$2,0)</f>
        <v>#N/A</v>
      </c>
      <c r="AN127" t="e">
        <f>VLOOKUP($AC127,'oddspedia-matches'!$A:$AD,AN$2,0)</f>
        <v>#N/A</v>
      </c>
      <c r="AO127" t="e">
        <f>VLOOKUP($AC127,'oddspedia-matches'!$A:$AD,AO$2,0)</f>
        <v>#N/A</v>
      </c>
      <c r="AP127" t="e">
        <f>VLOOKUP($AC127,'oddspedia-matches'!$A:$AD,AP$2,0)</f>
        <v>#N/A</v>
      </c>
      <c r="AQ127" t="e">
        <f>VLOOKUP($AC127,'oddspedia-matches'!$A:$AD,AQ$2,0)</f>
        <v>#N/A</v>
      </c>
      <c r="AR127" t="e">
        <f>VLOOKUP($AC127,'oddspedia-matches'!$A:$AD,AR$2,0)</f>
        <v>#N/A</v>
      </c>
      <c r="AS127" t="e">
        <f>VLOOKUP($AC127,'oddspedia-matches'!$A:$AD,AS$2,0)</f>
        <v>#N/A</v>
      </c>
      <c r="AT127" t="e">
        <f>VLOOKUP($AC127,'oddspedia-matches'!$A:$AD,AT$2,0)</f>
        <v>#N/A</v>
      </c>
    </row>
    <row r="128" spans="2:46" x14ac:dyDescent="0.25">
      <c r="B128" s="9" t="s">
        <v>500</v>
      </c>
      <c r="C128" s="7" t="s">
        <v>124</v>
      </c>
      <c r="D128" s="20">
        <v>0.9375</v>
      </c>
      <c r="E128" s="7" t="s">
        <v>211</v>
      </c>
      <c r="F128" s="7" t="s">
        <v>212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s="7">
        <v>0</v>
      </c>
      <c r="Y128" s="7">
        <v>22.2</v>
      </c>
      <c r="Z128" s="21"/>
      <c r="AA128" t="str">
        <f>VLOOKUP(E128,'Transform table'!A:B,2,0)</f>
        <v>Sporting Cristal</v>
      </c>
      <c r="AB128" t="e">
        <f>VLOOKUP(F128,'Transform table'!A:B,2,0)</f>
        <v>#N/A</v>
      </c>
      <c r="AC128" t="e">
        <f t="shared" si="1"/>
        <v>#N/A</v>
      </c>
      <c r="AD128" t="e">
        <f>VLOOKUP($AC128,'oddspedia-matches'!$A:$AD,AD$2,0)</f>
        <v>#N/A</v>
      </c>
      <c r="AE128" t="e">
        <f>VLOOKUP($AC128,'oddspedia-matches'!$A:$AD,AE$2,0)</f>
        <v>#N/A</v>
      </c>
      <c r="AF128" t="e">
        <f>VLOOKUP($AC128,'oddspedia-matches'!$A:$AD,AF$2,0)</f>
        <v>#N/A</v>
      </c>
      <c r="AG128" t="e">
        <f>VLOOKUP($AC128,'oddspedia-matches'!$A:$AD,AG$2,0)</f>
        <v>#N/A</v>
      </c>
      <c r="AH128" t="e">
        <f>VLOOKUP($AC128,'oddspedia-matches'!$A:$AD,AH$2,0)</f>
        <v>#N/A</v>
      </c>
      <c r="AI128" t="e">
        <f>VLOOKUP($AC128,'oddspedia-matches'!$A:$AD,AI$2,0)</f>
        <v>#N/A</v>
      </c>
      <c r="AJ128" t="e">
        <f>VLOOKUP($AC128,'oddspedia-matches'!$A:$AD,AJ$2,0)</f>
        <v>#N/A</v>
      </c>
      <c r="AK128" t="e">
        <f>VLOOKUP($AC128,'oddspedia-matches'!$A:$AD,AK$2,0)</f>
        <v>#N/A</v>
      </c>
      <c r="AL128" t="e">
        <f>VLOOKUP($AC128,'oddspedia-matches'!$A:$AD,AL$2,0)</f>
        <v>#N/A</v>
      </c>
      <c r="AM128" t="e">
        <f>VLOOKUP($AC128,'oddspedia-matches'!$A:$AD,AM$2,0)</f>
        <v>#N/A</v>
      </c>
      <c r="AN128" t="e">
        <f>VLOOKUP($AC128,'oddspedia-matches'!$A:$AD,AN$2,0)</f>
        <v>#N/A</v>
      </c>
      <c r="AO128" t="e">
        <f>VLOOKUP($AC128,'oddspedia-matches'!$A:$AD,AO$2,0)</f>
        <v>#N/A</v>
      </c>
      <c r="AP128" t="e">
        <f>VLOOKUP($AC128,'oddspedia-matches'!$A:$AD,AP$2,0)</f>
        <v>#N/A</v>
      </c>
      <c r="AQ128" t="e">
        <f>VLOOKUP($AC128,'oddspedia-matches'!$A:$AD,AQ$2,0)</f>
        <v>#N/A</v>
      </c>
      <c r="AR128" t="e">
        <f>VLOOKUP($AC128,'oddspedia-matches'!$A:$AD,AR$2,0)</f>
        <v>#N/A</v>
      </c>
      <c r="AS128" t="e">
        <f>VLOOKUP($AC128,'oddspedia-matches'!$A:$AD,AS$2,0)</f>
        <v>#N/A</v>
      </c>
      <c r="AT128" t="e">
        <f>VLOOKUP($AC128,'oddspedia-matches'!$A:$AD,AT$2,0)</f>
        <v>#N/A</v>
      </c>
    </row>
    <row r="129" spans="2:46" x14ac:dyDescent="0.25">
      <c r="B129" s="17" t="s">
        <v>502</v>
      </c>
      <c r="C129" s="8" t="s">
        <v>124</v>
      </c>
      <c r="D129" s="18">
        <v>0.95833333333333337</v>
      </c>
      <c r="E129" s="8" t="s">
        <v>213</v>
      </c>
      <c r="F129" s="8" t="s">
        <v>214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s="8" t="s">
        <v>22</v>
      </c>
      <c r="Y129" s="8" t="s">
        <v>22</v>
      </c>
      <c r="Z129" s="19"/>
      <c r="AA129" t="str">
        <f>VLOOKUP(E129,'Transform table'!A:B,2,0)</f>
        <v>Vinotinto FC</v>
      </c>
      <c r="AB129" t="e">
        <f>VLOOKUP(F129,'Transform table'!A:B,2,0)</f>
        <v>#N/A</v>
      </c>
      <c r="AC129" t="e">
        <f t="shared" si="1"/>
        <v>#N/A</v>
      </c>
      <c r="AD129" t="e">
        <f>VLOOKUP($AC129,'oddspedia-matches'!$A:$AD,AD$2,0)</f>
        <v>#N/A</v>
      </c>
      <c r="AE129" t="e">
        <f>VLOOKUP($AC129,'oddspedia-matches'!$A:$AD,AE$2,0)</f>
        <v>#N/A</v>
      </c>
      <c r="AF129" t="e">
        <f>VLOOKUP($AC129,'oddspedia-matches'!$A:$AD,AF$2,0)</f>
        <v>#N/A</v>
      </c>
      <c r="AG129" t="e">
        <f>VLOOKUP($AC129,'oddspedia-matches'!$A:$AD,AG$2,0)</f>
        <v>#N/A</v>
      </c>
      <c r="AH129" t="e">
        <f>VLOOKUP($AC129,'oddspedia-matches'!$A:$AD,AH$2,0)</f>
        <v>#N/A</v>
      </c>
      <c r="AI129" t="e">
        <f>VLOOKUP($AC129,'oddspedia-matches'!$A:$AD,AI$2,0)</f>
        <v>#N/A</v>
      </c>
      <c r="AJ129" t="e">
        <f>VLOOKUP($AC129,'oddspedia-matches'!$A:$AD,AJ$2,0)</f>
        <v>#N/A</v>
      </c>
      <c r="AK129" t="e">
        <f>VLOOKUP($AC129,'oddspedia-matches'!$A:$AD,AK$2,0)</f>
        <v>#N/A</v>
      </c>
      <c r="AL129" t="e">
        <f>VLOOKUP($AC129,'oddspedia-matches'!$A:$AD,AL$2,0)</f>
        <v>#N/A</v>
      </c>
      <c r="AM129" t="e">
        <f>VLOOKUP($AC129,'oddspedia-matches'!$A:$AD,AM$2,0)</f>
        <v>#N/A</v>
      </c>
      <c r="AN129" t="e">
        <f>VLOOKUP($AC129,'oddspedia-matches'!$A:$AD,AN$2,0)</f>
        <v>#N/A</v>
      </c>
      <c r="AO129" t="e">
        <f>VLOOKUP($AC129,'oddspedia-matches'!$A:$AD,AO$2,0)</f>
        <v>#N/A</v>
      </c>
      <c r="AP129" t="e">
        <f>VLOOKUP($AC129,'oddspedia-matches'!$A:$AD,AP$2,0)</f>
        <v>#N/A</v>
      </c>
      <c r="AQ129" t="e">
        <f>VLOOKUP($AC129,'oddspedia-matches'!$A:$AD,AQ$2,0)</f>
        <v>#N/A</v>
      </c>
      <c r="AR129" t="e">
        <f>VLOOKUP($AC129,'oddspedia-matches'!$A:$AD,AR$2,0)</f>
        <v>#N/A</v>
      </c>
      <c r="AS129" t="e">
        <f>VLOOKUP($AC129,'oddspedia-matches'!$A:$AD,AS$2,0)</f>
        <v>#N/A</v>
      </c>
      <c r="AT129" t="e">
        <f>VLOOKUP($AC129,'oddspedia-matches'!$A:$AD,AT$2,0)</f>
        <v>#N/A</v>
      </c>
    </row>
    <row r="130" spans="2:46" x14ac:dyDescent="0.25">
      <c r="B130" s="9" t="s">
        <v>481</v>
      </c>
      <c r="C130" s="7" t="s">
        <v>508</v>
      </c>
      <c r="D130" s="20">
        <v>4.1666666666666664E-2</v>
      </c>
      <c r="E130" s="7" t="s">
        <v>509</v>
      </c>
      <c r="F130" s="7" t="s">
        <v>510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s="7" t="s">
        <v>22</v>
      </c>
      <c r="Y130" s="7" t="s">
        <v>22</v>
      </c>
      <c r="Z130" s="21"/>
      <c r="AA130">
        <f>VLOOKUP(E130,'Transform table'!A:B,2,0)</f>
        <v>0</v>
      </c>
      <c r="AB130" t="e">
        <f>VLOOKUP(F130,'Transform table'!A:B,2,0)</f>
        <v>#N/A</v>
      </c>
      <c r="AC130" t="e">
        <f t="shared" si="1"/>
        <v>#N/A</v>
      </c>
      <c r="AD130" t="e">
        <f>VLOOKUP($AC130,'oddspedia-matches'!$A:$AD,AD$2,0)</f>
        <v>#N/A</v>
      </c>
      <c r="AE130" t="e">
        <f>VLOOKUP($AC130,'oddspedia-matches'!$A:$AD,AE$2,0)</f>
        <v>#N/A</v>
      </c>
      <c r="AF130" t="e">
        <f>VLOOKUP($AC130,'oddspedia-matches'!$A:$AD,AF$2,0)</f>
        <v>#N/A</v>
      </c>
      <c r="AG130" t="e">
        <f>VLOOKUP($AC130,'oddspedia-matches'!$A:$AD,AG$2,0)</f>
        <v>#N/A</v>
      </c>
      <c r="AH130" t="e">
        <f>VLOOKUP($AC130,'oddspedia-matches'!$A:$AD,AH$2,0)</f>
        <v>#N/A</v>
      </c>
      <c r="AI130" t="e">
        <f>VLOOKUP($AC130,'oddspedia-matches'!$A:$AD,AI$2,0)</f>
        <v>#N/A</v>
      </c>
      <c r="AJ130" t="e">
        <f>VLOOKUP($AC130,'oddspedia-matches'!$A:$AD,AJ$2,0)</f>
        <v>#N/A</v>
      </c>
      <c r="AK130" t="e">
        <f>VLOOKUP($AC130,'oddspedia-matches'!$A:$AD,AK$2,0)</f>
        <v>#N/A</v>
      </c>
      <c r="AL130" t="e">
        <f>VLOOKUP($AC130,'oddspedia-matches'!$A:$AD,AL$2,0)</f>
        <v>#N/A</v>
      </c>
      <c r="AM130" t="e">
        <f>VLOOKUP($AC130,'oddspedia-matches'!$A:$AD,AM$2,0)</f>
        <v>#N/A</v>
      </c>
      <c r="AN130" t="e">
        <f>VLOOKUP($AC130,'oddspedia-matches'!$A:$AD,AN$2,0)</f>
        <v>#N/A</v>
      </c>
      <c r="AO130" t="e">
        <f>VLOOKUP($AC130,'oddspedia-matches'!$A:$AD,AO$2,0)</f>
        <v>#N/A</v>
      </c>
      <c r="AP130" t="e">
        <f>VLOOKUP($AC130,'oddspedia-matches'!$A:$AD,AP$2,0)</f>
        <v>#N/A</v>
      </c>
      <c r="AQ130" t="e">
        <f>VLOOKUP($AC130,'oddspedia-matches'!$A:$AD,AQ$2,0)</f>
        <v>#N/A</v>
      </c>
      <c r="AR130" t="e">
        <f>VLOOKUP($AC130,'oddspedia-matches'!$A:$AD,AR$2,0)</f>
        <v>#N/A</v>
      </c>
      <c r="AS130" t="e">
        <f>VLOOKUP($AC130,'oddspedia-matches'!$A:$AD,AS$2,0)</f>
        <v>#N/A</v>
      </c>
      <c r="AT130" t="e">
        <f>VLOOKUP($AC130,'oddspedia-matches'!$A:$AD,AT$2,0)</f>
        <v>#N/A</v>
      </c>
    </row>
    <row r="131" spans="2:46" x14ac:dyDescent="0.25">
      <c r="B131" s="17" t="s">
        <v>463</v>
      </c>
      <c r="C131" s="8" t="s">
        <v>508</v>
      </c>
      <c r="D131" s="18">
        <v>6.25E-2</v>
      </c>
      <c r="E131" s="8" t="s">
        <v>511</v>
      </c>
      <c r="F131" s="8" t="s">
        <v>512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s="8" t="s">
        <v>22</v>
      </c>
      <c r="Y131" s="8" t="s">
        <v>22</v>
      </c>
      <c r="Z131" s="19"/>
      <c r="AA131" t="str">
        <f>VLOOKUP(E131,'Transform table'!A:B,2,0)</f>
        <v>Canberra</v>
      </c>
      <c r="AB131" t="e">
        <f>VLOOKUP(F131,'Transform table'!A:B,2,0)</f>
        <v>#N/A</v>
      </c>
      <c r="AC131" t="e">
        <f t="shared" si="1"/>
        <v>#N/A</v>
      </c>
      <c r="AD131" t="e">
        <f>VLOOKUP($AC131,'oddspedia-matches'!$A:$AD,AD$2,0)</f>
        <v>#N/A</v>
      </c>
      <c r="AE131" t="e">
        <f>VLOOKUP($AC131,'oddspedia-matches'!$A:$AD,AE$2,0)</f>
        <v>#N/A</v>
      </c>
      <c r="AF131" t="e">
        <f>VLOOKUP($AC131,'oddspedia-matches'!$A:$AD,AF$2,0)</f>
        <v>#N/A</v>
      </c>
      <c r="AG131" t="e">
        <f>VLOOKUP($AC131,'oddspedia-matches'!$A:$AD,AG$2,0)</f>
        <v>#N/A</v>
      </c>
      <c r="AH131" t="e">
        <f>VLOOKUP($AC131,'oddspedia-matches'!$A:$AD,AH$2,0)</f>
        <v>#N/A</v>
      </c>
      <c r="AI131" t="e">
        <f>VLOOKUP($AC131,'oddspedia-matches'!$A:$AD,AI$2,0)</f>
        <v>#N/A</v>
      </c>
      <c r="AJ131" t="e">
        <f>VLOOKUP($AC131,'oddspedia-matches'!$A:$AD,AJ$2,0)</f>
        <v>#N/A</v>
      </c>
      <c r="AK131" t="e">
        <f>VLOOKUP($AC131,'oddspedia-matches'!$A:$AD,AK$2,0)</f>
        <v>#N/A</v>
      </c>
      <c r="AL131" t="e">
        <f>VLOOKUP($AC131,'oddspedia-matches'!$A:$AD,AL$2,0)</f>
        <v>#N/A</v>
      </c>
      <c r="AM131" t="e">
        <f>VLOOKUP($AC131,'oddspedia-matches'!$A:$AD,AM$2,0)</f>
        <v>#N/A</v>
      </c>
      <c r="AN131" t="e">
        <f>VLOOKUP($AC131,'oddspedia-matches'!$A:$AD,AN$2,0)</f>
        <v>#N/A</v>
      </c>
      <c r="AO131" t="e">
        <f>VLOOKUP($AC131,'oddspedia-matches'!$A:$AD,AO$2,0)</f>
        <v>#N/A</v>
      </c>
      <c r="AP131" t="e">
        <f>VLOOKUP($AC131,'oddspedia-matches'!$A:$AD,AP$2,0)</f>
        <v>#N/A</v>
      </c>
      <c r="AQ131" t="e">
        <f>VLOOKUP($AC131,'oddspedia-matches'!$A:$AD,AQ$2,0)</f>
        <v>#N/A</v>
      </c>
      <c r="AR131" t="e">
        <f>VLOOKUP($AC131,'oddspedia-matches'!$A:$AD,AR$2,0)</f>
        <v>#N/A</v>
      </c>
      <c r="AS131" t="e">
        <f>VLOOKUP($AC131,'oddspedia-matches'!$A:$AD,AS$2,0)</f>
        <v>#N/A</v>
      </c>
      <c r="AT131" t="e">
        <f>VLOOKUP($AC131,'oddspedia-matches'!$A:$AD,AT$2,0)</f>
        <v>#N/A</v>
      </c>
    </row>
    <row r="132" spans="2:46" x14ac:dyDescent="0.25">
      <c r="B132" s="9" t="s">
        <v>482</v>
      </c>
      <c r="C132" s="7" t="s">
        <v>508</v>
      </c>
      <c r="D132" s="20">
        <v>6.25E-2</v>
      </c>
      <c r="E132" s="7" t="s">
        <v>26</v>
      </c>
      <c r="F132" s="7" t="s">
        <v>513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s="7" t="s">
        <v>22</v>
      </c>
      <c r="Y132" s="7" t="s">
        <v>22</v>
      </c>
      <c r="Z132" s="21"/>
      <c r="AA132" t="str">
        <f>VLOOKUP(E132,'Transform table'!A:B,2,0)</f>
        <v>Launceston United</v>
      </c>
      <c r="AB132" t="e">
        <f>VLOOKUP(F132,'Transform table'!A:B,2,0)</f>
        <v>#N/A</v>
      </c>
      <c r="AC132" t="e">
        <f t="shared" si="1"/>
        <v>#N/A</v>
      </c>
      <c r="AD132" t="e">
        <f>VLOOKUP($AC132,'oddspedia-matches'!$A:$AD,AD$2,0)</f>
        <v>#N/A</v>
      </c>
      <c r="AE132" t="e">
        <f>VLOOKUP($AC132,'oddspedia-matches'!$A:$AD,AE$2,0)</f>
        <v>#N/A</v>
      </c>
      <c r="AF132" t="e">
        <f>VLOOKUP($AC132,'oddspedia-matches'!$A:$AD,AF$2,0)</f>
        <v>#N/A</v>
      </c>
      <c r="AG132" t="e">
        <f>VLOOKUP($AC132,'oddspedia-matches'!$A:$AD,AG$2,0)</f>
        <v>#N/A</v>
      </c>
      <c r="AH132" t="e">
        <f>VLOOKUP($AC132,'oddspedia-matches'!$A:$AD,AH$2,0)</f>
        <v>#N/A</v>
      </c>
      <c r="AI132" t="e">
        <f>VLOOKUP($AC132,'oddspedia-matches'!$A:$AD,AI$2,0)</f>
        <v>#N/A</v>
      </c>
      <c r="AJ132" t="e">
        <f>VLOOKUP($AC132,'oddspedia-matches'!$A:$AD,AJ$2,0)</f>
        <v>#N/A</v>
      </c>
      <c r="AK132" t="e">
        <f>VLOOKUP($AC132,'oddspedia-matches'!$A:$AD,AK$2,0)</f>
        <v>#N/A</v>
      </c>
      <c r="AL132" t="e">
        <f>VLOOKUP($AC132,'oddspedia-matches'!$A:$AD,AL$2,0)</f>
        <v>#N/A</v>
      </c>
      <c r="AM132" t="e">
        <f>VLOOKUP($AC132,'oddspedia-matches'!$A:$AD,AM$2,0)</f>
        <v>#N/A</v>
      </c>
      <c r="AN132" t="e">
        <f>VLOOKUP($AC132,'oddspedia-matches'!$A:$AD,AN$2,0)</f>
        <v>#N/A</v>
      </c>
      <c r="AO132" t="e">
        <f>VLOOKUP($AC132,'oddspedia-matches'!$A:$AD,AO$2,0)</f>
        <v>#N/A</v>
      </c>
      <c r="AP132" t="e">
        <f>VLOOKUP($AC132,'oddspedia-matches'!$A:$AD,AP$2,0)</f>
        <v>#N/A</v>
      </c>
      <c r="AQ132" t="e">
        <f>VLOOKUP($AC132,'oddspedia-matches'!$A:$AD,AQ$2,0)</f>
        <v>#N/A</v>
      </c>
      <c r="AR132" t="e">
        <f>VLOOKUP($AC132,'oddspedia-matches'!$A:$AD,AR$2,0)</f>
        <v>#N/A</v>
      </c>
      <c r="AS132" t="e">
        <f>VLOOKUP($AC132,'oddspedia-matches'!$A:$AD,AS$2,0)</f>
        <v>#N/A</v>
      </c>
      <c r="AT132" t="e">
        <f>VLOOKUP($AC132,'oddspedia-matches'!$A:$AD,AT$2,0)</f>
        <v>#N/A</v>
      </c>
    </row>
    <row r="133" spans="2:46" x14ac:dyDescent="0.25">
      <c r="B133" s="17" t="s">
        <v>482</v>
      </c>
      <c r="C133" s="8" t="s">
        <v>508</v>
      </c>
      <c r="D133" s="18">
        <v>6.25E-2</v>
      </c>
      <c r="E133" s="8" t="s">
        <v>514</v>
      </c>
      <c r="F133" s="8" t="s">
        <v>25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s="8" t="s">
        <v>22</v>
      </c>
      <c r="Y133" s="8" t="s">
        <v>22</v>
      </c>
      <c r="Z133" s="19"/>
      <c r="AA133">
        <f>VLOOKUP(E133,'Transform table'!A:B,2,0)</f>
        <v>0</v>
      </c>
      <c r="AB133" t="str">
        <f>VLOOKUP(F133,'Transform table'!A:B,2,0)</f>
        <v>Launceston City</v>
      </c>
      <c r="AC133" t="str">
        <f t="shared" ref="AC133:AC196" si="2">C133&amp;AA133&amp;AB133</f>
        <v>25/07/20260Launceston City</v>
      </c>
      <c r="AD133" t="e">
        <f>VLOOKUP($AC133,'oddspedia-matches'!$A:$AD,AD$2,0)</f>
        <v>#N/A</v>
      </c>
      <c r="AE133" t="e">
        <f>VLOOKUP($AC133,'oddspedia-matches'!$A:$AD,AE$2,0)</f>
        <v>#N/A</v>
      </c>
      <c r="AF133" t="e">
        <f>VLOOKUP($AC133,'oddspedia-matches'!$A:$AD,AF$2,0)</f>
        <v>#N/A</v>
      </c>
      <c r="AG133" t="e">
        <f>VLOOKUP($AC133,'oddspedia-matches'!$A:$AD,AG$2,0)</f>
        <v>#N/A</v>
      </c>
      <c r="AH133" t="e">
        <f>VLOOKUP($AC133,'oddspedia-matches'!$A:$AD,AH$2,0)</f>
        <v>#N/A</v>
      </c>
      <c r="AI133" t="e">
        <f>VLOOKUP($AC133,'oddspedia-matches'!$A:$AD,AI$2,0)</f>
        <v>#N/A</v>
      </c>
      <c r="AJ133" t="e">
        <f>VLOOKUP($AC133,'oddspedia-matches'!$A:$AD,AJ$2,0)</f>
        <v>#N/A</v>
      </c>
      <c r="AK133" t="e">
        <f>VLOOKUP($AC133,'oddspedia-matches'!$A:$AD,AK$2,0)</f>
        <v>#N/A</v>
      </c>
      <c r="AL133" t="e">
        <f>VLOOKUP($AC133,'oddspedia-matches'!$A:$AD,AL$2,0)</f>
        <v>#N/A</v>
      </c>
      <c r="AM133" t="e">
        <f>VLOOKUP($AC133,'oddspedia-matches'!$A:$AD,AM$2,0)</f>
        <v>#N/A</v>
      </c>
      <c r="AN133" t="e">
        <f>VLOOKUP($AC133,'oddspedia-matches'!$A:$AD,AN$2,0)</f>
        <v>#N/A</v>
      </c>
      <c r="AO133" t="e">
        <f>VLOOKUP($AC133,'oddspedia-matches'!$A:$AD,AO$2,0)</f>
        <v>#N/A</v>
      </c>
      <c r="AP133" t="e">
        <f>VLOOKUP($AC133,'oddspedia-matches'!$A:$AD,AP$2,0)</f>
        <v>#N/A</v>
      </c>
      <c r="AQ133" t="e">
        <f>VLOOKUP($AC133,'oddspedia-matches'!$A:$AD,AQ$2,0)</f>
        <v>#N/A</v>
      </c>
      <c r="AR133" t="e">
        <f>VLOOKUP($AC133,'oddspedia-matches'!$A:$AD,AR$2,0)</f>
        <v>#N/A</v>
      </c>
      <c r="AS133" t="e">
        <f>VLOOKUP($AC133,'oddspedia-matches'!$A:$AD,AS$2,0)</f>
        <v>#N/A</v>
      </c>
      <c r="AT133" t="e">
        <f>VLOOKUP($AC133,'oddspedia-matches'!$A:$AD,AT$2,0)</f>
        <v>#N/A</v>
      </c>
    </row>
    <row r="134" spans="2:46" x14ac:dyDescent="0.25">
      <c r="B134" s="9" t="s">
        <v>463</v>
      </c>
      <c r="C134" s="7" t="s">
        <v>508</v>
      </c>
      <c r="D134" s="20">
        <v>8.3333333333333329E-2</v>
      </c>
      <c r="E134" s="7" t="s">
        <v>515</v>
      </c>
      <c r="F134" s="7" t="s">
        <v>24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s="7" t="s">
        <v>22</v>
      </c>
      <c r="Y134" s="7" t="s">
        <v>22</v>
      </c>
      <c r="Z134" s="21"/>
      <c r="AA134">
        <f>VLOOKUP(E134,'Transform table'!A:B,2,0)</f>
        <v>0</v>
      </c>
      <c r="AB134" t="str">
        <f>VLOOKUP(F134,'Transform table'!A:B,2,0)</f>
        <v>Canberra White Eagles</v>
      </c>
      <c r="AC134" t="str">
        <f t="shared" si="2"/>
        <v>25/07/20260Canberra White Eagles</v>
      </c>
      <c r="AD134" t="e">
        <f>VLOOKUP($AC134,'oddspedia-matches'!$A:$AD,AD$2,0)</f>
        <v>#N/A</v>
      </c>
      <c r="AE134" t="e">
        <f>VLOOKUP($AC134,'oddspedia-matches'!$A:$AD,AE$2,0)</f>
        <v>#N/A</v>
      </c>
      <c r="AF134" t="e">
        <f>VLOOKUP($AC134,'oddspedia-matches'!$A:$AD,AF$2,0)</f>
        <v>#N/A</v>
      </c>
      <c r="AG134" t="e">
        <f>VLOOKUP($AC134,'oddspedia-matches'!$A:$AD,AG$2,0)</f>
        <v>#N/A</v>
      </c>
      <c r="AH134" t="e">
        <f>VLOOKUP($AC134,'oddspedia-matches'!$A:$AD,AH$2,0)</f>
        <v>#N/A</v>
      </c>
      <c r="AI134" t="e">
        <f>VLOOKUP($AC134,'oddspedia-matches'!$A:$AD,AI$2,0)</f>
        <v>#N/A</v>
      </c>
      <c r="AJ134" t="e">
        <f>VLOOKUP($AC134,'oddspedia-matches'!$A:$AD,AJ$2,0)</f>
        <v>#N/A</v>
      </c>
      <c r="AK134" t="e">
        <f>VLOOKUP($AC134,'oddspedia-matches'!$A:$AD,AK$2,0)</f>
        <v>#N/A</v>
      </c>
      <c r="AL134" t="e">
        <f>VLOOKUP($AC134,'oddspedia-matches'!$A:$AD,AL$2,0)</f>
        <v>#N/A</v>
      </c>
      <c r="AM134" t="e">
        <f>VLOOKUP($AC134,'oddspedia-matches'!$A:$AD,AM$2,0)</f>
        <v>#N/A</v>
      </c>
      <c r="AN134" t="e">
        <f>VLOOKUP($AC134,'oddspedia-matches'!$A:$AD,AN$2,0)</f>
        <v>#N/A</v>
      </c>
      <c r="AO134" t="e">
        <f>VLOOKUP($AC134,'oddspedia-matches'!$A:$AD,AO$2,0)</f>
        <v>#N/A</v>
      </c>
      <c r="AP134" t="e">
        <f>VLOOKUP($AC134,'oddspedia-matches'!$A:$AD,AP$2,0)</f>
        <v>#N/A</v>
      </c>
      <c r="AQ134" t="e">
        <f>VLOOKUP($AC134,'oddspedia-matches'!$A:$AD,AQ$2,0)</f>
        <v>#N/A</v>
      </c>
      <c r="AR134" t="e">
        <f>VLOOKUP($AC134,'oddspedia-matches'!$A:$AD,AR$2,0)</f>
        <v>#N/A</v>
      </c>
      <c r="AS134" t="e">
        <f>VLOOKUP($AC134,'oddspedia-matches'!$A:$AD,AS$2,0)</f>
        <v>#N/A</v>
      </c>
      <c r="AT134" t="e">
        <f>VLOOKUP($AC134,'oddspedia-matches'!$A:$AD,AT$2,0)</f>
        <v>#N/A</v>
      </c>
    </row>
    <row r="135" spans="2:46" x14ac:dyDescent="0.25">
      <c r="B135" s="17" t="s">
        <v>516</v>
      </c>
      <c r="C135" s="8" t="s">
        <v>508</v>
      </c>
      <c r="D135" s="18">
        <v>8.3333333333333329E-2</v>
      </c>
      <c r="E135" s="8" t="s">
        <v>517</v>
      </c>
      <c r="F135" s="8" t="s">
        <v>518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s="8">
        <v>33.299999999999997</v>
      </c>
      <c r="Y135" s="8">
        <v>33.299999999999997</v>
      </c>
      <c r="Z135" s="19"/>
      <c r="AA135" t="str">
        <f>VLOOKUP(E135,'Transform table'!A:B,2,0)</f>
        <v>Adelaide United</v>
      </c>
      <c r="AB135" t="e">
        <f>VLOOKUP(F135,'Transform table'!A:B,2,0)</f>
        <v>#N/A</v>
      </c>
      <c r="AC135" t="e">
        <f t="shared" si="2"/>
        <v>#N/A</v>
      </c>
      <c r="AD135" t="e">
        <f>VLOOKUP($AC135,'oddspedia-matches'!$A:$AD,AD$2,0)</f>
        <v>#N/A</v>
      </c>
      <c r="AE135" t="e">
        <f>VLOOKUP($AC135,'oddspedia-matches'!$A:$AD,AE$2,0)</f>
        <v>#N/A</v>
      </c>
      <c r="AF135" t="e">
        <f>VLOOKUP($AC135,'oddspedia-matches'!$A:$AD,AF$2,0)</f>
        <v>#N/A</v>
      </c>
      <c r="AG135" t="e">
        <f>VLOOKUP($AC135,'oddspedia-matches'!$A:$AD,AG$2,0)</f>
        <v>#N/A</v>
      </c>
      <c r="AH135" t="e">
        <f>VLOOKUP($AC135,'oddspedia-matches'!$A:$AD,AH$2,0)</f>
        <v>#N/A</v>
      </c>
      <c r="AI135" t="e">
        <f>VLOOKUP($AC135,'oddspedia-matches'!$A:$AD,AI$2,0)</f>
        <v>#N/A</v>
      </c>
      <c r="AJ135" t="e">
        <f>VLOOKUP($AC135,'oddspedia-matches'!$A:$AD,AJ$2,0)</f>
        <v>#N/A</v>
      </c>
      <c r="AK135" t="e">
        <f>VLOOKUP($AC135,'oddspedia-matches'!$A:$AD,AK$2,0)</f>
        <v>#N/A</v>
      </c>
      <c r="AL135" t="e">
        <f>VLOOKUP($AC135,'oddspedia-matches'!$A:$AD,AL$2,0)</f>
        <v>#N/A</v>
      </c>
      <c r="AM135" t="e">
        <f>VLOOKUP($AC135,'oddspedia-matches'!$A:$AD,AM$2,0)</f>
        <v>#N/A</v>
      </c>
      <c r="AN135" t="e">
        <f>VLOOKUP($AC135,'oddspedia-matches'!$A:$AD,AN$2,0)</f>
        <v>#N/A</v>
      </c>
      <c r="AO135" t="e">
        <f>VLOOKUP($AC135,'oddspedia-matches'!$A:$AD,AO$2,0)</f>
        <v>#N/A</v>
      </c>
      <c r="AP135" t="e">
        <f>VLOOKUP($AC135,'oddspedia-matches'!$A:$AD,AP$2,0)</f>
        <v>#N/A</v>
      </c>
      <c r="AQ135" t="e">
        <f>VLOOKUP($AC135,'oddspedia-matches'!$A:$AD,AQ$2,0)</f>
        <v>#N/A</v>
      </c>
      <c r="AR135" t="e">
        <f>VLOOKUP($AC135,'oddspedia-matches'!$A:$AD,AR$2,0)</f>
        <v>#N/A</v>
      </c>
      <c r="AS135" t="e">
        <f>VLOOKUP($AC135,'oddspedia-matches'!$A:$AD,AS$2,0)</f>
        <v>#N/A</v>
      </c>
      <c r="AT135" t="e">
        <f>VLOOKUP($AC135,'oddspedia-matches'!$A:$AD,AT$2,0)</f>
        <v>#N/A</v>
      </c>
    </row>
    <row r="136" spans="2:46" x14ac:dyDescent="0.25">
      <c r="B136" s="9" t="s">
        <v>516</v>
      </c>
      <c r="C136" s="7" t="s">
        <v>508</v>
      </c>
      <c r="D136" s="20">
        <v>8.3333333333333329E-2</v>
      </c>
      <c r="E136" s="7" t="s">
        <v>519</v>
      </c>
      <c r="F136" s="7" t="s">
        <v>520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s="7" t="s">
        <v>22</v>
      </c>
      <c r="Y136" s="7" t="s">
        <v>22</v>
      </c>
      <c r="Z136" s="21"/>
      <c r="AA136">
        <f>VLOOKUP(E136,'Transform table'!A:B,2,0)</f>
        <v>0</v>
      </c>
      <c r="AB136" t="e">
        <f>VLOOKUP(F136,'Transform table'!A:B,2,0)</f>
        <v>#N/A</v>
      </c>
      <c r="AC136" t="e">
        <f t="shared" si="2"/>
        <v>#N/A</v>
      </c>
      <c r="AD136" t="e">
        <f>VLOOKUP($AC136,'oddspedia-matches'!$A:$AD,AD$2,0)</f>
        <v>#N/A</v>
      </c>
      <c r="AE136" t="e">
        <f>VLOOKUP($AC136,'oddspedia-matches'!$A:$AD,AE$2,0)</f>
        <v>#N/A</v>
      </c>
      <c r="AF136" t="e">
        <f>VLOOKUP($AC136,'oddspedia-matches'!$A:$AD,AF$2,0)</f>
        <v>#N/A</v>
      </c>
      <c r="AG136" t="e">
        <f>VLOOKUP($AC136,'oddspedia-matches'!$A:$AD,AG$2,0)</f>
        <v>#N/A</v>
      </c>
      <c r="AH136" t="e">
        <f>VLOOKUP($AC136,'oddspedia-matches'!$A:$AD,AH$2,0)</f>
        <v>#N/A</v>
      </c>
      <c r="AI136" t="e">
        <f>VLOOKUP($AC136,'oddspedia-matches'!$A:$AD,AI$2,0)</f>
        <v>#N/A</v>
      </c>
      <c r="AJ136" t="e">
        <f>VLOOKUP($AC136,'oddspedia-matches'!$A:$AD,AJ$2,0)</f>
        <v>#N/A</v>
      </c>
      <c r="AK136" t="e">
        <f>VLOOKUP($AC136,'oddspedia-matches'!$A:$AD,AK$2,0)</f>
        <v>#N/A</v>
      </c>
      <c r="AL136" t="e">
        <f>VLOOKUP($AC136,'oddspedia-matches'!$A:$AD,AL$2,0)</f>
        <v>#N/A</v>
      </c>
      <c r="AM136" t="e">
        <f>VLOOKUP($AC136,'oddspedia-matches'!$A:$AD,AM$2,0)</f>
        <v>#N/A</v>
      </c>
      <c r="AN136" t="e">
        <f>VLOOKUP($AC136,'oddspedia-matches'!$A:$AD,AN$2,0)</f>
        <v>#N/A</v>
      </c>
      <c r="AO136" t="e">
        <f>VLOOKUP($AC136,'oddspedia-matches'!$A:$AD,AO$2,0)</f>
        <v>#N/A</v>
      </c>
      <c r="AP136" t="e">
        <f>VLOOKUP($AC136,'oddspedia-matches'!$A:$AD,AP$2,0)</f>
        <v>#N/A</v>
      </c>
      <c r="AQ136" t="e">
        <f>VLOOKUP($AC136,'oddspedia-matches'!$A:$AD,AQ$2,0)</f>
        <v>#N/A</v>
      </c>
      <c r="AR136" t="e">
        <f>VLOOKUP($AC136,'oddspedia-matches'!$A:$AD,AR$2,0)</f>
        <v>#N/A</v>
      </c>
      <c r="AS136" t="e">
        <f>VLOOKUP($AC136,'oddspedia-matches'!$A:$AD,AS$2,0)</f>
        <v>#N/A</v>
      </c>
      <c r="AT136" t="e">
        <f>VLOOKUP($AC136,'oddspedia-matches'!$A:$AD,AT$2,0)</f>
        <v>#N/A</v>
      </c>
    </row>
    <row r="137" spans="2:46" x14ac:dyDescent="0.25">
      <c r="B137" s="17" t="s">
        <v>490</v>
      </c>
      <c r="C137" s="8" t="s">
        <v>508</v>
      </c>
      <c r="D137" s="18">
        <v>8.3333333333333329E-2</v>
      </c>
      <c r="E137" s="8" t="s">
        <v>521</v>
      </c>
      <c r="F137" s="8" t="s">
        <v>522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s="8" t="s">
        <v>22</v>
      </c>
      <c r="Y137" s="8" t="s">
        <v>22</v>
      </c>
      <c r="Z137" s="19"/>
      <c r="AA137">
        <f>VLOOKUP(E137,'Transform table'!A:B,2,0)</f>
        <v>0</v>
      </c>
      <c r="AB137" t="e">
        <f>VLOOKUP(F137,'Transform table'!A:B,2,0)</f>
        <v>#N/A</v>
      </c>
      <c r="AC137" t="e">
        <f t="shared" si="2"/>
        <v>#N/A</v>
      </c>
      <c r="AD137" t="e">
        <f>VLOOKUP($AC137,'oddspedia-matches'!$A:$AD,AD$2,0)</f>
        <v>#N/A</v>
      </c>
      <c r="AE137" t="e">
        <f>VLOOKUP($AC137,'oddspedia-matches'!$A:$AD,AE$2,0)</f>
        <v>#N/A</v>
      </c>
      <c r="AF137" t="e">
        <f>VLOOKUP($AC137,'oddspedia-matches'!$A:$AD,AF$2,0)</f>
        <v>#N/A</v>
      </c>
      <c r="AG137" t="e">
        <f>VLOOKUP($AC137,'oddspedia-matches'!$A:$AD,AG$2,0)</f>
        <v>#N/A</v>
      </c>
      <c r="AH137" t="e">
        <f>VLOOKUP($AC137,'oddspedia-matches'!$A:$AD,AH$2,0)</f>
        <v>#N/A</v>
      </c>
      <c r="AI137" t="e">
        <f>VLOOKUP($AC137,'oddspedia-matches'!$A:$AD,AI$2,0)</f>
        <v>#N/A</v>
      </c>
      <c r="AJ137" t="e">
        <f>VLOOKUP($AC137,'oddspedia-matches'!$A:$AD,AJ$2,0)</f>
        <v>#N/A</v>
      </c>
      <c r="AK137" t="e">
        <f>VLOOKUP($AC137,'oddspedia-matches'!$A:$AD,AK$2,0)</f>
        <v>#N/A</v>
      </c>
      <c r="AL137" t="e">
        <f>VLOOKUP($AC137,'oddspedia-matches'!$A:$AD,AL$2,0)</f>
        <v>#N/A</v>
      </c>
      <c r="AM137" t="e">
        <f>VLOOKUP($AC137,'oddspedia-matches'!$A:$AD,AM$2,0)</f>
        <v>#N/A</v>
      </c>
      <c r="AN137" t="e">
        <f>VLOOKUP($AC137,'oddspedia-matches'!$A:$AD,AN$2,0)</f>
        <v>#N/A</v>
      </c>
      <c r="AO137" t="e">
        <f>VLOOKUP($AC137,'oddspedia-matches'!$A:$AD,AO$2,0)</f>
        <v>#N/A</v>
      </c>
      <c r="AP137" t="e">
        <f>VLOOKUP($AC137,'oddspedia-matches'!$A:$AD,AP$2,0)</f>
        <v>#N/A</v>
      </c>
      <c r="AQ137" t="e">
        <f>VLOOKUP($AC137,'oddspedia-matches'!$A:$AD,AQ$2,0)</f>
        <v>#N/A</v>
      </c>
      <c r="AR137" t="e">
        <f>VLOOKUP($AC137,'oddspedia-matches'!$A:$AD,AR$2,0)</f>
        <v>#N/A</v>
      </c>
      <c r="AS137" t="e">
        <f>VLOOKUP($AC137,'oddspedia-matches'!$A:$AD,AS$2,0)</f>
        <v>#N/A</v>
      </c>
      <c r="AT137" t="e">
        <f>VLOOKUP($AC137,'oddspedia-matches'!$A:$AD,AT$2,0)</f>
        <v>#N/A</v>
      </c>
    </row>
    <row r="138" spans="2:46" x14ac:dyDescent="0.25">
      <c r="B138" s="9" t="s">
        <v>516</v>
      </c>
      <c r="C138" s="7" t="s">
        <v>508</v>
      </c>
      <c r="D138" s="20">
        <v>0.10416666666666667</v>
      </c>
      <c r="E138" s="7" t="s">
        <v>523</v>
      </c>
      <c r="F138" s="7" t="s">
        <v>524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s="7">
        <v>22.2</v>
      </c>
      <c r="Y138" s="7">
        <v>22.2</v>
      </c>
      <c r="Z138" s="21"/>
      <c r="AA138">
        <f>VLOOKUP(E138,'Transform table'!A:B,2,0)</f>
        <v>0</v>
      </c>
      <c r="AB138" t="e">
        <f>VLOOKUP(F138,'Transform table'!A:B,2,0)</f>
        <v>#N/A</v>
      </c>
      <c r="AC138" t="e">
        <f t="shared" si="2"/>
        <v>#N/A</v>
      </c>
      <c r="AD138" t="e">
        <f>VLOOKUP($AC138,'oddspedia-matches'!$A:$AD,AD$2,0)</f>
        <v>#N/A</v>
      </c>
      <c r="AE138" t="e">
        <f>VLOOKUP($AC138,'oddspedia-matches'!$A:$AD,AE$2,0)</f>
        <v>#N/A</v>
      </c>
      <c r="AF138" t="e">
        <f>VLOOKUP($AC138,'oddspedia-matches'!$A:$AD,AF$2,0)</f>
        <v>#N/A</v>
      </c>
      <c r="AG138" t="e">
        <f>VLOOKUP($AC138,'oddspedia-matches'!$A:$AD,AG$2,0)</f>
        <v>#N/A</v>
      </c>
      <c r="AH138" t="e">
        <f>VLOOKUP($AC138,'oddspedia-matches'!$A:$AD,AH$2,0)</f>
        <v>#N/A</v>
      </c>
      <c r="AI138" t="e">
        <f>VLOOKUP($AC138,'oddspedia-matches'!$A:$AD,AI$2,0)</f>
        <v>#N/A</v>
      </c>
      <c r="AJ138" t="e">
        <f>VLOOKUP($AC138,'oddspedia-matches'!$A:$AD,AJ$2,0)</f>
        <v>#N/A</v>
      </c>
      <c r="AK138" t="e">
        <f>VLOOKUP($AC138,'oddspedia-matches'!$A:$AD,AK$2,0)</f>
        <v>#N/A</v>
      </c>
      <c r="AL138" t="e">
        <f>VLOOKUP($AC138,'oddspedia-matches'!$A:$AD,AL$2,0)</f>
        <v>#N/A</v>
      </c>
      <c r="AM138" t="e">
        <f>VLOOKUP($AC138,'oddspedia-matches'!$A:$AD,AM$2,0)</f>
        <v>#N/A</v>
      </c>
      <c r="AN138" t="e">
        <f>VLOOKUP($AC138,'oddspedia-matches'!$A:$AD,AN$2,0)</f>
        <v>#N/A</v>
      </c>
      <c r="AO138" t="e">
        <f>VLOOKUP($AC138,'oddspedia-matches'!$A:$AD,AO$2,0)</f>
        <v>#N/A</v>
      </c>
      <c r="AP138" t="e">
        <f>VLOOKUP($AC138,'oddspedia-matches'!$A:$AD,AP$2,0)</f>
        <v>#N/A</v>
      </c>
      <c r="AQ138" t="e">
        <f>VLOOKUP($AC138,'oddspedia-matches'!$A:$AD,AQ$2,0)</f>
        <v>#N/A</v>
      </c>
      <c r="AR138" t="e">
        <f>VLOOKUP($AC138,'oddspedia-matches'!$A:$AD,AR$2,0)</f>
        <v>#N/A</v>
      </c>
      <c r="AS138" t="e">
        <f>VLOOKUP($AC138,'oddspedia-matches'!$A:$AD,AS$2,0)</f>
        <v>#N/A</v>
      </c>
      <c r="AT138" t="e">
        <f>VLOOKUP($AC138,'oddspedia-matches'!$A:$AD,AT$2,0)</f>
        <v>#N/A</v>
      </c>
    </row>
    <row r="139" spans="2:46" x14ac:dyDescent="0.25">
      <c r="B139" s="17" t="s">
        <v>516</v>
      </c>
      <c r="C139" s="8" t="s">
        <v>508</v>
      </c>
      <c r="D139" s="18">
        <v>0.10416666666666667</v>
      </c>
      <c r="E139" s="8" t="s">
        <v>525</v>
      </c>
      <c r="F139" s="8" t="s">
        <v>526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s="8">
        <v>0</v>
      </c>
      <c r="Y139" s="8">
        <v>11.1</v>
      </c>
      <c r="Z139" s="19"/>
      <c r="AA139">
        <f>VLOOKUP(E139,'Transform table'!A:B,2,0)</f>
        <v>0</v>
      </c>
      <c r="AB139" t="e">
        <f>VLOOKUP(F139,'Transform table'!A:B,2,0)</f>
        <v>#N/A</v>
      </c>
      <c r="AC139" t="e">
        <f t="shared" si="2"/>
        <v>#N/A</v>
      </c>
      <c r="AD139" t="e">
        <f>VLOOKUP($AC139,'oddspedia-matches'!$A:$AD,AD$2,0)</f>
        <v>#N/A</v>
      </c>
      <c r="AE139" t="e">
        <f>VLOOKUP($AC139,'oddspedia-matches'!$A:$AD,AE$2,0)</f>
        <v>#N/A</v>
      </c>
      <c r="AF139" t="e">
        <f>VLOOKUP($AC139,'oddspedia-matches'!$A:$AD,AF$2,0)</f>
        <v>#N/A</v>
      </c>
      <c r="AG139" t="e">
        <f>VLOOKUP($AC139,'oddspedia-matches'!$A:$AD,AG$2,0)</f>
        <v>#N/A</v>
      </c>
      <c r="AH139" t="e">
        <f>VLOOKUP($AC139,'oddspedia-matches'!$A:$AD,AH$2,0)</f>
        <v>#N/A</v>
      </c>
      <c r="AI139" t="e">
        <f>VLOOKUP($AC139,'oddspedia-matches'!$A:$AD,AI$2,0)</f>
        <v>#N/A</v>
      </c>
      <c r="AJ139" t="e">
        <f>VLOOKUP($AC139,'oddspedia-matches'!$A:$AD,AJ$2,0)</f>
        <v>#N/A</v>
      </c>
      <c r="AK139" t="e">
        <f>VLOOKUP($AC139,'oddspedia-matches'!$A:$AD,AK$2,0)</f>
        <v>#N/A</v>
      </c>
      <c r="AL139" t="e">
        <f>VLOOKUP($AC139,'oddspedia-matches'!$A:$AD,AL$2,0)</f>
        <v>#N/A</v>
      </c>
      <c r="AM139" t="e">
        <f>VLOOKUP($AC139,'oddspedia-matches'!$A:$AD,AM$2,0)</f>
        <v>#N/A</v>
      </c>
      <c r="AN139" t="e">
        <f>VLOOKUP($AC139,'oddspedia-matches'!$A:$AD,AN$2,0)</f>
        <v>#N/A</v>
      </c>
      <c r="AO139" t="e">
        <f>VLOOKUP($AC139,'oddspedia-matches'!$A:$AD,AO$2,0)</f>
        <v>#N/A</v>
      </c>
      <c r="AP139" t="e">
        <f>VLOOKUP($AC139,'oddspedia-matches'!$A:$AD,AP$2,0)</f>
        <v>#N/A</v>
      </c>
      <c r="AQ139" t="e">
        <f>VLOOKUP($AC139,'oddspedia-matches'!$A:$AD,AQ$2,0)</f>
        <v>#N/A</v>
      </c>
      <c r="AR139" t="e">
        <f>VLOOKUP($AC139,'oddspedia-matches'!$A:$AD,AR$2,0)</f>
        <v>#N/A</v>
      </c>
      <c r="AS139" t="e">
        <f>VLOOKUP($AC139,'oddspedia-matches'!$A:$AD,AS$2,0)</f>
        <v>#N/A</v>
      </c>
      <c r="AT139" t="e">
        <f>VLOOKUP($AC139,'oddspedia-matches'!$A:$AD,AT$2,0)</f>
        <v>#N/A</v>
      </c>
    </row>
    <row r="140" spans="2:46" x14ac:dyDescent="0.25">
      <c r="B140" s="9" t="s">
        <v>516</v>
      </c>
      <c r="C140" s="7" t="s">
        <v>508</v>
      </c>
      <c r="D140" s="20">
        <v>0.10416666666666667</v>
      </c>
      <c r="E140" s="7" t="s">
        <v>527</v>
      </c>
      <c r="F140" s="7" t="s">
        <v>528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s="7" t="s">
        <v>22</v>
      </c>
      <c r="Y140" s="7" t="s">
        <v>22</v>
      </c>
      <c r="Z140" s="21"/>
      <c r="AA140">
        <f>VLOOKUP(E140,'Transform table'!A:B,2,0)</f>
        <v>0</v>
      </c>
      <c r="AB140" t="e">
        <f>VLOOKUP(F140,'Transform table'!A:B,2,0)</f>
        <v>#N/A</v>
      </c>
      <c r="AC140" t="e">
        <f t="shared" si="2"/>
        <v>#N/A</v>
      </c>
      <c r="AD140" t="e">
        <f>VLOOKUP($AC140,'oddspedia-matches'!$A:$AD,AD$2,0)</f>
        <v>#N/A</v>
      </c>
      <c r="AE140" t="e">
        <f>VLOOKUP($AC140,'oddspedia-matches'!$A:$AD,AE$2,0)</f>
        <v>#N/A</v>
      </c>
      <c r="AF140" t="e">
        <f>VLOOKUP($AC140,'oddspedia-matches'!$A:$AD,AF$2,0)</f>
        <v>#N/A</v>
      </c>
      <c r="AG140" t="e">
        <f>VLOOKUP($AC140,'oddspedia-matches'!$A:$AD,AG$2,0)</f>
        <v>#N/A</v>
      </c>
      <c r="AH140" t="e">
        <f>VLOOKUP($AC140,'oddspedia-matches'!$A:$AD,AH$2,0)</f>
        <v>#N/A</v>
      </c>
      <c r="AI140" t="e">
        <f>VLOOKUP($AC140,'oddspedia-matches'!$A:$AD,AI$2,0)</f>
        <v>#N/A</v>
      </c>
      <c r="AJ140" t="e">
        <f>VLOOKUP($AC140,'oddspedia-matches'!$A:$AD,AJ$2,0)</f>
        <v>#N/A</v>
      </c>
      <c r="AK140" t="e">
        <f>VLOOKUP($AC140,'oddspedia-matches'!$A:$AD,AK$2,0)</f>
        <v>#N/A</v>
      </c>
      <c r="AL140" t="e">
        <f>VLOOKUP($AC140,'oddspedia-matches'!$A:$AD,AL$2,0)</f>
        <v>#N/A</v>
      </c>
      <c r="AM140" t="e">
        <f>VLOOKUP($AC140,'oddspedia-matches'!$A:$AD,AM$2,0)</f>
        <v>#N/A</v>
      </c>
      <c r="AN140" t="e">
        <f>VLOOKUP($AC140,'oddspedia-matches'!$A:$AD,AN$2,0)</f>
        <v>#N/A</v>
      </c>
      <c r="AO140" t="e">
        <f>VLOOKUP($AC140,'oddspedia-matches'!$A:$AD,AO$2,0)</f>
        <v>#N/A</v>
      </c>
      <c r="AP140" t="e">
        <f>VLOOKUP($AC140,'oddspedia-matches'!$A:$AD,AP$2,0)</f>
        <v>#N/A</v>
      </c>
      <c r="AQ140" t="e">
        <f>VLOOKUP($AC140,'oddspedia-matches'!$A:$AD,AQ$2,0)</f>
        <v>#N/A</v>
      </c>
      <c r="AR140" t="e">
        <f>VLOOKUP($AC140,'oddspedia-matches'!$A:$AD,AR$2,0)</f>
        <v>#N/A</v>
      </c>
      <c r="AS140" t="e">
        <f>VLOOKUP($AC140,'oddspedia-matches'!$A:$AD,AS$2,0)</f>
        <v>#N/A</v>
      </c>
      <c r="AT140" t="e">
        <f>VLOOKUP($AC140,'oddspedia-matches'!$A:$AD,AT$2,0)</f>
        <v>#N/A</v>
      </c>
    </row>
    <row r="141" spans="2:46" x14ac:dyDescent="0.25">
      <c r="B141" s="17" t="s">
        <v>463</v>
      </c>
      <c r="C141" s="8" t="s">
        <v>508</v>
      </c>
      <c r="D141" s="18">
        <v>0.14583333333333334</v>
      </c>
      <c r="E141" s="8" t="s">
        <v>529</v>
      </c>
      <c r="F141" s="8" t="s">
        <v>530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s="8">
        <v>14.3</v>
      </c>
      <c r="Y141" s="8">
        <v>16.7</v>
      </c>
      <c r="Z141" s="19"/>
      <c r="AA141">
        <f>VLOOKUP(E141,'Transform table'!A:B,2,0)</f>
        <v>0</v>
      </c>
      <c r="AB141" t="e">
        <f>VLOOKUP(F141,'Transform table'!A:B,2,0)</f>
        <v>#N/A</v>
      </c>
      <c r="AC141" t="e">
        <f t="shared" si="2"/>
        <v>#N/A</v>
      </c>
      <c r="AD141" t="e">
        <f>VLOOKUP($AC141,'oddspedia-matches'!$A:$AD,AD$2,0)</f>
        <v>#N/A</v>
      </c>
      <c r="AE141" t="e">
        <f>VLOOKUP($AC141,'oddspedia-matches'!$A:$AD,AE$2,0)</f>
        <v>#N/A</v>
      </c>
      <c r="AF141" t="e">
        <f>VLOOKUP($AC141,'oddspedia-matches'!$A:$AD,AF$2,0)</f>
        <v>#N/A</v>
      </c>
      <c r="AG141" t="e">
        <f>VLOOKUP($AC141,'oddspedia-matches'!$A:$AD,AG$2,0)</f>
        <v>#N/A</v>
      </c>
      <c r="AH141" t="e">
        <f>VLOOKUP($AC141,'oddspedia-matches'!$A:$AD,AH$2,0)</f>
        <v>#N/A</v>
      </c>
      <c r="AI141" t="e">
        <f>VLOOKUP($AC141,'oddspedia-matches'!$A:$AD,AI$2,0)</f>
        <v>#N/A</v>
      </c>
      <c r="AJ141" t="e">
        <f>VLOOKUP($AC141,'oddspedia-matches'!$A:$AD,AJ$2,0)</f>
        <v>#N/A</v>
      </c>
      <c r="AK141" t="e">
        <f>VLOOKUP($AC141,'oddspedia-matches'!$A:$AD,AK$2,0)</f>
        <v>#N/A</v>
      </c>
      <c r="AL141" t="e">
        <f>VLOOKUP($AC141,'oddspedia-matches'!$A:$AD,AL$2,0)</f>
        <v>#N/A</v>
      </c>
      <c r="AM141" t="e">
        <f>VLOOKUP($AC141,'oddspedia-matches'!$A:$AD,AM$2,0)</f>
        <v>#N/A</v>
      </c>
      <c r="AN141" t="e">
        <f>VLOOKUP($AC141,'oddspedia-matches'!$A:$AD,AN$2,0)</f>
        <v>#N/A</v>
      </c>
      <c r="AO141" t="e">
        <f>VLOOKUP($AC141,'oddspedia-matches'!$A:$AD,AO$2,0)</f>
        <v>#N/A</v>
      </c>
      <c r="AP141" t="e">
        <f>VLOOKUP($AC141,'oddspedia-matches'!$A:$AD,AP$2,0)</f>
        <v>#N/A</v>
      </c>
      <c r="AQ141" t="e">
        <f>VLOOKUP($AC141,'oddspedia-matches'!$A:$AD,AQ$2,0)</f>
        <v>#N/A</v>
      </c>
      <c r="AR141" t="e">
        <f>VLOOKUP($AC141,'oddspedia-matches'!$A:$AD,AR$2,0)</f>
        <v>#N/A</v>
      </c>
      <c r="AS141" t="e">
        <f>VLOOKUP($AC141,'oddspedia-matches'!$A:$AD,AS$2,0)</f>
        <v>#N/A</v>
      </c>
      <c r="AT141" t="e">
        <f>VLOOKUP($AC141,'oddspedia-matches'!$A:$AD,AT$2,0)</f>
        <v>#N/A</v>
      </c>
    </row>
    <row r="142" spans="2:46" x14ac:dyDescent="0.25">
      <c r="B142" s="9" t="s">
        <v>481</v>
      </c>
      <c r="C142" s="7" t="s">
        <v>508</v>
      </c>
      <c r="D142" s="20">
        <v>0.14583333333333334</v>
      </c>
      <c r="E142" s="7" t="s">
        <v>531</v>
      </c>
      <c r="F142" s="7" t="s">
        <v>532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s="7">
        <v>11.1</v>
      </c>
      <c r="Y142" s="7">
        <v>11.1</v>
      </c>
      <c r="Z142" s="21"/>
      <c r="AA142" t="str">
        <f>VLOOKUP(E142,'Transform table'!A:B,2,0)</f>
        <v>Maitland FC</v>
      </c>
      <c r="AB142" t="e">
        <f>VLOOKUP(F142,'Transform table'!A:B,2,0)</f>
        <v>#N/A</v>
      </c>
      <c r="AC142" t="e">
        <f t="shared" si="2"/>
        <v>#N/A</v>
      </c>
      <c r="AD142" t="e">
        <f>VLOOKUP($AC142,'oddspedia-matches'!$A:$AD,AD$2,0)</f>
        <v>#N/A</v>
      </c>
      <c r="AE142" t="e">
        <f>VLOOKUP($AC142,'oddspedia-matches'!$A:$AD,AE$2,0)</f>
        <v>#N/A</v>
      </c>
      <c r="AF142" t="e">
        <f>VLOOKUP($AC142,'oddspedia-matches'!$A:$AD,AF$2,0)</f>
        <v>#N/A</v>
      </c>
      <c r="AG142" t="e">
        <f>VLOOKUP($AC142,'oddspedia-matches'!$A:$AD,AG$2,0)</f>
        <v>#N/A</v>
      </c>
      <c r="AH142" t="e">
        <f>VLOOKUP($AC142,'oddspedia-matches'!$A:$AD,AH$2,0)</f>
        <v>#N/A</v>
      </c>
      <c r="AI142" t="e">
        <f>VLOOKUP($AC142,'oddspedia-matches'!$A:$AD,AI$2,0)</f>
        <v>#N/A</v>
      </c>
      <c r="AJ142" t="e">
        <f>VLOOKUP($AC142,'oddspedia-matches'!$A:$AD,AJ$2,0)</f>
        <v>#N/A</v>
      </c>
      <c r="AK142" t="e">
        <f>VLOOKUP($AC142,'oddspedia-matches'!$A:$AD,AK$2,0)</f>
        <v>#N/A</v>
      </c>
      <c r="AL142" t="e">
        <f>VLOOKUP($AC142,'oddspedia-matches'!$A:$AD,AL$2,0)</f>
        <v>#N/A</v>
      </c>
      <c r="AM142" t="e">
        <f>VLOOKUP($AC142,'oddspedia-matches'!$A:$AD,AM$2,0)</f>
        <v>#N/A</v>
      </c>
      <c r="AN142" t="e">
        <f>VLOOKUP($AC142,'oddspedia-matches'!$A:$AD,AN$2,0)</f>
        <v>#N/A</v>
      </c>
      <c r="AO142" t="e">
        <f>VLOOKUP($AC142,'oddspedia-matches'!$A:$AD,AO$2,0)</f>
        <v>#N/A</v>
      </c>
      <c r="AP142" t="e">
        <f>VLOOKUP($AC142,'oddspedia-matches'!$A:$AD,AP$2,0)</f>
        <v>#N/A</v>
      </c>
      <c r="AQ142" t="e">
        <f>VLOOKUP($AC142,'oddspedia-matches'!$A:$AD,AQ$2,0)</f>
        <v>#N/A</v>
      </c>
      <c r="AR142" t="e">
        <f>VLOOKUP($AC142,'oddspedia-matches'!$A:$AD,AR$2,0)</f>
        <v>#N/A</v>
      </c>
      <c r="AS142" t="e">
        <f>VLOOKUP($AC142,'oddspedia-matches'!$A:$AD,AS$2,0)</f>
        <v>#N/A</v>
      </c>
      <c r="AT142" t="e">
        <f>VLOOKUP($AC142,'oddspedia-matches'!$A:$AD,AT$2,0)</f>
        <v>#N/A</v>
      </c>
    </row>
    <row r="143" spans="2:46" x14ac:dyDescent="0.25">
      <c r="B143" s="17" t="s">
        <v>481</v>
      </c>
      <c r="C143" s="8" t="s">
        <v>508</v>
      </c>
      <c r="D143" s="18">
        <v>0.14583333333333334</v>
      </c>
      <c r="E143" s="8" t="s">
        <v>533</v>
      </c>
      <c r="F143" s="8" t="s">
        <v>534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s="8">
        <v>33.299999999999997</v>
      </c>
      <c r="Y143" s="8">
        <v>12.5</v>
      </c>
      <c r="Z143" s="19"/>
      <c r="AA143">
        <f>VLOOKUP(E143,'Transform table'!A:B,2,0)</f>
        <v>0</v>
      </c>
      <c r="AB143" t="e">
        <f>VLOOKUP(F143,'Transform table'!A:B,2,0)</f>
        <v>#N/A</v>
      </c>
      <c r="AC143" t="e">
        <f t="shared" si="2"/>
        <v>#N/A</v>
      </c>
      <c r="AD143" t="e">
        <f>VLOOKUP($AC143,'oddspedia-matches'!$A:$AD,AD$2,0)</f>
        <v>#N/A</v>
      </c>
      <c r="AE143" t="e">
        <f>VLOOKUP($AC143,'oddspedia-matches'!$A:$AD,AE$2,0)</f>
        <v>#N/A</v>
      </c>
      <c r="AF143" t="e">
        <f>VLOOKUP($AC143,'oddspedia-matches'!$A:$AD,AF$2,0)</f>
        <v>#N/A</v>
      </c>
      <c r="AG143" t="e">
        <f>VLOOKUP($AC143,'oddspedia-matches'!$A:$AD,AG$2,0)</f>
        <v>#N/A</v>
      </c>
      <c r="AH143" t="e">
        <f>VLOOKUP($AC143,'oddspedia-matches'!$A:$AD,AH$2,0)</f>
        <v>#N/A</v>
      </c>
      <c r="AI143" t="e">
        <f>VLOOKUP($AC143,'oddspedia-matches'!$A:$AD,AI$2,0)</f>
        <v>#N/A</v>
      </c>
      <c r="AJ143" t="e">
        <f>VLOOKUP($AC143,'oddspedia-matches'!$A:$AD,AJ$2,0)</f>
        <v>#N/A</v>
      </c>
      <c r="AK143" t="e">
        <f>VLOOKUP($AC143,'oddspedia-matches'!$A:$AD,AK$2,0)</f>
        <v>#N/A</v>
      </c>
      <c r="AL143" t="e">
        <f>VLOOKUP($AC143,'oddspedia-matches'!$A:$AD,AL$2,0)</f>
        <v>#N/A</v>
      </c>
      <c r="AM143" t="e">
        <f>VLOOKUP($AC143,'oddspedia-matches'!$A:$AD,AM$2,0)</f>
        <v>#N/A</v>
      </c>
      <c r="AN143" t="e">
        <f>VLOOKUP($AC143,'oddspedia-matches'!$A:$AD,AN$2,0)</f>
        <v>#N/A</v>
      </c>
      <c r="AO143" t="e">
        <f>VLOOKUP($AC143,'oddspedia-matches'!$A:$AD,AO$2,0)</f>
        <v>#N/A</v>
      </c>
      <c r="AP143" t="e">
        <f>VLOOKUP($AC143,'oddspedia-matches'!$A:$AD,AP$2,0)</f>
        <v>#N/A</v>
      </c>
      <c r="AQ143" t="e">
        <f>VLOOKUP($AC143,'oddspedia-matches'!$A:$AD,AQ$2,0)</f>
        <v>#N/A</v>
      </c>
      <c r="AR143" t="e">
        <f>VLOOKUP($AC143,'oddspedia-matches'!$A:$AD,AR$2,0)</f>
        <v>#N/A</v>
      </c>
      <c r="AS143" t="e">
        <f>VLOOKUP($AC143,'oddspedia-matches'!$A:$AD,AS$2,0)</f>
        <v>#N/A</v>
      </c>
      <c r="AT143" t="e">
        <f>VLOOKUP($AC143,'oddspedia-matches'!$A:$AD,AT$2,0)</f>
        <v>#N/A</v>
      </c>
    </row>
    <row r="144" spans="2:46" x14ac:dyDescent="0.25">
      <c r="B144" s="9" t="s">
        <v>489</v>
      </c>
      <c r="C144" s="7" t="s">
        <v>508</v>
      </c>
      <c r="D144" s="20">
        <v>0.16666666666666666</v>
      </c>
      <c r="E144" s="7" t="s">
        <v>535</v>
      </c>
      <c r="F144" s="7" t="s">
        <v>536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s="7" t="s">
        <v>22</v>
      </c>
      <c r="Y144" s="7" t="s">
        <v>22</v>
      </c>
      <c r="Z144" s="21"/>
      <c r="AA144">
        <f>VLOOKUP(E144,'Transform table'!A:B,2,0)</f>
        <v>0</v>
      </c>
      <c r="AB144" t="e">
        <f>VLOOKUP(F144,'Transform table'!A:B,2,0)</f>
        <v>#N/A</v>
      </c>
      <c r="AC144" t="e">
        <f t="shared" si="2"/>
        <v>#N/A</v>
      </c>
      <c r="AD144" t="e">
        <f>VLOOKUP($AC144,'oddspedia-matches'!$A:$AD,AD$2,0)</f>
        <v>#N/A</v>
      </c>
      <c r="AE144" t="e">
        <f>VLOOKUP($AC144,'oddspedia-matches'!$A:$AD,AE$2,0)</f>
        <v>#N/A</v>
      </c>
      <c r="AF144" t="e">
        <f>VLOOKUP($AC144,'oddspedia-matches'!$A:$AD,AF$2,0)</f>
        <v>#N/A</v>
      </c>
      <c r="AG144" t="e">
        <f>VLOOKUP($AC144,'oddspedia-matches'!$A:$AD,AG$2,0)</f>
        <v>#N/A</v>
      </c>
      <c r="AH144" t="e">
        <f>VLOOKUP($AC144,'oddspedia-matches'!$A:$AD,AH$2,0)</f>
        <v>#N/A</v>
      </c>
      <c r="AI144" t="e">
        <f>VLOOKUP($AC144,'oddspedia-matches'!$A:$AD,AI$2,0)</f>
        <v>#N/A</v>
      </c>
      <c r="AJ144" t="e">
        <f>VLOOKUP($AC144,'oddspedia-matches'!$A:$AD,AJ$2,0)</f>
        <v>#N/A</v>
      </c>
      <c r="AK144" t="e">
        <f>VLOOKUP($AC144,'oddspedia-matches'!$A:$AD,AK$2,0)</f>
        <v>#N/A</v>
      </c>
      <c r="AL144" t="e">
        <f>VLOOKUP($AC144,'oddspedia-matches'!$A:$AD,AL$2,0)</f>
        <v>#N/A</v>
      </c>
      <c r="AM144" t="e">
        <f>VLOOKUP($AC144,'oddspedia-matches'!$A:$AD,AM$2,0)</f>
        <v>#N/A</v>
      </c>
      <c r="AN144" t="e">
        <f>VLOOKUP($AC144,'oddspedia-matches'!$A:$AD,AN$2,0)</f>
        <v>#N/A</v>
      </c>
      <c r="AO144" t="e">
        <f>VLOOKUP($AC144,'oddspedia-matches'!$A:$AD,AO$2,0)</f>
        <v>#N/A</v>
      </c>
      <c r="AP144" t="e">
        <f>VLOOKUP($AC144,'oddspedia-matches'!$A:$AD,AP$2,0)</f>
        <v>#N/A</v>
      </c>
      <c r="AQ144" t="e">
        <f>VLOOKUP($AC144,'oddspedia-matches'!$A:$AD,AQ$2,0)</f>
        <v>#N/A</v>
      </c>
      <c r="AR144" t="e">
        <f>VLOOKUP($AC144,'oddspedia-matches'!$A:$AD,AR$2,0)</f>
        <v>#N/A</v>
      </c>
      <c r="AS144" t="e">
        <f>VLOOKUP($AC144,'oddspedia-matches'!$A:$AD,AS$2,0)</f>
        <v>#N/A</v>
      </c>
      <c r="AT144" t="e">
        <f>VLOOKUP($AC144,'oddspedia-matches'!$A:$AD,AT$2,0)</f>
        <v>#N/A</v>
      </c>
    </row>
    <row r="145" spans="2:46" x14ac:dyDescent="0.25">
      <c r="B145" s="17" t="s">
        <v>490</v>
      </c>
      <c r="C145" s="8" t="s">
        <v>508</v>
      </c>
      <c r="D145" s="18">
        <v>0.16666666666666666</v>
      </c>
      <c r="E145" s="8" t="s">
        <v>537</v>
      </c>
      <c r="F145" s="8" t="s">
        <v>538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s="8">
        <v>10</v>
      </c>
      <c r="Y145" s="8">
        <v>40</v>
      </c>
      <c r="Z145" s="19"/>
      <c r="AA145">
        <f>VLOOKUP(E145,'Transform table'!A:B,2,0)</f>
        <v>0</v>
      </c>
      <c r="AB145" t="e">
        <f>VLOOKUP(F145,'Transform table'!A:B,2,0)</f>
        <v>#N/A</v>
      </c>
      <c r="AC145" t="e">
        <f t="shared" si="2"/>
        <v>#N/A</v>
      </c>
      <c r="AD145" t="e">
        <f>VLOOKUP($AC145,'oddspedia-matches'!$A:$AD,AD$2,0)</f>
        <v>#N/A</v>
      </c>
      <c r="AE145" t="e">
        <f>VLOOKUP($AC145,'oddspedia-matches'!$A:$AD,AE$2,0)</f>
        <v>#N/A</v>
      </c>
      <c r="AF145" t="e">
        <f>VLOOKUP($AC145,'oddspedia-matches'!$A:$AD,AF$2,0)</f>
        <v>#N/A</v>
      </c>
      <c r="AG145" t="e">
        <f>VLOOKUP($AC145,'oddspedia-matches'!$A:$AD,AG$2,0)</f>
        <v>#N/A</v>
      </c>
      <c r="AH145" t="e">
        <f>VLOOKUP($AC145,'oddspedia-matches'!$A:$AD,AH$2,0)</f>
        <v>#N/A</v>
      </c>
      <c r="AI145" t="e">
        <f>VLOOKUP($AC145,'oddspedia-matches'!$A:$AD,AI$2,0)</f>
        <v>#N/A</v>
      </c>
      <c r="AJ145" t="e">
        <f>VLOOKUP($AC145,'oddspedia-matches'!$A:$AD,AJ$2,0)</f>
        <v>#N/A</v>
      </c>
      <c r="AK145" t="e">
        <f>VLOOKUP($AC145,'oddspedia-matches'!$A:$AD,AK$2,0)</f>
        <v>#N/A</v>
      </c>
      <c r="AL145" t="e">
        <f>VLOOKUP($AC145,'oddspedia-matches'!$A:$AD,AL$2,0)</f>
        <v>#N/A</v>
      </c>
      <c r="AM145" t="e">
        <f>VLOOKUP($AC145,'oddspedia-matches'!$A:$AD,AM$2,0)</f>
        <v>#N/A</v>
      </c>
      <c r="AN145" t="e">
        <f>VLOOKUP($AC145,'oddspedia-matches'!$A:$AD,AN$2,0)</f>
        <v>#N/A</v>
      </c>
      <c r="AO145" t="e">
        <f>VLOOKUP($AC145,'oddspedia-matches'!$A:$AD,AO$2,0)</f>
        <v>#N/A</v>
      </c>
      <c r="AP145" t="e">
        <f>VLOOKUP($AC145,'oddspedia-matches'!$A:$AD,AP$2,0)</f>
        <v>#N/A</v>
      </c>
      <c r="AQ145" t="e">
        <f>VLOOKUP($AC145,'oddspedia-matches'!$A:$AD,AQ$2,0)</f>
        <v>#N/A</v>
      </c>
      <c r="AR145" t="e">
        <f>VLOOKUP($AC145,'oddspedia-matches'!$A:$AD,AR$2,0)</f>
        <v>#N/A</v>
      </c>
      <c r="AS145" t="e">
        <f>VLOOKUP($AC145,'oddspedia-matches'!$A:$AD,AS$2,0)</f>
        <v>#N/A</v>
      </c>
      <c r="AT145" t="e">
        <f>VLOOKUP($AC145,'oddspedia-matches'!$A:$AD,AT$2,0)</f>
        <v>#N/A</v>
      </c>
    </row>
    <row r="146" spans="2:46" x14ac:dyDescent="0.25">
      <c r="B146" s="9" t="s">
        <v>539</v>
      </c>
      <c r="C146" s="7" t="s">
        <v>508</v>
      </c>
      <c r="D146" s="20">
        <v>0.16666666666666666</v>
      </c>
      <c r="E146" s="7" t="s">
        <v>540</v>
      </c>
      <c r="F146" s="7" t="s">
        <v>541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s="7">
        <v>11.1</v>
      </c>
      <c r="Y146" s="7">
        <v>12.5</v>
      </c>
      <c r="Z146" s="21"/>
      <c r="AA146" t="str">
        <f>VLOOKUP(E146,'Transform table'!A:B,2,0)</f>
        <v>Perth Glory</v>
      </c>
      <c r="AB146" t="e">
        <f>VLOOKUP(F146,'Transform table'!A:B,2,0)</f>
        <v>#N/A</v>
      </c>
      <c r="AC146" t="e">
        <f t="shared" si="2"/>
        <v>#N/A</v>
      </c>
      <c r="AD146" t="e">
        <f>VLOOKUP($AC146,'oddspedia-matches'!$A:$AD,AD$2,0)</f>
        <v>#N/A</v>
      </c>
      <c r="AE146" t="e">
        <f>VLOOKUP($AC146,'oddspedia-matches'!$A:$AD,AE$2,0)</f>
        <v>#N/A</v>
      </c>
      <c r="AF146" t="e">
        <f>VLOOKUP($AC146,'oddspedia-matches'!$A:$AD,AF$2,0)</f>
        <v>#N/A</v>
      </c>
      <c r="AG146" t="e">
        <f>VLOOKUP($AC146,'oddspedia-matches'!$A:$AD,AG$2,0)</f>
        <v>#N/A</v>
      </c>
      <c r="AH146" t="e">
        <f>VLOOKUP($AC146,'oddspedia-matches'!$A:$AD,AH$2,0)</f>
        <v>#N/A</v>
      </c>
      <c r="AI146" t="e">
        <f>VLOOKUP($AC146,'oddspedia-matches'!$A:$AD,AI$2,0)</f>
        <v>#N/A</v>
      </c>
      <c r="AJ146" t="e">
        <f>VLOOKUP($AC146,'oddspedia-matches'!$A:$AD,AJ$2,0)</f>
        <v>#N/A</v>
      </c>
      <c r="AK146" t="e">
        <f>VLOOKUP($AC146,'oddspedia-matches'!$A:$AD,AK$2,0)</f>
        <v>#N/A</v>
      </c>
      <c r="AL146" t="e">
        <f>VLOOKUP($AC146,'oddspedia-matches'!$A:$AD,AL$2,0)</f>
        <v>#N/A</v>
      </c>
      <c r="AM146" t="e">
        <f>VLOOKUP($AC146,'oddspedia-matches'!$A:$AD,AM$2,0)</f>
        <v>#N/A</v>
      </c>
      <c r="AN146" t="e">
        <f>VLOOKUP($AC146,'oddspedia-matches'!$A:$AD,AN$2,0)</f>
        <v>#N/A</v>
      </c>
      <c r="AO146" t="e">
        <f>VLOOKUP($AC146,'oddspedia-matches'!$A:$AD,AO$2,0)</f>
        <v>#N/A</v>
      </c>
      <c r="AP146" t="e">
        <f>VLOOKUP($AC146,'oddspedia-matches'!$A:$AD,AP$2,0)</f>
        <v>#N/A</v>
      </c>
      <c r="AQ146" t="e">
        <f>VLOOKUP($AC146,'oddspedia-matches'!$A:$AD,AQ$2,0)</f>
        <v>#N/A</v>
      </c>
      <c r="AR146" t="e">
        <f>VLOOKUP($AC146,'oddspedia-matches'!$A:$AD,AR$2,0)</f>
        <v>#N/A</v>
      </c>
      <c r="AS146" t="e">
        <f>VLOOKUP($AC146,'oddspedia-matches'!$A:$AD,AS$2,0)</f>
        <v>#N/A</v>
      </c>
      <c r="AT146" t="e">
        <f>VLOOKUP($AC146,'oddspedia-matches'!$A:$AD,AT$2,0)</f>
        <v>#N/A</v>
      </c>
    </row>
    <row r="147" spans="2:46" x14ac:dyDescent="0.25">
      <c r="B147" s="17" t="s">
        <v>539</v>
      </c>
      <c r="C147" s="8" t="s">
        <v>508</v>
      </c>
      <c r="D147" s="18">
        <v>0.16666666666666666</v>
      </c>
      <c r="E147" s="8" t="s">
        <v>542</v>
      </c>
      <c r="F147" s="8" t="s">
        <v>543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s="8">
        <v>20</v>
      </c>
      <c r="Y147" s="8">
        <v>55.6</v>
      </c>
      <c r="Z147" s="19"/>
      <c r="AA147">
        <f>VLOOKUP(E147,'Transform table'!A:B,2,0)</f>
        <v>0</v>
      </c>
      <c r="AB147" t="e">
        <f>VLOOKUP(F147,'Transform table'!A:B,2,0)</f>
        <v>#N/A</v>
      </c>
      <c r="AC147" t="e">
        <f t="shared" si="2"/>
        <v>#N/A</v>
      </c>
      <c r="AD147" t="e">
        <f>VLOOKUP($AC147,'oddspedia-matches'!$A:$AD,AD$2,0)</f>
        <v>#N/A</v>
      </c>
      <c r="AE147" t="e">
        <f>VLOOKUP($AC147,'oddspedia-matches'!$A:$AD,AE$2,0)</f>
        <v>#N/A</v>
      </c>
      <c r="AF147" t="e">
        <f>VLOOKUP($AC147,'oddspedia-matches'!$A:$AD,AF$2,0)</f>
        <v>#N/A</v>
      </c>
      <c r="AG147" t="e">
        <f>VLOOKUP($AC147,'oddspedia-matches'!$A:$AD,AG$2,0)</f>
        <v>#N/A</v>
      </c>
      <c r="AH147" t="e">
        <f>VLOOKUP($AC147,'oddspedia-matches'!$A:$AD,AH$2,0)</f>
        <v>#N/A</v>
      </c>
      <c r="AI147" t="e">
        <f>VLOOKUP($AC147,'oddspedia-matches'!$A:$AD,AI$2,0)</f>
        <v>#N/A</v>
      </c>
      <c r="AJ147" t="e">
        <f>VLOOKUP($AC147,'oddspedia-matches'!$A:$AD,AJ$2,0)</f>
        <v>#N/A</v>
      </c>
      <c r="AK147" t="e">
        <f>VLOOKUP($AC147,'oddspedia-matches'!$A:$AD,AK$2,0)</f>
        <v>#N/A</v>
      </c>
      <c r="AL147" t="e">
        <f>VLOOKUP($AC147,'oddspedia-matches'!$A:$AD,AL$2,0)</f>
        <v>#N/A</v>
      </c>
      <c r="AM147" t="e">
        <f>VLOOKUP($AC147,'oddspedia-matches'!$A:$AD,AM$2,0)</f>
        <v>#N/A</v>
      </c>
      <c r="AN147" t="e">
        <f>VLOOKUP($AC147,'oddspedia-matches'!$A:$AD,AN$2,0)</f>
        <v>#N/A</v>
      </c>
      <c r="AO147" t="e">
        <f>VLOOKUP($AC147,'oddspedia-matches'!$A:$AD,AO$2,0)</f>
        <v>#N/A</v>
      </c>
      <c r="AP147" t="e">
        <f>VLOOKUP($AC147,'oddspedia-matches'!$A:$AD,AP$2,0)</f>
        <v>#N/A</v>
      </c>
      <c r="AQ147" t="e">
        <f>VLOOKUP($AC147,'oddspedia-matches'!$A:$AD,AQ$2,0)</f>
        <v>#N/A</v>
      </c>
      <c r="AR147" t="e">
        <f>VLOOKUP($AC147,'oddspedia-matches'!$A:$AD,AR$2,0)</f>
        <v>#N/A</v>
      </c>
      <c r="AS147" t="e">
        <f>VLOOKUP($AC147,'oddspedia-matches'!$A:$AD,AS$2,0)</f>
        <v>#N/A</v>
      </c>
      <c r="AT147" t="e">
        <f>VLOOKUP($AC147,'oddspedia-matches'!$A:$AD,AT$2,0)</f>
        <v>#N/A</v>
      </c>
    </row>
    <row r="148" spans="2:46" x14ac:dyDescent="0.25">
      <c r="B148" s="9" t="s">
        <v>539</v>
      </c>
      <c r="C148" s="7" t="s">
        <v>508</v>
      </c>
      <c r="D148" s="20">
        <v>0.16666666666666666</v>
      </c>
      <c r="E148" s="7" t="s">
        <v>544</v>
      </c>
      <c r="F148" s="7" t="s">
        <v>395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s="7">
        <v>50</v>
      </c>
      <c r="Y148" s="7">
        <v>0</v>
      </c>
      <c r="Z148" s="21"/>
      <c r="AA148">
        <f>VLOOKUP(E148,'Transform table'!A:B,2,0)</f>
        <v>0</v>
      </c>
      <c r="AB148" t="e">
        <f>VLOOKUP(F148,'Transform table'!A:B,2,0)</f>
        <v>#N/A</v>
      </c>
      <c r="AC148" t="e">
        <f t="shared" si="2"/>
        <v>#N/A</v>
      </c>
      <c r="AD148" t="e">
        <f>VLOOKUP($AC148,'oddspedia-matches'!$A:$AD,AD$2,0)</f>
        <v>#N/A</v>
      </c>
      <c r="AE148" t="e">
        <f>VLOOKUP($AC148,'oddspedia-matches'!$A:$AD,AE$2,0)</f>
        <v>#N/A</v>
      </c>
      <c r="AF148" t="e">
        <f>VLOOKUP($AC148,'oddspedia-matches'!$A:$AD,AF$2,0)</f>
        <v>#N/A</v>
      </c>
      <c r="AG148" t="e">
        <f>VLOOKUP($AC148,'oddspedia-matches'!$A:$AD,AG$2,0)</f>
        <v>#N/A</v>
      </c>
      <c r="AH148" t="e">
        <f>VLOOKUP($AC148,'oddspedia-matches'!$A:$AD,AH$2,0)</f>
        <v>#N/A</v>
      </c>
      <c r="AI148" t="e">
        <f>VLOOKUP($AC148,'oddspedia-matches'!$A:$AD,AI$2,0)</f>
        <v>#N/A</v>
      </c>
      <c r="AJ148" t="e">
        <f>VLOOKUP($AC148,'oddspedia-matches'!$A:$AD,AJ$2,0)</f>
        <v>#N/A</v>
      </c>
      <c r="AK148" t="e">
        <f>VLOOKUP($AC148,'oddspedia-matches'!$A:$AD,AK$2,0)</f>
        <v>#N/A</v>
      </c>
      <c r="AL148" t="e">
        <f>VLOOKUP($AC148,'oddspedia-matches'!$A:$AD,AL$2,0)</f>
        <v>#N/A</v>
      </c>
      <c r="AM148" t="e">
        <f>VLOOKUP($AC148,'oddspedia-matches'!$A:$AD,AM$2,0)</f>
        <v>#N/A</v>
      </c>
      <c r="AN148" t="e">
        <f>VLOOKUP($AC148,'oddspedia-matches'!$A:$AD,AN$2,0)</f>
        <v>#N/A</v>
      </c>
      <c r="AO148" t="e">
        <f>VLOOKUP($AC148,'oddspedia-matches'!$A:$AD,AO$2,0)</f>
        <v>#N/A</v>
      </c>
      <c r="AP148" t="e">
        <f>VLOOKUP($AC148,'oddspedia-matches'!$A:$AD,AP$2,0)</f>
        <v>#N/A</v>
      </c>
      <c r="AQ148" t="e">
        <f>VLOOKUP($AC148,'oddspedia-matches'!$A:$AD,AQ$2,0)</f>
        <v>#N/A</v>
      </c>
      <c r="AR148" t="e">
        <f>VLOOKUP($AC148,'oddspedia-matches'!$A:$AD,AR$2,0)</f>
        <v>#N/A</v>
      </c>
      <c r="AS148" t="e">
        <f>VLOOKUP($AC148,'oddspedia-matches'!$A:$AD,AS$2,0)</f>
        <v>#N/A</v>
      </c>
      <c r="AT148" t="e">
        <f>VLOOKUP($AC148,'oddspedia-matches'!$A:$AD,AT$2,0)</f>
        <v>#N/A</v>
      </c>
    </row>
    <row r="149" spans="2:46" x14ac:dyDescent="0.25">
      <c r="B149" s="17" t="s">
        <v>539</v>
      </c>
      <c r="C149" s="8" t="s">
        <v>508</v>
      </c>
      <c r="D149" s="18">
        <v>0.16666666666666666</v>
      </c>
      <c r="E149" s="8" t="s">
        <v>545</v>
      </c>
      <c r="F149" s="8" t="s">
        <v>546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s="8">
        <v>22.2</v>
      </c>
      <c r="Y149" s="8">
        <v>11.1</v>
      </c>
      <c r="Z149" s="19"/>
      <c r="AA149">
        <f>VLOOKUP(E149,'Transform table'!A:B,2,0)</f>
        <v>0</v>
      </c>
      <c r="AB149" t="e">
        <f>VLOOKUP(F149,'Transform table'!A:B,2,0)</f>
        <v>#N/A</v>
      </c>
      <c r="AC149" t="e">
        <f t="shared" si="2"/>
        <v>#N/A</v>
      </c>
      <c r="AD149" t="e">
        <f>VLOOKUP($AC149,'oddspedia-matches'!$A:$AD,AD$2,0)</f>
        <v>#N/A</v>
      </c>
      <c r="AE149" t="e">
        <f>VLOOKUP($AC149,'oddspedia-matches'!$A:$AD,AE$2,0)</f>
        <v>#N/A</v>
      </c>
      <c r="AF149" t="e">
        <f>VLOOKUP($AC149,'oddspedia-matches'!$A:$AD,AF$2,0)</f>
        <v>#N/A</v>
      </c>
      <c r="AG149" t="e">
        <f>VLOOKUP($AC149,'oddspedia-matches'!$A:$AD,AG$2,0)</f>
        <v>#N/A</v>
      </c>
      <c r="AH149" t="e">
        <f>VLOOKUP($AC149,'oddspedia-matches'!$A:$AD,AH$2,0)</f>
        <v>#N/A</v>
      </c>
      <c r="AI149" t="e">
        <f>VLOOKUP($AC149,'oddspedia-matches'!$A:$AD,AI$2,0)</f>
        <v>#N/A</v>
      </c>
      <c r="AJ149" t="e">
        <f>VLOOKUP($AC149,'oddspedia-matches'!$A:$AD,AJ$2,0)</f>
        <v>#N/A</v>
      </c>
      <c r="AK149" t="e">
        <f>VLOOKUP($AC149,'oddspedia-matches'!$A:$AD,AK$2,0)</f>
        <v>#N/A</v>
      </c>
      <c r="AL149" t="e">
        <f>VLOOKUP($AC149,'oddspedia-matches'!$A:$AD,AL$2,0)</f>
        <v>#N/A</v>
      </c>
      <c r="AM149" t="e">
        <f>VLOOKUP($AC149,'oddspedia-matches'!$A:$AD,AM$2,0)</f>
        <v>#N/A</v>
      </c>
      <c r="AN149" t="e">
        <f>VLOOKUP($AC149,'oddspedia-matches'!$A:$AD,AN$2,0)</f>
        <v>#N/A</v>
      </c>
      <c r="AO149" t="e">
        <f>VLOOKUP($AC149,'oddspedia-matches'!$A:$AD,AO$2,0)</f>
        <v>#N/A</v>
      </c>
      <c r="AP149" t="e">
        <f>VLOOKUP($AC149,'oddspedia-matches'!$A:$AD,AP$2,0)</f>
        <v>#N/A</v>
      </c>
      <c r="AQ149" t="e">
        <f>VLOOKUP($AC149,'oddspedia-matches'!$A:$AD,AQ$2,0)</f>
        <v>#N/A</v>
      </c>
      <c r="AR149" t="e">
        <f>VLOOKUP($AC149,'oddspedia-matches'!$A:$AD,AR$2,0)</f>
        <v>#N/A</v>
      </c>
      <c r="AS149" t="e">
        <f>VLOOKUP($AC149,'oddspedia-matches'!$A:$AD,AS$2,0)</f>
        <v>#N/A</v>
      </c>
      <c r="AT149" t="e">
        <f>VLOOKUP($AC149,'oddspedia-matches'!$A:$AD,AT$2,0)</f>
        <v>#N/A</v>
      </c>
    </row>
    <row r="150" spans="2:46" x14ac:dyDescent="0.25">
      <c r="B150" s="9" t="s">
        <v>539</v>
      </c>
      <c r="C150" s="7" t="s">
        <v>508</v>
      </c>
      <c r="D150" s="20">
        <v>0.16666666666666666</v>
      </c>
      <c r="E150" s="7" t="s">
        <v>547</v>
      </c>
      <c r="F150" s="7" t="s">
        <v>548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s="7">
        <v>12.5</v>
      </c>
      <c r="Y150" s="7">
        <v>50</v>
      </c>
      <c r="Z150" s="21"/>
      <c r="AA150" t="str">
        <f>VLOOKUP(E150,'Transform table'!A:B,2,0)</f>
        <v>Western Sydney Wanderers</v>
      </c>
      <c r="AB150" t="e">
        <f>VLOOKUP(F150,'Transform table'!A:B,2,0)</f>
        <v>#N/A</v>
      </c>
      <c r="AC150" t="e">
        <f t="shared" si="2"/>
        <v>#N/A</v>
      </c>
      <c r="AD150" t="e">
        <f>VLOOKUP($AC150,'oddspedia-matches'!$A:$AD,AD$2,0)</f>
        <v>#N/A</v>
      </c>
      <c r="AE150" t="e">
        <f>VLOOKUP($AC150,'oddspedia-matches'!$A:$AD,AE$2,0)</f>
        <v>#N/A</v>
      </c>
      <c r="AF150" t="e">
        <f>VLOOKUP($AC150,'oddspedia-matches'!$A:$AD,AF$2,0)</f>
        <v>#N/A</v>
      </c>
      <c r="AG150" t="e">
        <f>VLOOKUP($AC150,'oddspedia-matches'!$A:$AD,AG$2,0)</f>
        <v>#N/A</v>
      </c>
      <c r="AH150" t="e">
        <f>VLOOKUP($AC150,'oddspedia-matches'!$A:$AD,AH$2,0)</f>
        <v>#N/A</v>
      </c>
      <c r="AI150" t="e">
        <f>VLOOKUP($AC150,'oddspedia-matches'!$A:$AD,AI$2,0)</f>
        <v>#N/A</v>
      </c>
      <c r="AJ150" t="e">
        <f>VLOOKUP($AC150,'oddspedia-matches'!$A:$AD,AJ$2,0)</f>
        <v>#N/A</v>
      </c>
      <c r="AK150" t="e">
        <f>VLOOKUP($AC150,'oddspedia-matches'!$A:$AD,AK$2,0)</f>
        <v>#N/A</v>
      </c>
      <c r="AL150" t="e">
        <f>VLOOKUP($AC150,'oddspedia-matches'!$A:$AD,AL$2,0)</f>
        <v>#N/A</v>
      </c>
      <c r="AM150" t="e">
        <f>VLOOKUP($AC150,'oddspedia-matches'!$A:$AD,AM$2,0)</f>
        <v>#N/A</v>
      </c>
      <c r="AN150" t="e">
        <f>VLOOKUP($AC150,'oddspedia-matches'!$A:$AD,AN$2,0)</f>
        <v>#N/A</v>
      </c>
      <c r="AO150" t="e">
        <f>VLOOKUP($AC150,'oddspedia-matches'!$A:$AD,AO$2,0)</f>
        <v>#N/A</v>
      </c>
      <c r="AP150" t="e">
        <f>VLOOKUP($AC150,'oddspedia-matches'!$A:$AD,AP$2,0)</f>
        <v>#N/A</v>
      </c>
      <c r="AQ150" t="e">
        <f>VLOOKUP($AC150,'oddspedia-matches'!$A:$AD,AQ$2,0)</f>
        <v>#N/A</v>
      </c>
      <c r="AR150" t="e">
        <f>VLOOKUP($AC150,'oddspedia-matches'!$A:$AD,AR$2,0)</f>
        <v>#N/A</v>
      </c>
      <c r="AS150" t="e">
        <f>VLOOKUP($AC150,'oddspedia-matches'!$A:$AD,AS$2,0)</f>
        <v>#N/A</v>
      </c>
      <c r="AT150" t="e">
        <f>VLOOKUP($AC150,'oddspedia-matches'!$A:$AD,AT$2,0)</f>
        <v>#N/A</v>
      </c>
    </row>
    <row r="151" spans="2:46" x14ac:dyDescent="0.25">
      <c r="B151" s="17" t="s">
        <v>489</v>
      </c>
      <c r="C151" s="8" t="s">
        <v>508</v>
      </c>
      <c r="D151" s="18">
        <v>0.1875</v>
      </c>
      <c r="E151" s="8" t="s">
        <v>549</v>
      </c>
      <c r="F151" s="8" t="s">
        <v>550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s="8">
        <v>0</v>
      </c>
      <c r="Y151" s="8">
        <v>27.3</v>
      </c>
      <c r="Z151" s="19"/>
      <c r="AA151">
        <f>VLOOKUP(E151,'Transform table'!A:B,2,0)</f>
        <v>0</v>
      </c>
      <c r="AB151" t="e">
        <f>VLOOKUP(F151,'Transform table'!A:B,2,0)</f>
        <v>#N/A</v>
      </c>
      <c r="AC151" t="e">
        <f t="shared" si="2"/>
        <v>#N/A</v>
      </c>
      <c r="AD151" t="e">
        <f>VLOOKUP($AC151,'oddspedia-matches'!$A:$AD,AD$2,0)</f>
        <v>#N/A</v>
      </c>
      <c r="AE151" t="e">
        <f>VLOOKUP($AC151,'oddspedia-matches'!$A:$AD,AE$2,0)</f>
        <v>#N/A</v>
      </c>
      <c r="AF151" t="e">
        <f>VLOOKUP($AC151,'oddspedia-matches'!$A:$AD,AF$2,0)</f>
        <v>#N/A</v>
      </c>
      <c r="AG151" t="e">
        <f>VLOOKUP($AC151,'oddspedia-matches'!$A:$AD,AG$2,0)</f>
        <v>#N/A</v>
      </c>
      <c r="AH151" t="e">
        <f>VLOOKUP($AC151,'oddspedia-matches'!$A:$AD,AH$2,0)</f>
        <v>#N/A</v>
      </c>
      <c r="AI151" t="e">
        <f>VLOOKUP($AC151,'oddspedia-matches'!$A:$AD,AI$2,0)</f>
        <v>#N/A</v>
      </c>
      <c r="AJ151" t="e">
        <f>VLOOKUP($AC151,'oddspedia-matches'!$A:$AD,AJ$2,0)</f>
        <v>#N/A</v>
      </c>
      <c r="AK151" t="e">
        <f>VLOOKUP($AC151,'oddspedia-matches'!$A:$AD,AK$2,0)</f>
        <v>#N/A</v>
      </c>
      <c r="AL151" t="e">
        <f>VLOOKUP($AC151,'oddspedia-matches'!$A:$AD,AL$2,0)</f>
        <v>#N/A</v>
      </c>
      <c r="AM151" t="e">
        <f>VLOOKUP($AC151,'oddspedia-matches'!$A:$AD,AM$2,0)</f>
        <v>#N/A</v>
      </c>
      <c r="AN151" t="e">
        <f>VLOOKUP($AC151,'oddspedia-matches'!$A:$AD,AN$2,0)</f>
        <v>#N/A</v>
      </c>
      <c r="AO151" t="e">
        <f>VLOOKUP($AC151,'oddspedia-matches'!$A:$AD,AO$2,0)</f>
        <v>#N/A</v>
      </c>
      <c r="AP151" t="e">
        <f>VLOOKUP($AC151,'oddspedia-matches'!$A:$AD,AP$2,0)</f>
        <v>#N/A</v>
      </c>
      <c r="AQ151" t="e">
        <f>VLOOKUP($AC151,'oddspedia-matches'!$A:$AD,AQ$2,0)</f>
        <v>#N/A</v>
      </c>
      <c r="AR151" t="e">
        <f>VLOOKUP($AC151,'oddspedia-matches'!$A:$AD,AR$2,0)</f>
        <v>#N/A</v>
      </c>
      <c r="AS151" t="e">
        <f>VLOOKUP($AC151,'oddspedia-matches'!$A:$AD,AS$2,0)</f>
        <v>#N/A</v>
      </c>
      <c r="AT151" t="e">
        <f>VLOOKUP($AC151,'oddspedia-matches'!$A:$AD,AT$2,0)</f>
        <v>#N/A</v>
      </c>
    </row>
    <row r="152" spans="2:46" x14ac:dyDescent="0.25">
      <c r="B152" s="9" t="s">
        <v>463</v>
      </c>
      <c r="C152" s="7" t="s">
        <v>508</v>
      </c>
      <c r="D152" s="20">
        <v>0.20833333333333334</v>
      </c>
      <c r="E152" s="7" t="s">
        <v>551</v>
      </c>
      <c r="F152" s="7" t="s">
        <v>23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s="7" t="s">
        <v>22</v>
      </c>
      <c r="Y152" s="7" t="s">
        <v>22</v>
      </c>
      <c r="Z152" s="21"/>
      <c r="AA152">
        <f>VLOOKUP(E152,'Transform table'!A:B,2,0)</f>
        <v>0</v>
      </c>
      <c r="AB152" t="str">
        <f>VLOOKUP(F152,'Transform table'!A:B,2,0)</f>
        <v>Tuggeranong United</v>
      </c>
      <c r="AC152" t="str">
        <f t="shared" si="2"/>
        <v>25/07/20260Tuggeranong United</v>
      </c>
      <c r="AD152" t="e">
        <f>VLOOKUP($AC152,'oddspedia-matches'!$A:$AD,AD$2,0)</f>
        <v>#N/A</v>
      </c>
      <c r="AE152" t="e">
        <f>VLOOKUP($AC152,'oddspedia-matches'!$A:$AD,AE$2,0)</f>
        <v>#N/A</v>
      </c>
      <c r="AF152" t="e">
        <f>VLOOKUP($AC152,'oddspedia-matches'!$A:$AD,AF$2,0)</f>
        <v>#N/A</v>
      </c>
      <c r="AG152" t="e">
        <f>VLOOKUP($AC152,'oddspedia-matches'!$A:$AD,AG$2,0)</f>
        <v>#N/A</v>
      </c>
      <c r="AH152" t="e">
        <f>VLOOKUP($AC152,'oddspedia-matches'!$A:$AD,AH$2,0)</f>
        <v>#N/A</v>
      </c>
      <c r="AI152" t="e">
        <f>VLOOKUP($AC152,'oddspedia-matches'!$A:$AD,AI$2,0)</f>
        <v>#N/A</v>
      </c>
      <c r="AJ152" t="e">
        <f>VLOOKUP($AC152,'oddspedia-matches'!$A:$AD,AJ$2,0)</f>
        <v>#N/A</v>
      </c>
      <c r="AK152" t="e">
        <f>VLOOKUP($AC152,'oddspedia-matches'!$A:$AD,AK$2,0)</f>
        <v>#N/A</v>
      </c>
      <c r="AL152" t="e">
        <f>VLOOKUP($AC152,'oddspedia-matches'!$A:$AD,AL$2,0)</f>
        <v>#N/A</v>
      </c>
      <c r="AM152" t="e">
        <f>VLOOKUP($AC152,'oddspedia-matches'!$A:$AD,AM$2,0)</f>
        <v>#N/A</v>
      </c>
      <c r="AN152" t="e">
        <f>VLOOKUP($AC152,'oddspedia-matches'!$A:$AD,AN$2,0)</f>
        <v>#N/A</v>
      </c>
      <c r="AO152" t="e">
        <f>VLOOKUP($AC152,'oddspedia-matches'!$A:$AD,AO$2,0)</f>
        <v>#N/A</v>
      </c>
      <c r="AP152" t="e">
        <f>VLOOKUP($AC152,'oddspedia-matches'!$A:$AD,AP$2,0)</f>
        <v>#N/A</v>
      </c>
      <c r="AQ152" t="e">
        <f>VLOOKUP($AC152,'oddspedia-matches'!$A:$AD,AQ$2,0)</f>
        <v>#N/A</v>
      </c>
      <c r="AR152" t="e">
        <f>VLOOKUP($AC152,'oddspedia-matches'!$A:$AD,AR$2,0)</f>
        <v>#N/A</v>
      </c>
      <c r="AS152" t="e">
        <f>VLOOKUP($AC152,'oddspedia-matches'!$A:$AD,AS$2,0)</f>
        <v>#N/A</v>
      </c>
      <c r="AT152" t="e">
        <f>VLOOKUP($AC152,'oddspedia-matches'!$A:$AD,AT$2,0)</f>
        <v>#N/A</v>
      </c>
    </row>
    <row r="153" spans="2:46" x14ac:dyDescent="0.25">
      <c r="B153" s="17" t="s">
        <v>489</v>
      </c>
      <c r="C153" s="8" t="s">
        <v>508</v>
      </c>
      <c r="D153" s="18">
        <v>0.20833333333333334</v>
      </c>
      <c r="E153" s="8" t="s">
        <v>552</v>
      </c>
      <c r="F153" s="8" t="s">
        <v>553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s="8" t="s">
        <v>22</v>
      </c>
      <c r="Y153" s="8" t="s">
        <v>22</v>
      </c>
      <c r="Z153" s="19"/>
      <c r="AA153">
        <f>VLOOKUP(E153,'Transform table'!A:B,2,0)</f>
        <v>0</v>
      </c>
      <c r="AB153" t="e">
        <f>VLOOKUP(F153,'Transform table'!A:B,2,0)</f>
        <v>#N/A</v>
      </c>
      <c r="AC153" t="e">
        <f t="shared" si="2"/>
        <v>#N/A</v>
      </c>
      <c r="AD153" t="e">
        <f>VLOOKUP($AC153,'oddspedia-matches'!$A:$AD,AD$2,0)</f>
        <v>#N/A</v>
      </c>
      <c r="AE153" t="e">
        <f>VLOOKUP($AC153,'oddspedia-matches'!$A:$AD,AE$2,0)</f>
        <v>#N/A</v>
      </c>
      <c r="AF153" t="e">
        <f>VLOOKUP($AC153,'oddspedia-matches'!$A:$AD,AF$2,0)</f>
        <v>#N/A</v>
      </c>
      <c r="AG153" t="e">
        <f>VLOOKUP($AC153,'oddspedia-matches'!$A:$AD,AG$2,0)</f>
        <v>#N/A</v>
      </c>
      <c r="AH153" t="e">
        <f>VLOOKUP($AC153,'oddspedia-matches'!$A:$AD,AH$2,0)</f>
        <v>#N/A</v>
      </c>
      <c r="AI153" t="e">
        <f>VLOOKUP($AC153,'oddspedia-matches'!$A:$AD,AI$2,0)</f>
        <v>#N/A</v>
      </c>
      <c r="AJ153" t="e">
        <f>VLOOKUP($AC153,'oddspedia-matches'!$A:$AD,AJ$2,0)</f>
        <v>#N/A</v>
      </c>
      <c r="AK153" t="e">
        <f>VLOOKUP($AC153,'oddspedia-matches'!$A:$AD,AK$2,0)</f>
        <v>#N/A</v>
      </c>
      <c r="AL153" t="e">
        <f>VLOOKUP($AC153,'oddspedia-matches'!$A:$AD,AL$2,0)</f>
        <v>#N/A</v>
      </c>
      <c r="AM153" t="e">
        <f>VLOOKUP($AC153,'oddspedia-matches'!$A:$AD,AM$2,0)</f>
        <v>#N/A</v>
      </c>
      <c r="AN153" t="e">
        <f>VLOOKUP($AC153,'oddspedia-matches'!$A:$AD,AN$2,0)</f>
        <v>#N/A</v>
      </c>
      <c r="AO153" t="e">
        <f>VLOOKUP($AC153,'oddspedia-matches'!$A:$AD,AO$2,0)</f>
        <v>#N/A</v>
      </c>
      <c r="AP153" t="e">
        <f>VLOOKUP($AC153,'oddspedia-matches'!$A:$AD,AP$2,0)</f>
        <v>#N/A</v>
      </c>
      <c r="AQ153" t="e">
        <f>VLOOKUP($AC153,'oddspedia-matches'!$A:$AD,AQ$2,0)</f>
        <v>#N/A</v>
      </c>
      <c r="AR153" t="e">
        <f>VLOOKUP($AC153,'oddspedia-matches'!$A:$AD,AR$2,0)</f>
        <v>#N/A</v>
      </c>
      <c r="AS153" t="e">
        <f>VLOOKUP($AC153,'oddspedia-matches'!$A:$AD,AS$2,0)</f>
        <v>#N/A</v>
      </c>
      <c r="AT153" t="e">
        <f>VLOOKUP($AC153,'oddspedia-matches'!$A:$AD,AT$2,0)</f>
        <v>#N/A</v>
      </c>
    </row>
    <row r="154" spans="2:46" x14ac:dyDescent="0.25">
      <c r="B154" s="9" t="s">
        <v>554</v>
      </c>
      <c r="C154" s="7" t="s">
        <v>508</v>
      </c>
      <c r="D154" s="20">
        <v>0.21875</v>
      </c>
      <c r="E154" s="7" t="s">
        <v>555</v>
      </c>
      <c r="F154" s="7" t="s">
        <v>556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s="7" t="s">
        <v>22</v>
      </c>
      <c r="Y154" s="7" t="s">
        <v>22</v>
      </c>
      <c r="Z154" s="21"/>
      <c r="AA154">
        <f>VLOOKUP(E154,'Transform table'!A:B,2,0)</f>
        <v>0</v>
      </c>
      <c r="AB154" t="e">
        <f>VLOOKUP(F154,'Transform table'!A:B,2,0)</f>
        <v>#N/A</v>
      </c>
      <c r="AC154" t="e">
        <f t="shared" si="2"/>
        <v>#N/A</v>
      </c>
      <c r="AD154" t="e">
        <f>VLOOKUP($AC154,'oddspedia-matches'!$A:$AD,AD$2,0)</f>
        <v>#N/A</v>
      </c>
      <c r="AE154" t="e">
        <f>VLOOKUP($AC154,'oddspedia-matches'!$A:$AD,AE$2,0)</f>
        <v>#N/A</v>
      </c>
      <c r="AF154" t="e">
        <f>VLOOKUP($AC154,'oddspedia-matches'!$A:$AD,AF$2,0)</f>
        <v>#N/A</v>
      </c>
      <c r="AG154" t="e">
        <f>VLOOKUP($AC154,'oddspedia-matches'!$A:$AD,AG$2,0)</f>
        <v>#N/A</v>
      </c>
      <c r="AH154" t="e">
        <f>VLOOKUP($AC154,'oddspedia-matches'!$A:$AD,AH$2,0)</f>
        <v>#N/A</v>
      </c>
      <c r="AI154" t="e">
        <f>VLOOKUP($AC154,'oddspedia-matches'!$A:$AD,AI$2,0)</f>
        <v>#N/A</v>
      </c>
      <c r="AJ154" t="e">
        <f>VLOOKUP($AC154,'oddspedia-matches'!$A:$AD,AJ$2,0)</f>
        <v>#N/A</v>
      </c>
      <c r="AK154" t="e">
        <f>VLOOKUP($AC154,'oddspedia-matches'!$A:$AD,AK$2,0)</f>
        <v>#N/A</v>
      </c>
      <c r="AL154" t="e">
        <f>VLOOKUP($AC154,'oddspedia-matches'!$A:$AD,AL$2,0)</f>
        <v>#N/A</v>
      </c>
      <c r="AM154" t="e">
        <f>VLOOKUP($AC154,'oddspedia-matches'!$A:$AD,AM$2,0)</f>
        <v>#N/A</v>
      </c>
      <c r="AN154" t="e">
        <f>VLOOKUP($AC154,'oddspedia-matches'!$A:$AD,AN$2,0)</f>
        <v>#N/A</v>
      </c>
      <c r="AO154" t="e">
        <f>VLOOKUP($AC154,'oddspedia-matches'!$A:$AD,AO$2,0)</f>
        <v>#N/A</v>
      </c>
      <c r="AP154" t="e">
        <f>VLOOKUP($AC154,'oddspedia-matches'!$A:$AD,AP$2,0)</f>
        <v>#N/A</v>
      </c>
      <c r="AQ154" t="e">
        <f>VLOOKUP($AC154,'oddspedia-matches'!$A:$AD,AQ$2,0)</f>
        <v>#N/A</v>
      </c>
      <c r="AR154" t="e">
        <f>VLOOKUP($AC154,'oddspedia-matches'!$A:$AD,AR$2,0)</f>
        <v>#N/A</v>
      </c>
      <c r="AS154" t="e">
        <f>VLOOKUP($AC154,'oddspedia-matches'!$A:$AD,AS$2,0)</f>
        <v>#N/A</v>
      </c>
      <c r="AT154" t="e">
        <f>VLOOKUP($AC154,'oddspedia-matches'!$A:$AD,AT$2,0)</f>
        <v>#N/A</v>
      </c>
    </row>
    <row r="155" spans="2:46" x14ac:dyDescent="0.25">
      <c r="B155" s="17" t="s">
        <v>489</v>
      </c>
      <c r="C155" s="8" t="s">
        <v>508</v>
      </c>
      <c r="D155" s="18">
        <v>0.22916666666666666</v>
      </c>
      <c r="E155" s="8" t="s">
        <v>557</v>
      </c>
      <c r="F155" s="8" t="s">
        <v>558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s="8" t="s">
        <v>22</v>
      </c>
      <c r="Y155" s="8" t="s">
        <v>22</v>
      </c>
      <c r="Z155" s="19"/>
      <c r="AA155">
        <f>VLOOKUP(E155,'Transform table'!A:B,2,0)</f>
        <v>0</v>
      </c>
      <c r="AB155" t="e">
        <f>VLOOKUP(F155,'Transform table'!A:B,2,0)</f>
        <v>#N/A</v>
      </c>
      <c r="AC155" t="e">
        <f t="shared" si="2"/>
        <v>#N/A</v>
      </c>
      <c r="AD155" t="e">
        <f>VLOOKUP($AC155,'oddspedia-matches'!$A:$AD,AD$2,0)</f>
        <v>#N/A</v>
      </c>
      <c r="AE155" t="e">
        <f>VLOOKUP($AC155,'oddspedia-matches'!$A:$AD,AE$2,0)</f>
        <v>#N/A</v>
      </c>
      <c r="AF155" t="e">
        <f>VLOOKUP($AC155,'oddspedia-matches'!$A:$AD,AF$2,0)</f>
        <v>#N/A</v>
      </c>
      <c r="AG155" t="e">
        <f>VLOOKUP($AC155,'oddspedia-matches'!$A:$AD,AG$2,0)</f>
        <v>#N/A</v>
      </c>
      <c r="AH155" t="e">
        <f>VLOOKUP($AC155,'oddspedia-matches'!$A:$AD,AH$2,0)</f>
        <v>#N/A</v>
      </c>
      <c r="AI155" t="e">
        <f>VLOOKUP($AC155,'oddspedia-matches'!$A:$AD,AI$2,0)</f>
        <v>#N/A</v>
      </c>
      <c r="AJ155" t="e">
        <f>VLOOKUP($AC155,'oddspedia-matches'!$A:$AD,AJ$2,0)</f>
        <v>#N/A</v>
      </c>
      <c r="AK155" t="e">
        <f>VLOOKUP($AC155,'oddspedia-matches'!$A:$AD,AK$2,0)</f>
        <v>#N/A</v>
      </c>
      <c r="AL155" t="e">
        <f>VLOOKUP($AC155,'oddspedia-matches'!$A:$AD,AL$2,0)</f>
        <v>#N/A</v>
      </c>
      <c r="AM155" t="e">
        <f>VLOOKUP($AC155,'oddspedia-matches'!$A:$AD,AM$2,0)</f>
        <v>#N/A</v>
      </c>
      <c r="AN155" t="e">
        <f>VLOOKUP($AC155,'oddspedia-matches'!$A:$AD,AN$2,0)</f>
        <v>#N/A</v>
      </c>
      <c r="AO155" t="e">
        <f>VLOOKUP($AC155,'oddspedia-matches'!$A:$AD,AO$2,0)</f>
        <v>#N/A</v>
      </c>
      <c r="AP155" t="e">
        <f>VLOOKUP($AC155,'oddspedia-matches'!$A:$AD,AP$2,0)</f>
        <v>#N/A</v>
      </c>
      <c r="AQ155" t="e">
        <f>VLOOKUP($AC155,'oddspedia-matches'!$A:$AD,AQ$2,0)</f>
        <v>#N/A</v>
      </c>
      <c r="AR155" t="e">
        <f>VLOOKUP($AC155,'oddspedia-matches'!$A:$AD,AR$2,0)</f>
        <v>#N/A</v>
      </c>
      <c r="AS155" t="e">
        <f>VLOOKUP($AC155,'oddspedia-matches'!$A:$AD,AS$2,0)</f>
        <v>#N/A</v>
      </c>
      <c r="AT155" t="e">
        <f>VLOOKUP($AC155,'oddspedia-matches'!$A:$AD,AT$2,0)</f>
        <v>#N/A</v>
      </c>
    </row>
    <row r="156" spans="2:46" x14ac:dyDescent="0.25">
      <c r="B156" s="9" t="s">
        <v>489</v>
      </c>
      <c r="C156" s="7" t="s">
        <v>508</v>
      </c>
      <c r="D156" s="20">
        <v>0.26041666666666669</v>
      </c>
      <c r="E156" s="7" t="s">
        <v>559</v>
      </c>
      <c r="F156" s="7" t="s">
        <v>560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s="7">
        <v>15.4</v>
      </c>
      <c r="Y156" s="7">
        <v>8.3000000000000007</v>
      </c>
      <c r="Z156" s="21"/>
      <c r="AA156">
        <f>VLOOKUP(E156,'Transform table'!A:B,2,0)</f>
        <v>0</v>
      </c>
      <c r="AB156" t="e">
        <f>VLOOKUP(F156,'Transform table'!A:B,2,0)</f>
        <v>#N/A</v>
      </c>
      <c r="AC156" t="e">
        <f t="shared" si="2"/>
        <v>#N/A</v>
      </c>
      <c r="AD156" t="e">
        <f>VLOOKUP($AC156,'oddspedia-matches'!$A:$AD,AD$2,0)</f>
        <v>#N/A</v>
      </c>
      <c r="AE156" t="e">
        <f>VLOOKUP($AC156,'oddspedia-matches'!$A:$AD,AE$2,0)</f>
        <v>#N/A</v>
      </c>
      <c r="AF156" t="e">
        <f>VLOOKUP($AC156,'oddspedia-matches'!$A:$AD,AF$2,0)</f>
        <v>#N/A</v>
      </c>
      <c r="AG156" t="e">
        <f>VLOOKUP($AC156,'oddspedia-matches'!$A:$AD,AG$2,0)</f>
        <v>#N/A</v>
      </c>
      <c r="AH156" t="e">
        <f>VLOOKUP($AC156,'oddspedia-matches'!$A:$AD,AH$2,0)</f>
        <v>#N/A</v>
      </c>
      <c r="AI156" t="e">
        <f>VLOOKUP($AC156,'oddspedia-matches'!$A:$AD,AI$2,0)</f>
        <v>#N/A</v>
      </c>
      <c r="AJ156" t="e">
        <f>VLOOKUP($AC156,'oddspedia-matches'!$A:$AD,AJ$2,0)</f>
        <v>#N/A</v>
      </c>
      <c r="AK156" t="e">
        <f>VLOOKUP($AC156,'oddspedia-matches'!$A:$AD,AK$2,0)</f>
        <v>#N/A</v>
      </c>
      <c r="AL156" t="e">
        <f>VLOOKUP($AC156,'oddspedia-matches'!$A:$AD,AL$2,0)</f>
        <v>#N/A</v>
      </c>
      <c r="AM156" t="e">
        <f>VLOOKUP($AC156,'oddspedia-matches'!$A:$AD,AM$2,0)</f>
        <v>#N/A</v>
      </c>
      <c r="AN156" t="e">
        <f>VLOOKUP($AC156,'oddspedia-matches'!$A:$AD,AN$2,0)</f>
        <v>#N/A</v>
      </c>
      <c r="AO156" t="e">
        <f>VLOOKUP($AC156,'oddspedia-matches'!$A:$AD,AO$2,0)</f>
        <v>#N/A</v>
      </c>
      <c r="AP156" t="e">
        <f>VLOOKUP($AC156,'oddspedia-matches'!$A:$AD,AP$2,0)</f>
        <v>#N/A</v>
      </c>
      <c r="AQ156" t="e">
        <f>VLOOKUP($AC156,'oddspedia-matches'!$A:$AD,AQ$2,0)</f>
        <v>#N/A</v>
      </c>
      <c r="AR156" t="e">
        <f>VLOOKUP($AC156,'oddspedia-matches'!$A:$AD,AR$2,0)</f>
        <v>#N/A</v>
      </c>
      <c r="AS156" t="e">
        <f>VLOOKUP($AC156,'oddspedia-matches'!$A:$AD,AS$2,0)</f>
        <v>#N/A</v>
      </c>
      <c r="AT156" t="e">
        <f>VLOOKUP($AC156,'oddspedia-matches'!$A:$AD,AT$2,0)</f>
        <v>#N/A</v>
      </c>
    </row>
    <row r="157" spans="2:46" x14ac:dyDescent="0.25">
      <c r="B157" s="17" t="s">
        <v>561</v>
      </c>
      <c r="C157" s="8" t="s">
        <v>508</v>
      </c>
      <c r="D157" s="18">
        <v>0.27083333333333331</v>
      </c>
      <c r="E157" s="8" t="s">
        <v>562</v>
      </c>
      <c r="F157" s="8" t="s">
        <v>563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s="8">
        <v>22.2</v>
      </c>
      <c r="Y157" s="8">
        <v>0</v>
      </c>
      <c r="Z157" s="19"/>
      <c r="AA157" t="str">
        <f>VLOOKUP(E157,'Transform table'!A:B,2,0)</f>
        <v>Qingdao Jonoon</v>
      </c>
      <c r="AB157" t="e">
        <f>VLOOKUP(F157,'Transform table'!A:B,2,0)</f>
        <v>#N/A</v>
      </c>
      <c r="AC157" t="e">
        <f t="shared" si="2"/>
        <v>#N/A</v>
      </c>
      <c r="AD157" t="e">
        <f>VLOOKUP($AC157,'oddspedia-matches'!$A:$AD,AD$2,0)</f>
        <v>#N/A</v>
      </c>
      <c r="AE157" t="e">
        <f>VLOOKUP($AC157,'oddspedia-matches'!$A:$AD,AE$2,0)</f>
        <v>#N/A</v>
      </c>
      <c r="AF157" t="e">
        <f>VLOOKUP($AC157,'oddspedia-matches'!$A:$AD,AF$2,0)</f>
        <v>#N/A</v>
      </c>
      <c r="AG157" t="e">
        <f>VLOOKUP($AC157,'oddspedia-matches'!$A:$AD,AG$2,0)</f>
        <v>#N/A</v>
      </c>
      <c r="AH157" t="e">
        <f>VLOOKUP($AC157,'oddspedia-matches'!$A:$AD,AH$2,0)</f>
        <v>#N/A</v>
      </c>
      <c r="AI157" t="e">
        <f>VLOOKUP($AC157,'oddspedia-matches'!$A:$AD,AI$2,0)</f>
        <v>#N/A</v>
      </c>
      <c r="AJ157" t="e">
        <f>VLOOKUP($AC157,'oddspedia-matches'!$A:$AD,AJ$2,0)</f>
        <v>#N/A</v>
      </c>
      <c r="AK157" t="e">
        <f>VLOOKUP($AC157,'oddspedia-matches'!$A:$AD,AK$2,0)</f>
        <v>#N/A</v>
      </c>
      <c r="AL157" t="e">
        <f>VLOOKUP($AC157,'oddspedia-matches'!$A:$AD,AL$2,0)</f>
        <v>#N/A</v>
      </c>
      <c r="AM157" t="e">
        <f>VLOOKUP($AC157,'oddspedia-matches'!$A:$AD,AM$2,0)</f>
        <v>#N/A</v>
      </c>
      <c r="AN157" t="e">
        <f>VLOOKUP($AC157,'oddspedia-matches'!$A:$AD,AN$2,0)</f>
        <v>#N/A</v>
      </c>
      <c r="AO157" t="e">
        <f>VLOOKUP($AC157,'oddspedia-matches'!$A:$AD,AO$2,0)</f>
        <v>#N/A</v>
      </c>
      <c r="AP157" t="e">
        <f>VLOOKUP($AC157,'oddspedia-matches'!$A:$AD,AP$2,0)</f>
        <v>#N/A</v>
      </c>
      <c r="AQ157" t="e">
        <f>VLOOKUP($AC157,'oddspedia-matches'!$A:$AD,AQ$2,0)</f>
        <v>#N/A</v>
      </c>
      <c r="AR157" t="e">
        <f>VLOOKUP($AC157,'oddspedia-matches'!$A:$AD,AR$2,0)</f>
        <v>#N/A</v>
      </c>
      <c r="AS157" t="e">
        <f>VLOOKUP($AC157,'oddspedia-matches'!$A:$AD,AS$2,0)</f>
        <v>#N/A</v>
      </c>
      <c r="AT157" t="e">
        <f>VLOOKUP($AC157,'oddspedia-matches'!$A:$AD,AT$2,0)</f>
        <v>#N/A</v>
      </c>
    </row>
    <row r="158" spans="2:46" x14ac:dyDescent="0.25">
      <c r="B158" s="9" t="s">
        <v>564</v>
      </c>
      <c r="C158" s="7" t="s">
        <v>508</v>
      </c>
      <c r="D158" s="20">
        <v>0.27083333333333331</v>
      </c>
      <c r="E158" s="7" t="s">
        <v>404</v>
      </c>
      <c r="F158" s="7" t="s">
        <v>565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s="7">
        <v>12.5</v>
      </c>
      <c r="Y158" s="7">
        <v>0</v>
      </c>
      <c r="Z158" s="21"/>
      <c r="AA158" t="str">
        <f>VLOOKUP(E158,'Transform table'!A:B,2,0)</f>
        <v>Dalian Kewei</v>
      </c>
      <c r="AB158" t="e">
        <f>VLOOKUP(F158,'Transform table'!A:B,2,0)</f>
        <v>#N/A</v>
      </c>
      <c r="AC158" t="e">
        <f t="shared" si="2"/>
        <v>#N/A</v>
      </c>
      <c r="AD158" t="e">
        <f>VLOOKUP($AC158,'oddspedia-matches'!$A:$AD,AD$2,0)</f>
        <v>#N/A</v>
      </c>
      <c r="AE158" t="e">
        <f>VLOOKUP($AC158,'oddspedia-matches'!$A:$AD,AE$2,0)</f>
        <v>#N/A</v>
      </c>
      <c r="AF158" t="e">
        <f>VLOOKUP($AC158,'oddspedia-matches'!$A:$AD,AF$2,0)</f>
        <v>#N/A</v>
      </c>
      <c r="AG158" t="e">
        <f>VLOOKUP($AC158,'oddspedia-matches'!$A:$AD,AG$2,0)</f>
        <v>#N/A</v>
      </c>
      <c r="AH158" t="e">
        <f>VLOOKUP($AC158,'oddspedia-matches'!$A:$AD,AH$2,0)</f>
        <v>#N/A</v>
      </c>
      <c r="AI158" t="e">
        <f>VLOOKUP($AC158,'oddspedia-matches'!$A:$AD,AI$2,0)</f>
        <v>#N/A</v>
      </c>
      <c r="AJ158" t="e">
        <f>VLOOKUP($AC158,'oddspedia-matches'!$A:$AD,AJ$2,0)</f>
        <v>#N/A</v>
      </c>
      <c r="AK158" t="e">
        <f>VLOOKUP($AC158,'oddspedia-matches'!$A:$AD,AK$2,0)</f>
        <v>#N/A</v>
      </c>
      <c r="AL158" t="e">
        <f>VLOOKUP($AC158,'oddspedia-matches'!$A:$AD,AL$2,0)</f>
        <v>#N/A</v>
      </c>
      <c r="AM158" t="e">
        <f>VLOOKUP($AC158,'oddspedia-matches'!$A:$AD,AM$2,0)</f>
        <v>#N/A</v>
      </c>
      <c r="AN158" t="e">
        <f>VLOOKUP($AC158,'oddspedia-matches'!$A:$AD,AN$2,0)</f>
        <v>#N/A</v>
      </c>
      <c r="AO158" t="e">
        <f>VLOOKUP($AC158,'oddspedia-matches'!$A:$AD,AO$2,0)</f>
        <v>#N/A</v>
      </c>
      <c r="AP158" t="e">
        <f>VLOOKUP($AC158,'oddspedia-matches'!$A:$AD,AP$2,0)</f>
        <v>#N/A</v>
      </c>
      <c r="AQ158" t="e">
        <f>VLOOKUP($AC158,'oddspedia-matches'!$A:$AD,AQ$2,0)</f>
        <v>#N/A</v>
      </c>
      <c r="AR158" t="e">
        <f>VLOOKUP($AC158,'oddspedia-matches'!$A:$AD,AR$2,0)</f>
        <v>#N/A</v>
      </c>
      <c r="AS158" t="e">
        <f>VLOOKUP($AC158,'oddspedia-matches'!$A:$AD,AS$2,0)</f>
        <v>#N/A</v>
      </c>
      <c r="AT158" t="e">
        <f>VLOOKUP($AC158,'oddspedia-matches'!$A:$AD,AT$2,0)</f>
        <v>#N/A</v>
      </c>
    </row>
    <row r="159" spans="2:46" x14ac:dyDescent="0.25">
      <c r="B159" s="17" t="s">
        <v>516</v>
      </c>
      <c r="C159" s="8" t="s">
        <v>508</v>
      </c>
      <c r="D159" s="18">
        <v>0.28125</v>
      </c>
      <c r="E159" s="8" t="s">
        <v>566</v>
      </c>
      <c r="F159" s="8" t="s">
        <v>567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s="8" t="s">
        <v>22</v>
      </c>
      <c r="Y159" s="8" t="s">
        <v>22</v>
      </c>
      <c r="Z159" s="19"/>
      <c r="AA159" t="str">
        <f>VLOOKUP(E159,'Transform table'!A:B,2,0)</f>
        <v>Metz</v>
      </c>
      <c r="AB159" t="e">
        <f>VLOOKUP(F159,'Transform table'!A:B,2,0)</f>
        <v>#N/A</v>
      </c>
      <c r="AC159" t="e">
        <f t="shared" si="2"/>
        <v>#N/A</v>
      </c>
      <c r="AD159" t="e">
        <f>VLOOKUP($AC159,'oddspedia-matches'!$A:$AD,AD$2,0)</f>
        <v>#N/A</v>
      </c>
      <c r="AE159" t="e">
        <f>VLOOKUP($AC159,'oddspedia-matches'!$A:$AD,AE$2,0)</f>
        <v>#N/A</v>
      </c>
      <c r="AF159" t="e">
        <f>VLOOKUP($AC159,'oddspedia-matches'!$A:$AD,AF$2,0)</f>
        <v>#N/A</v>
      </c>
      <c r="AG159" t="e">
        <f>VLOOKUP($AC159,'oddspedia-matches'!$A:$AD,AG$2,0)</f>
        <v>#N/A</v>
      </c>
      <c r="AH159" t="e">
        <f>VLOOKUP($AC159,'oddspedia-matches'!$A:$AD,AH$2,0)</f>
        <v>#N/A</v>
      </c>
      <c r="AI159" t="e">
        <f>VLOOKUP($AC159,'oddspedia-matches'!$A:$AD,AI$2,0)</f>
        <v>#N/A</v>
      </c>
      <c r="AJ159" t="e">
        <f>VLOOKUP($AC159,'oddspedia-matches'!$A:$AD,AJ$2,0)</f>
        <v>#N/A</v>
      </c>
      <c r="AK159" t="e">
        <f>VLOOKUP($AC159,'oddspedia-matches'!$A:$AD,AK$2,0)</f>
        <v>#N/A</v>
      </c>
      <c r="AL159" t="e">
        <f>VLOOKUP($AC159,'oddspedia-matches'!$A:$AD,AL$2,0)</f>
        <v>#N/A</v>
      </c>
      <c r="AM159" t="e">
        <f>VLOOKUP($AC159,'oddspedia-matches'!$A:$AD,AM$2,0)</f>
        <v>#N/A</v>
      </c>
      <c r="AN159" t="e">
        <f>VLOOKUP($AC159,'oddspedia-matches'!$A:$AD,AN$2,0)</f>
        <v>#N/A</v>
      </c>
      <c r="AO159" t="e">
        <f>VLOOKUP($AC159,'oddspedia-matches'!$A:$AD,AO$2,0)</f>
        <v>#N/A</v>
      </c>
      <c r="AP159" t="e">
        <f>VLOOKUP($AC159,'oddspedia-matches'!$A:$AD,AP$2,0)</f>
        <v>#N/A</v>
      </c>
      <c r="AQ159" t="e">
        <f>VLOOKUP($AC159,'oddspedia-matches'!$A:$AD,AQ$2,0)</f>
        <v>#N/A</v>
      </c>
      <c r="AR159" t="e">
        <f>VLOOKUP($AC159,'oddspedia-matches'!$A:$AD,AR$2,0)</f>
        <v>#N/A</v>
      </c>
      <c r="AS159" t="e">
        <f>VLOOKUP($AC159,'oddspedia-matches'!$A:$AD,AS$2,0)</f>
        <v>#N/A</v>
      </c>
      <c r="AT159" t="e">
        <f>VLOOKUP($AC159,'oddspedia-matches'!$A:$AD,AT$2,0)</f>
        <v>#N/A</v>
      </c>
    </row>
    <row r="160" spans="2:46" x14ac:dyDescent="0.25">
      <c r="B160" s="9" t="s">
        <v>464</v>
      </c>
      <c r="C160" s="7" t="s">
        <v>508</v>
      </c>
      <c r="D160" s="20">
        <v>0.3125</v>
      </c>
      <c r="E160" s="7" t="s">
        <v>32</v>
      </c>
      <c r="F160" s="7" t="s">
        <v>221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s="7">
        <v>11.1</v>
      </c>
      <c r="Y160" s="7">
        <v>22.2</v>
      </c>
      <c r="Z160" s="21"/>
      <c r="AA160" t="str">
        <f>VLOOKUP(E160,'Transform table'!A:B,2,0)</f>
        <v>Sangju Sangmu</v>
      </c>
      <c r="AB160" t="str">
        <f>VLOOKUP(F160,'Transform table'!A:B,2,0)</f>
        <v>Daejeon Citizen</v>
      </c>
      <c r="AC160" t="str">
        <f t="shared" si="2"/>
        <v>25/07/2026Sangju SangmuDaejeon Citizen</v>
      </c>
      <c r="AD160" t="e">
        <f>VLOOKUP($AC160,'oddspedia-matches'!$A:$AD,AD$2,0)</f>
        <v>#N/A</v>
      </c>
      <c r="AE160" t="e">
        <f>VLOOKUP($AC160,'oddspedia-matches'!$A:$AD,AE$2,0)</f>
        <v>#N/A</v>
      </c>
      <c r="AF160" t="e">
        <f>VLOOKUP($AC160,'oddspedia-matches'!$A:$AD,AF$2,0)</f>
        <v>#N/A</v>
      </c>
      <c r="AG160" t="e">
        <f>VLOOKUP($AC160,'oddspedia-matches'!$A:$AD,AG$2,0)</f>
        <v>#N/A</v>
      </c>
      <c r="AH160" t="e">
        <f>VLOOKUP($AC160,'oddspedia-matches'!$A:$AD,AH$2,0)</f>
        <v>#N/A</v>
      </c>
      <c r="AI160" t="e">
        <f>VLOOKUP($AC160,'oddspedia-matches'!$A:$AD,AI$2,0)</f>
        <v>#N/A</v>
      </c>
      <c r="AJ160" t="e">
        <f>VLOOKUP($AC160,'oddspedia-matches'!$A:$AD,AJ$2,0)</f>
        <v>#N/A</v>
      </c>
      <c r="AK160" t="e">
        <f>VLOOKUP($AC160,'oddspedia-matches'!$A:$AD,AK$2,0)</f>
        <v>#N/A</v>
      </c>
      <c r="AL160" t="e">
        <f>VLOOKUP($AC160,'oddspedia-matches'!$A:$AD,AL$2,0)</f>
        <v>#N/A</v>
      </c>
      <c r="AM160" t="e">
        <f>VLOOKUP($AC160,'oddspedia-matches'!$A:$AD,AM$2,0)</f>
        <v>#N/A</v>
      </c>
      <c r="AN160" t="e">
        <f>VLOOKUP($AC160,'oddspedia-matches'!$A:$AD,AN$2,0)</f>
        <v>#N/A</v>
      </c>
      <c r="AO160" t="e">
        <f>VLOOKUP($AC160,'oddspedia-matches'!$A:$AD,AO$2,0)</f>
        <v>#N/A</v>
      </c>
      <c r="AP160" t="e">
        <f>VLOOKUP($AC160,'oddspedia-matches'!$A:$AD,AP$2,0)</f>
        <v>#N/A</v>
      </c>
      <c r="AQ160" t="e">
        <f>VLOOKUP($AC160,'oddspedia-matches'!$A:$AD,AQ$2,0)</f>
        <v>#N/A</v>
      </c>
      <c r="AR160" t="e">
        <f>VLOOKUP($AC160,'oddspedia-matches'!$A:$AD,AR$2,0)</f>
        <v>#N/A</v>
      </c>
      <c r="AS160" t="e">
        <f>VLOOKUP($AC160,'oddspedia-matches'!$A:$AD,AS$2,0)</f>
        <v>#N/A</v>
      </c>
      <c r="AT160" t="e">
        <f>VLOOKUP($AC160,'oddspedia-matches'!$A:$AD,AT$2,0)</f>
        <v>#N/A</v>
      </c>
    </row>
    <row r="161" spans="2:46" x14ac:dyDescent="0.25">
      <c r="B161" s="17" t="s">
        <v>464</v>
      </c>
      <c r="C161" s="8" t="s">
        <v>508</v>
      </c>
      <c r="D161" s="18">
        <v>0.3125</v>
      </c>
      <c r="E161" s="8" t="s">
        <v>30</v>
      </c>
      <c r="F161" s="8" t="s">
        <v>220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s="8">
        <v>25</v>
      </c>
      <c r="Y161" s="8">
        <v>0</v>
      </c>
      <c r="Z161" s="19"/>
      <c r="AA161" t="str">
        <f>VLOOKUP(E161,'Transform table'!A:B,2,0)</f>
        <v>Pohang Steelers</v>
      </c>
      <c r="AB161" t="str">
        <f>VLOOKUP(F161,'Transform table'!A:B,2,0)</f>
        <v>Jeonbuk Hyundai Motors</v>
      </c>
      <c r="AC161" t="str">
        <f t="shared" si="2"/>
        <v>25/07/2026Pohang SteelersJeonbuk Hyundai Motors</v>
      </c>
      <c r="AD161" t="e">
        <f>VLOOKUP($AC161,'oddspedia-matches'!$A:$AD,AD$2,0)</f>
        <v>#N/A</v>
      </c>
      <c r="AE161" t="e">
        <f>VLOOKUP($AC161,'oddspedia-matches'!$A:$AD,AE$2,0)</f>
        <v>#N/A</v>
      </c>
      <c r="AF161" t="e">
        <f>VLOOKUP($AC161,'oddspedia-matches'!$A:$AD,AF$2,0)</f>
        <v>#N/A</v>
      </c>
      <c r="AG161" t="e">
        <f>VLOOKUP($AC161,'oddspedia-matches'!$A:$AD,AG$2,0)</f>
        <v>#N/A</v>
      </c>
      <c r="AH161" t="e">
        <f>VLOOKUP($AC161,'oddspedia-matches'!$A:$AD,AH$2,0)</f>
        <v>#N/A</v>
      </c>
      <c r="AI161" t="e">
        <f>VLOOKUP($AC161,'oddspedia-matches'!$A:$AD,AI$2,0)</f>
        <v>#N/A</v>
      </c>
      <c r="AJ161" t="e">
        <f>VLOOKUP($AC161,'oddspedia-matches'!$A:$AD,AJ$2,0)</f>
        <v>#N/A</v>
      </c>
      <c r="AK161" t="e">
        <f>VLOOKUP($AC161,'oddspedia-matches'!$A:$AD,AK$2,0)</f>
        <v>#N/A</v>
      </c>
      <c r="AL161" t="e">
        <f>VLOOKUP($AC161,'oddspedia-matches'!$A:$AD,AL$2,0)</f>
        <v>#N/A</v>
      </c>
      <c r="AM161" t="e">
        <f>VLOOKUP($AC161,'oddspedia-matches'!$A:$AD,AM$2,0)</f>
        <v>#N/A</v>
      </c>
      <c r="AN161" t="e">
        <f>VLOOKUP($AC161,'oddspedia-matches'!$A:$AD,AN$2,0)</f>
        <v>#N/A</v>
      </c>
      <c r="AO161" t="e">
        <f>VLOOKUP($AC161,'oddspedia-matches'!$A:$AD,AO$2,0)</f>
        <v>#N/A</v>
      </c>
      <c r="AP161" t="e">
        <f>VLOOKUP($AC161,'oddspedia-matches'!$A:$AD,AP$2,0)</f>
        <v>#N/A</v>
      </c>
      <c r="AQ161" t="e">
        <f>VLOOKUP($AC161,'oddspedia-matches'!$A:$AD,AQ$2,0)</f>
        <v>#N/A</v>
      </c>
      <c r="AR161" t="e">
        <f>VLOOKUP($AC161,'oddspedia-matches'!$A:$AD,AR$2,0)</f>
        <v>#N/A</v>
      </c>
      <c r="AS161" t="e">
        <f>VLOOKUP($AC161,'oddspedia-matches'!$A:$AD,AS$2,0)</f>
        <v>#N/A</v>
      </c>
      <c r="AT161" t="e">
        <f>VLOOKUP($AC161,'oddspedia-matches'!$A:$AD,AT$2,0)</f>
        <v>#N/A</v>
      </c>
    </row>
    <row r="162" spans="2:46" x14ac:dyDescent="0.25">
      <c r="B162" s="9" t="s">
        <v>491</v>
      </c>
      <c r="C162" s="7" t="s">
        <v>508</v>
      </c>
      <c r="D162" s="20">
        <v>0.3125</v>
      </c>
      <c r="E162" s="7" t="s">
        <v>568</v>
      </c>
      <c r="F162" s="7" t="s">
        <v>569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s="7">
        <v>25</v>
      </c>
      <c r="Y162" s="7">
        <v>25</v>
      </c>
      <c r="Z162" s="21"/>
      <c r="AA162" t="str">
        <f>VLOOKUP(E162,'Transform table'!A:B,2,0)</f>
        <v>Sangju Sangmu</v>
      </c>
      <c r="AB162" t="e">
        <f>VLOOKUP(F162,'Transform table'!A:B,2,0)</f>
        <v>#N/A</v>
      </c>
      <c r="AC162" t="e">
        <f t="shared" si="2"/>
        <v>#N/A</v>
      </c>
      <c r="AD162" t="e">
        <f>VLOOKUP($AC162,'oddspedia-matches'!$A:$AD,AD$2,0)</f>
        <v>#N/A</v>
      </c>
      <c r="AE162" t="e">
        <f>VLOOKUP($AC162,'oddspedia-matches'!$A:$AD,AE$2,0)</f>
        <v>#N/A</v>
      </c>
      <c r="AF162" t="e">
        <f>VLOOKUP($AC162,'oddspedia-matches'!$A:$AD,AF$2,0)</f>
        <v>#N/A</v>
      </c>
      <c r="AG162" t="e">
        <f>VLOOKUP($AC162,'oddspedia-matches'!$A:$AD,AG$2,0)</f>
        <v>#N/A</v>
      </c>
      <c r="AH162" t="e">
        <f>VLOOKUP($AC162,'oddspedia-matches'!$A:$AD,AH$2,0)</f>
        <v>#N/A</v>
      </c>
      <c r="AI162" t="e">
        <f>VLOOKUP($AC162,'oddspedia-matches'!$A:$AD,AI$2,0)</f>
        <v>#N/A</v>
      </c>
      <c r="AJ162" t="e">
        <f>VLOOKUP($AC162,'oddspedia-matches'!$A:$AD,AJ$2,0)</f>
        <v>#N/A</v>
      </c>
      <c r="AK162" t="e">
        <f>VLOOKUP($AC162,'oddspedia-matches'!$A:$AD,AK$2,0)</f>
        <v>#N/A</v>
      </c>
      <c r="AL162" t="e">
        <f>VLOOKUP($AC162,'oddspedia-matches'!$A:$AD,AL$2,0)</f>
        <v>#N/A</v>
      </c>
      <c r="AM162" t="e">
        <f>VLOOKUP($AC162,'oddspedia-matches'!$A:$AD,AM$2,0)</f>
        <v>#N/A</v>
      </c>
      <c r="AN162" t="e">
        <f>VLOOKUP($AC162,'oddspedia-matches'!$A:$AD,AN$2,0)</f>
        <v>#N/A</v>
      </c>
      <c r="AO162" t="e">
        <f>VLOOKUP($AC162,'oddspedia-matches'!$A:$AD,AO$2,0)</f>
        <v>#N/A</v>
      </c>
      <c r="AP162" t="e">
        <f>VLOOKUP($AC162,'oddspedia-matches'!$A:$AD,AP$2,0)</f>
        <v>#N/A</v>
      </c>
      <c r="AQ162" t="e">
        <f>VLOOKUP($AC162,'oddspedia-matches'!$A:$AD,AQ$2,0)</f>
        <v>#N/A</v>
      </c>
      <c r="AR162" t="e">
        <f>VLOOKUP($AC162,'oddspedia-matches'!$A:$AD,AR$2,0)</f>
        <v>#N/A</v>
      </c>
      <c r="AS162" t="e">
        <f>VLOOKUP($AC162,'oddspedia-matches'!$A:$AD,AS$2,0)</f>
        <v>#N/A</v>
      </c>
      <c r="AT162" t="e">
        <f>VLOOKUP($AC162,'oddspedia-matches'!$A:$AD,AT$2,0)</f>
        <v>#N/A</v>
      </c>
    </row>
    <row r="163" spans="2:46" x14ac:dyDescent="0.25">
      <c r="B163" s="17" t="s">
        <v>491</v>
      </c>
      <c r="C163" s="8" t="s">
        <v>508</v>
      </c>
      <c r="D163" s="18">
        <v>0.3125</v>
      </c>
      <c r="E163" s="8" t="s">
        <v>570</v>
      </c>
      <c r="F163" s="8" t="s">
        <v>571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s="8">
        <v>22.2</v>
      </c>
      <c r="Y163" s="8">
        <v>33.299999999999997</v>
      </c>
      <c r="Z163" s="19"/>
      <c r="AA163" t="str">
        <f>VLOOKUP(E163,'Transform table'!A:B,2,0)</f>
        <v>Gangwon</v>
      </c>
      <c r="AB163" t="e">
        <f>VLOOKUP(F163,'Transform table'!A:B,2,0)</f>
        <v>#N/A</v>
      </c>
      <c r="AC163" t="e">
        <f t="shared" si="2"/>
        <v>#N/A</v>
      </c>
      <c r="AD163" t="e">
        <f>VLOOKUP($AC163,'oddspedia-matches'!$A:$AD,AD$2,0)</f>
        <v>#N/A</v>
      </c>
      <c r="AE163" t="e">
        <f>VLOOKUP($AC163,'oddspedia-matches'!$A:$AD,AE$2,0)</f>
        <v>#N/A</v>
      </c>
      <c r="AF163" t="e">
        <f>VLOOKUP($AC163,'oddspedia-matches'!$A:$AD,AF$2,0)</f>
        <v>#N/A</v>
      </c>
      <c r="AG163" t="e">
        <f>VLOOKUP($AC163,'oddspedia-matches'!$A:$AD,AG$2,0)</f>
        <v>#N/A</v>
      </c>
      <c r="AH163" t="e">
        <f>VLOOKUP($AC163,'oddspedia-matches'!$A:$AD,AH$2,0)</f>
        <v>#N/A</v>
      </c>
      <c r="AI163" t="e">
        <f>VLOOKUP($AC163,'oddspedia-matches'!$A:$AD,AI$2,0)</f>
        <v>#N/A</v>
      </c>
      <c r="AJ163" t="e">
        <f>VLOOKUP($AC163,'oddspedia-matches'!$A:$AD,AJ$2,0)</f>
        <v>#N/A</v>
      </c>
      <c r="AK163" t="e">
        <f>VLOOKUP($AC163,'oddspedia-matches'!$A:$AD,AK$2,0)</f>
        <v>#N/A</v>
      </c>
      <c r="AL163" t="e">
        <f>VLOOKUP($AC163,'oddspedia-matches'!$A:$AD,AL$2,0)</f>
        <v>#N/A</v>
      </c>
      <c r="AM163" t="e">
        <f>VLOOKUP($AC163,'oddspedia-matches'!$A:$AD,AM$2,0)</f>
        <v>#N/A</v>
      </c>
      <c r="AN163" t="e">
        <f>VLOOKUP($AC163,'oddspedia-matches'!$A:$AD,AN$2,0)</f>
        <v>#N/A</v>
      </c>
      <c r="AO163" t="e">
        <f>VLOOKUP($AC163,'oddspedia-matches'!$A:$AD,AO$2,0)</f>
        <v>#N/A</v>
      </c>
      <c r="AP163" t="e">
        <f>VLOOKUP($AC163,'oddspedia-matches'!$A:$AD,AP$2,0)</f>
        <v>#N/A</v>
      </c>
      <c r="AQ163" t="e">
        <f>VLOOKUP($AC163,'oddspedia-matches'!$A:$AD,AQ$2,0)</f>
        <v>#N/A</v>
      </c>
      <c r="AR163" t="e">
        <f>VLOOKUP($AC163,'oddspedia-matches'!$A:$AD,AR$2,0)</f>
        <v>#N/A</v>
      </c>
      <c r="AS163" t="e">
        <f>VLOOKUP($AC163,'oddspedia-matches'!$A:$AD,AS$2,0)</f>
        <v>#N/A</v>
      </c>
      <c r="AT163" t="e">
        <f>VLOOKUP($AC163,'oddspedia-matches'!$A:$AD,AT$2,0)</f>
        <v>#N/A</v>
      </c>
    </row>
    <row r="164" spans="2:46" x14ac:dyDescent="0.25">
      <c r="B164" s="9" t="s">
        <v>491</v>
      </c>
      <c r="C164" s="7" t="s">
        <v>508</v>
      </c>
      <c r="D164" s="20">
        <v>0.3125</v>
      </c>
      <c r="E164" s="7" t="s">
        <v>572</v>
      </c>
      <c r="F164" s="7" t="s">
        <v>573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s="7">
        <v>8.3000000000000007</v>
      </c>
      <c r="Y164" s="7">
        <v>12.5</v>
      </c>
      <c r="Z164" s="21"/>
      <c r="AA164" t="str">
        <f>VLOOKUP(E164,'Transform table'!A:B,2,0)</f>
        <v>Anyang</v>
      </c>
      <c r="AB164" t="e">
        <f>VLOOKUP(F164,'Transform table'!A:B,2,0)</f>
        <v>#N/A</v>
      </c>
      <c r="AC164" t="e">
        <f t="shared" si="2"/>
        <v>#N/A</v>
      </c>
      <c r="AD164" t="e">
        <f>VLOOKUP($AC164,'oddspedia-matches'!$A:$AD,AD$2,0)</f>
        <v>#N/A</v>
      </c>
      <c r="AE164" t="e">
        <f>VLOOKUP($AC164,'oddspedia-matches'!$A:$AD,AE$2,0)</f>
        <v>#N/A</v>
      </c>
      <c r="AF164" t="e">
        <f>VLOOKUP($AC164,'oddspedia-matches'!$A:$AD,AF$2,0)</f>
        <v>#N/A</v>
      </c>
      <c r="AG164" t="e">
        <f>VLOOKUP($AC164,'oddspedia-matches'!$A:$AD,AG$2,0)</f>
        <v>#N/A</v>
      </c>
      <c r="AH164" t="e">
        <f>VLOOKUP($AC164,'oddspedia-matches'!$A:$AD,AH$2,0)</f>
        <v>#N/A</v>
      </c>
      <c r="AI164" t="e">
        <f>VLOOKUP($AC164,'oddspedia-matches'!$A:$AD,AI$2,0)</f>
        <v>#N/A</v>
      </c>
      <c r="AJ164" t="e">
        <f>VLOOKUP($AC164,'oddspedia-matches'!$A:$AD,AJ$2,0)</f>
        <v>#N/A</v>
      </c>
      <c r="AK164" t="e">
        <f>VLOOKUP($AC164,'oddspedia-matches'!$A:$AD,AK$2,0)</f>
        <v>#N/A</v>
      </c>
      <c r="AL164" t="e">
        <f>VLOOKUP($AC164,'oddspedia-matches'!$A:$AD,AL$2,0)</f>
        <v>#N/A</v>
      </c>
      <c r="AM164" t="e">
        <f>VLOOKUP($AC164,'oddspedia-matches'!$A:$AD,AM$2,0)</f>
        <v>#N/A</v>
      </c>
      <c r="AN164" t="e">
        <f>VLOOKUP($AC164,'oddspedia-matches'!$A:$AD,AN$2,0)</f>
        <v>#N/A</v>
      </c>
      <c r="AO164" t="e">
        <f>VLOOKUP($AC164,'oddspedia-matches'!$A:$AD,AO$2,0)</f>
        <v>#N/A</v>
      </c>
      <c r="AP164" t="e">
        <f>VLOOKUP($AC164,'oddspedia-matches'!$A:$AD,AP$2,0)</f>
        <v>#N/A</v>
      </c>
      <c r="AQ164" t="e">
        <f>VLOOKUP($AC164,'oddspedia-matches'!$A:$AD,AQ$2,0)</f>
        <v>#N/A</v>
      </c>
      <c r="AR164" t="e">
        <f>VLOOKUP($AC164,'oddspedia-matches'!$A:$AD,AR$2,0)</f>
        <v>#N/A</v>
      </c>
      <c r="AS164" t="e">
        <f>VLOOKUP($AC164,'oddspedia-matches'!$A:$AD,AS$2,0)</f>
        <v>#N/A</v>
      </c>
      <c r="AT164" t="e">
        <f>VLOOKUP($AC164,'oddspedia-matches'!$A:$AD,AT$2,0)</f>
        <v>#N/A</v>
      </c>
    </row>
    <row r="165" spans="2:46" x14ac:dyDescent="0.25">
      <c r="B165" s="17" t="s">
        <v>491</v>
      </c>
      <c r="C165" s="8" t="s">
        <v>508</v>
      </c>
      <c r="D165" s="18">
        <v>0.3125</v>
      </c>
      <c r="E165" s="8" t="s">
        <v>574</v>
      </c>
      <c r="F165" s="8" t="s">
        <v>575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s="8">
        <v>0</v>
      </c>
      <c r="Y165" s="8">
        <v>0</v>
      </c>
      <c r="Z165" s="19"/>
      <c r="AA165" t="str">
        <f>VLOOKUP(E165,'Transform table'!A:B,2,0)</f>
        <v>Daejeon Citizen</v>
      </c>
      <c r="AB165" t="e">
        <f>VLOOKUP(F165,'Transform table'!A:B,2,0)</f>
        <v>#N/A</v>
      </c>
      <c r="AC165" t="e">
        <f t="shared" si="2"/>
        <v>#N/A</v>
      </c>
      <c r="AD165" t="e">
        <f>VLOOKUP($AC165,'oddspedia-matches'!$A:$AD,AD$2,0)</f>
        <v>#N/A</v>
      </c>
      <c r="AE165" t="e">
        <f>VLOOKUP($AC165,'oddspedia-matches'!$A:$AD,AE$2,0)</f>
        <v>#N/A</v>
      </c>
      <c r="AF165" t="e">
        <f>VLOOKUP($AC165,'oddspedia-matches'!$A:$AD,AF$2,0)</f>
        <v>#N/A</v>
      </c>
      <c r="AG165" t="e">
        <f>VLOOKUP($AC165,'oddspedia-matches'!$A:$AD,AG$2,0)</f>
        <v>#N/A</v>
      </c>
      <c r="AH165" t="e">
        <f>VLOOKUP($AC165,'oddspedia-matches'!$A:$AD,AH$2,0)</f>
        <v>#N/A</v>
      </c>
      <c r="AI165" t="e">
        <f>VLOOKUP($AC165,'oddspedia-matches'!$A:$AD,AI$2,0)</f>
        <v>#N/A</v>
      </c>
      <c r="AJ165" t="e">
        <f>VLOOKUP($AC165,'oddspedia-matches'!$A:$AD,AJ$2,0)</f>
        <v>#N/A</v>
      </c>
      <c r="AK165" t="e">
        <f>VLOOKUP($AC165,'oddspedia-matches'!$A:$AD,AK$2,0)</f>
        <v>#N/A</v>
      </c>
      <c r="AL165" t="e">
        <f>VLOOKUP($AC165,'oddspedia-matches'!$A:$AD,AL$2,0)</f>
        <v>#N/A</v>
      </c>
      <c r="AM165" t="e">
        <f>VLOOKUP($AC165,'oddspedia-matches'!$A:$AD,AM$2,0)</f>
        <v>#N/A</v>
      </c>
      <c r="AN165" t="e">
        <f>VLOOKUP($AC165,'oddspedia-matches'!$A:$AD,AN$2,0)</f>
        <v>#N/A</v>
      </c>
      <c r="AO165" t="e">
        <f>VLOOKUP($AC165,'oddspedia-matches'!$A:$AD,AO$2,0)</f>
        <v>#N/A</v>
      </c>
      <c r="AP165" t="e">
        <f>VLOOKUP($AC165,'oddspedia-matches'!$A:$AD,AP$2,0)</f>
        <v>#N/A</v>
      </c>
      <c r="AQ165" t="e">
        <f>VLOOKUP($AC165,'oddspedia-matches'!$A:$AD,AQ$2,0)</f>
        <v>#N/A</v>
      </c>
      <c r="AR165" t="e">
        <f>VLOOKUP($AC165,'oddspedia-matches'!$A:$AD,AR$2,0)</f>
        <v>#N/A</v>
      </c>
      <c r="AS165" t="e">
        <f>VLOOKUP($AC165,'oddspedia-matches'!$A:$AD,AS$2,0)</f>
        <v>#N/A</v>
      </c>
      <c r="AT165" t="e">
        <f>VLOOKUP($AC165,'oddspedia-matches'!$A:$AD,AT$2,0)</f>
        <v>#N/A</v>
      </c>
    </row>
    <row r="166" spans="2:46" x14ac:dyDescent="0.25">
      <c r="B166" s="9" t="s">
        <v>576</v>
      </c>
      <c r="C166" s="7" t="s">
        <v>508</v>
      </c>
      <c r="D166" s="20">
        <v>0.33333333333333331</v>
      </c>
      <c r="E166" s="7" t="s">
        <v>577</v>
      </c>
      <c r="F166" s="7" t="s">
        <v>578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s="7">
        <v>14.3</v>
      </c>
      <c r="Y166" s="7">
        <v>0</v>
      </c>
      <c r="Z166" s="21"/>
      <c r="AA166" t="str">
        <f>VLOOKUP(E166,'Transform table'!A:B,2,0)</f>
        <v>Chengdu Qianbao</v>
      </c>
      <c r="AB166" t="e">
        <f>VLOOKUP(F166,'Transform table'!A:B,2,0)</f>
        <v>#N/A</v>
      </c>
      <c r="AC166" t="e">
        <f t="shared" si="2"/>
        <v>#N/A</v>
      </c>
      <c r="AD166" t="e">
        <f>VLOOKUP($AC166,'oddspedia-matches'!$A:$AD,AD$2,0)</f>
        <v>#N/A</v>
      </c>
      <c r="AE166" t="e">
        <f>VLOOKUP($AC166,'oddspedia-matches'!$A:$AD,AE$2,0)</f>
        <v>#N/A</v>
      </c>
      <c r="AF166" t="e">
        <f>VLOOKUP($AC166,'oddspedia-matches'!$A:$AD,AF$2,0)</f>
        <v>#N/A</v>
      </c>
      <c r="AG166" t="e">
        <f>VLOOKUP($AC166,'oddspedia-matches'!$A:$AD,AG$2,0)</f>
        <v>#N/A</v>
      </c>
      <c r="AH166" t="e">
        <f>VLOOKUP($AC166,'oddspedia-matches'!$A:$AD,AH$2,0)</f>
        <v>#N/A</v>
      </c>
      <c r="AI166" t="e">
        <f>VLOOKUP($AC166,'oddspedia-matches'!$A:$AD,AI$2,0)</f>
        <v>#N/A</v>
      </c>
      <c r="AJ166" t="e">
        <f>VLOOKUP($AC166,'oddspedia-matches'!$A:$AD,AJ$2,0)</f>
        <v>#N/A</v>
      </c>
      <c r="AK166" t="e">
        <f>VLOOKUP($AC166,'oddspedia-matches'!$A:$AD,AK$2,0)</f>
        <v>#N/A</v>
      </c>
      <c r="AL166" t="e">
        <f>VLOOKUP($AC166,'oddspedia-matches'!$A:$AD,AL$2,0)</f>
        <v>#N/A</v>
      </c>
      <c r="AM166" t="e">
        <f>VLOOKUP($AC166,'oddspedia-matches'!$A:$AD,AM$2,0)</f>
        <v>#N/A</v>
      </c>
      <c r="AN166" t="e">
        <f>VLOOKUP($AC166,'oddspedia-matches'!$A:$AD,AN$2,0)</f>
        <v>#N/A</v>
      </c>
      <c r="AO166" t="e">
        <f>VLOOKUP($AC166,'oddspedia-matches'!$A:$AD,AO$2,0)</f>
        <v>#N/A</v>
      </c>
      <c r="AP166" t="e">
        <f>VLOOKUP($AC166,'oddspedia-matches'!$A:$AD,AP$2,0)</f>
        <v>#N/A</v>
      </c>
      <c r="AQ166" t="e">
        <f>VLOOKUP($AC166,'oddspedia-matches'!$A:$AD,AQ$2,0)</f>
        <v>#N/A</v>
      </c>
      <c r="AR166" t="e">
        <f>VLOOKUP($AC166,'oddspedia-matches'!$A:$AD,AR$2,0)</f>
        <v>#N/A</v>
      </c>
      <c r="AS166" t="e">
        <f>VLOOKUP($AC166,'oddspedia-matches'!$A:$AD,AS$2,0)</f>
        <v>#N/A</v>
      </c>
      <c r="AT166" t="e">
        <f>VLOOKUP($AC166,'oddspedia-matches'!$A:$AD,AT$2,0)</f>
        <v>#N/A</v>
      </c>
    </row>
    <row r="167" spans="2:46" x14ac:dyDescent="0.25">
      <c r="B167" s="17" t="s">
        <v>576</v>
      </c>
      <c r="C167" s="8" t="s">
        <v>508</v>
      </c>
      <c r="D167" s="18">
        <v>0.33333333333333331</v>
      </c>
      <c r="E167" s="8" t="s">
        <v>579</v>
      </c>
      <c r="F167" s="8" t="s">
        <v>580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s="8">
        <v>28.6</v>
      </c>
      <c r="Y167" s="8">
        <v>42.9</v>
      </c>
      <c r="Z167" s="19"/>
      <c r="AA167">
        <f>VLOOKUP(E167,'Transform table'!A:B,2,0)</f>
        <v>0</v>
      </c>
      <c r="AB167" t="e">
        <f>VLOOKUP(F167,'Transform table'!A:B,2,0)</f>
        <v>#N/A</v>
      </c>
      <c r="AC167" t="e">
        <f t="shared" si="2"/>
        <v>#N/A</v>
      </c>
      <c r="AD167" t="e">
        <f>VLOOKUP($AC167,'oddspedia-matches'!$A:$AD,AD$2,0)</f>
        <v>#N/A</v>
      </c>
      <c r="AE167" t="e">
        <f>VLOOKUP($AC167,'oddspedia-matches'!$A:$AD,AE$2,0)</f>
        <v>#N/A</v>
      </c>
      <c r="AF167" t="e">
        <f>VLOOKUP($AC167,'oddspedia-matches'!$A:$AD,AF$2,0)</f>
        <v>#N/A</v>
      </c>
      <c r="AG167" t="e">
        <f>VLOOKUP($AC167,'oddspedia-matches'!$A:$AD,AG$2,0)</f>
        <v>#N/A</v>
      </c>
      <c r="AH167" t="e">
        <f>VLOOKUP($AC167,'oddspedia-matches'!$A:$AD,AH$2,0)</f>
        <v>#N/A</v>
      </c>
      <c r="AI167" t="e">
        <f>VLOOKUP($AC167,'oddspedia-matches'!$A:$AD,AI$2,0)</f>
        <v>#N/A</v>
      </c>
      <c r="AJ167" t="e">
        <f>VLOOKUP($AC167,'oddspedia-matches'!$A:$AD,AJ$2,0)</f>
        <v>#N/A</v>
      </c>
      <c r="AK167" t="e">
        <f>VLOOKUP($AC167,'oddspedia-matches'!$A:$AD,AK$2,0)</f>
        <v>#N/A</v>
      </c>
      <c r="AL167" t="e">
        <f>VLOOKUP($AC167,'oddspedia-matches'!$A:$AD,AL$2,0)</f>
        <v>#N/A</v>
      </c>
      <c r="AM167" t="e">
        <f>VLOOKUP($AC167,'oddspedia-matches'!$A:$AD,AM$2,0)</f>
        <v>#N/A</v>
      </c>
      <c r="AN167" t="e">
        <f>VLOOKUP($AC167,'oddspedia-matches'!$A:$AD,AN$2,0)</f>
        <v>#N/A</v>
      </c>
      <c r="AO167" t="e">
        <f>VLOOKUP($AC167,'oddspedia-matches'!$A:$AD,AO$2,0)</f>
        <v>#N/A</v>
      </c>
      <c r="AP167" t="e">
        <f>VLOOKUP($AC167,'oddspedia-matches'!$A:$AD,AP$2,0)</f>
        <v>#N/A</v>
      </c>
      <c r="AQ167" t="e">
        <f>VLOOKUP($AC167,'oddspedia-matches'!$A:$AD,AQ$2,0)</f>
        <v>#N/A</v>
      </c>
      <c r="AR167" t="e">
        <f>VLOOKUP($AC167,'oddspedia-matches'!$A:$AD,AR$2,0)</f>
        <v>#N/A</v>
      </c>
      <c r="AS167" t="e">
        <f>VLOOKUP($AC167,'oddspedia-matches'!$A:$AD,AS$2,0)</f>
        <v>#N/A</v>
      </c>
      <c r="AT167" t="e">
        <f>VLOOKUP($AC167,'oddspedia-matches'!$A:$AD,AT$2,0)</f>
        <v>#N/A</v>
      </c>
    </row>
    <row r="168" spans="2:46" x14ac:dyDescent="0.25">
      <c r="B168" s="9" t="s">
        <v>576</v>
      </c>
      <c r="C168" s="7" t="s">
        <v>508</v>
      </c>
      <c r="D168" s="20">
        <v>0.33333333333333331</v>
      </c>
      <c r="E168" s="7" t="s">
        <v>581</v>
      </c>
      <c r="F168" s="7" t="s">
        <v>582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s="7" t="s">
        <v>22</v>
      </c>
      <c r="Y168" s="7" t="s">
        <v>22</v>
      </c>
      <c r="Z168" s="21"/>
      <c r="AA168" t="str">
        <f>VLOOKUP(E168,'Transform table'!A:B,2,0)</f>
        <v>Shaanxi Union FC</v>
      </c>
      <c r="AB168" t="e">
        <f>VLOOKUP(F168,'Transform table'!A:B,2,0)</f>
        <v>#N/A</v>
      </c>
      <c r="AC168" t="e">
        <f t="shared" si="2"/>
        <v>#N/A</v>
      </c>
      <c r="AD168" t="e">
        <f>VLOOKUP($AC168,'oddspedia-matches'!$A:$AD,AD$2,0)</f>
        <v>#N/A</v>
      </c>
      <c r="AE168" t="e">
        <f>VLOOKUP($AC168,'oddspedia-matches'!$A:$AD,AE$2,0)</f>
        <v>#N/A</v>
      </c>
      <c r="AF168" t="e">
        <f>VLOOKUP($AC168,'oddspedia-matches'!$A:$AD,AF$2,0)</f>
        <v>#N/A</v>
      </c>
      <c r="AG168" t="e">
        <f>VLOOKUP($AC168,'oddspedia-matches'!$A:$AD,AG$2,0)</f>
        <v>#N/A</v>
      </c>
      <c r="AH168" t="e">
        <f>VLOOKUP($AC168,'oddspedia-matches'!$A:$AD,AH$2,0)</f>
        <v>#N/A</v>
      </c>
      <c r="AI168" t="e">
        <f>VLOOKUP($AC168,'oddspedia-matches'!$A:$AD,AI$2,0)</f>
        <v>#N/A</v>
      </c>
      <c r="AJ168" t="e">
        <f>VLOOKUP($AC168,'oddspedia-matches'!$A:$AD,AJ$2,0)</f>
        <v>#N/A</v>
      </c>
      <c r="AK168" t="e">
        <f>VLOOKUP($AC168,'oddspedia-matches'!$A:$AD,AK$2,0)</f>
        <v>#N/A</v>
      </c>
      <c r="AL168" t="e">
        <f>VLOOKUP($AC168,'oddspedia-matches'!$A:$AD,AL$2,0)</f>
        <v>#N/A</v>
      </c>
      <c r="AM168" t="e">
        <f>VLOOKUP($AC168,'oddspedia-matches'!$A:$AD,AM$2,0)</f>
        <v>#N/A</v>
      </c>
      <c r="AN168" t="e">
        <f>VLOOKUP($AC168,'oddspedia-matches'!$A:$AD,AN$2,0)</f>
        <v>#N/A</v>
      </c>
      <c r="AO168" t="e">
        <f>VLOOKUP($AC168,'oddspedia-matches'!$A:$AD,AO$2,0)</f>
        <v>#N/A</v>
      </c>
      <c r="AP168" t="e">
        <f>VLOOKUP($AC168,'oddspedia-matches'!$A:$AD,AP$2,0)</f>
        <v>#N/A</v>
      </c>
      <c r="AQ168" t="e">
        <f>VLOOKUP($AC168,'oddspedia-matches'!$A:$AD,AQ$2,0)</f>
        <v>#N/A</v>
      </c>
      <c r="AR168" t="e">
        <f>VLOOKUP($AC168,'oddspedia-matches'!$A:$AD,AR$2,0)</f>
        <v>#N/A</v>
      </c>
      <c r="AS168" t="e">
        <f>VLOOKUP($AC168,'oddspedia-matches'!$A:$AD,AS$2,0)</f>
        <v>#N/A</v>
      </c>
      <c r="AT168" t="e">
        <f>VLOOKUP($AC168,'oddspedia-matches'!$A:$AD,AT$2,0)</f>
        <v>#N/A</v>
      </c>
    </row>
    <row r="169" spans="2:46" x14ac:dyDescent="0.25">
      <c r="B169" s="17" t="s">
        <v>564</v>
      </c>
      <c r="C169" s="8" t="s">
        <v>508</v>
      </c>
      <c r="D169" s="18">
        <v>0.33333333333333331</v>
      </c>
      <c r="E169" s="8" t="s">
        <v>583</v>
      </c>
      <c r="F169" s="8" t="s">
        <v>584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s="8">
        <v>50</v>
      </c>
      <c r="Y169" s="8">
        <v>37.5</v>
      </c>
      <c r="Z169" s="19"/>
      <c r="AA169">
        <f>VLOOKUP(E169,'Transform table'!A:B,2,0)</f>
        <v>0</v>
      </c>
      <c r="AB169" t="e">
        <f>VLOOKUP(F169,'Transform table'!A:B,2,0)</f>
        <v>#N/A</v>
      </c>
      <c r="AC169" t="e">
        <f t="shared" si="2"/>
        <v>#N/A</v>
      </c>
      <c r="AD169" t="e">
        <f>VLOOKUP($AC169,'oddspedia-matches'!$A:$AD,AD$2,0)</f>
        <v>#N/A</v>
      </c>
      <c r="AE169" t="e">
        <f>VLOOKUP($AC169,'oddspedia-matches'!$A:$AD,AE$2,0)</f>
        <v>#N/A</v>
      </c>
      <c r="AF169" t="e">
        <f>VLOOKUP($AC169,'oddspedia-matches'!$A:$AD,AF$2,0)</f>
        <v>#N/A</v>
      </c>
      <c r="AG169" t="e">
        <f>VLOOKUP($AC169,'oddspedia-matches'!$A:$AD,AG$2,0)</f>
        <v>#N/A</v>
      </c>
      <c r="AH169" t="e">
        <f>VLOOKUP($AC169,'oddspedia-matches'!$A:$AD,AH$2,0)</f>
        <v>#N/A</v>
      </c>
      <c r="AI169" t="e">
        <f>VLOOKUP($AC169,'oddspedia-matches'!$A:$AD,AI$2,0)</f>
        <v>#N/A</v>
      </c>
      <c r="AJ169" t="e">
        <f>VLOOKUP($AC169,'oddspedia-matches'!$A:$AD,AJ$2,0)</f>
        <v>#N/A</v>
      </c>
      <c r="AK169" t="e">
        <f>VLOOKUP($AC169,'oddspedia-matches'!$A:$AD,AK$2,0)</f>
        <v>#N/A</v>
      </c>
      <c r="AL169" t="e">
        <f>VLOOKUP($AC169,'oddspedia-matches'!$A:$AD,AL$2,0)</f>
        <v>#N/A</v>
      </c>
      <c r="AM169" t="e">
        <f>VLOOKUP($AC169,'oddspedia-matches'!$A:$AD,AM$2,0)</f>
        <v>#N/A</v>
      </c>
      <c r="AN169" t="e">
        <f>VLOOKUP($AC169,'oddspedia-matches'!$A:$AD,AN$2,0)</f>
        <v>#N/A</v>
      </c>
      <c r="AO169" t="e">
        <f>VLOOKUP($AC169,'oddspedia-matches'!$A:$AD,AO$2,0)</f>
        <v>#N/A</v>
      </c>
      <c r="AP169" t="e">
        <f>VLOOKUP($AC169,'oddspedia-matches'!$A:$AD,AP$2,0)</f>
        <v>#N/A</v>
      </c>
      <c r="AQ169" t="e">
        <f>VLOOKUP($AC169,'oddspedia-matches'!$A:$AD,AQ$2,0)</f>
        <v>#N/A</v>
      </c>
      <c r="AR169" t="e">
        <f>VLOOKUP($AC169,'oddspedia-matches'!$A:$AD,AR$2,0)</f>
        <v>#N/A</v>
      </c>
      <c r="AS169" t="e">
        <f>VLOOKUP($AC169,'oddspedia-matches'!$A:$AD,AS$2,0)</f>
        <v>#N/A</v>
      </c>
      <c r="AT169" t="e">
        <f>VLOOKUP($AC169,'oddspedia-matches'!$A:$AD,AT$2,0)</f>
        <v>#N/A</v>
      </c>
    </row>
    <row r="170" spans="2:46" x14ac:dyDescent="0.25">
      <c r="B170" s="9" t="s">
        <v>564</v>
      </c>
      <c r="C170" s="7" t="s">
        <v>508</v>
      </c>
      <c r="D170" s="20">
        <v>0.33333333333333331</v>
      </c>
      <c r="E170" s="7" t="s">
        <v>585</v>
      </c>
      <c r="F170" s="7" t="s">
        <v>586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s="7">
        <v>12.5</v>
      </c>
      <c r="Y170" s="7">
        <v>12.5</v>
      </c>
      <c r="Z170" s="21"/>
      <c r="AA170">
        <f>VLOOKUP(E170,'Transform table'!A:B,2,0)</f>
        <v>0</v>
      </c>
      <c r="AB170" t="e">
        <f>VLOOKUP(F170,'Transform table'!A:B,2,0)</f>
        <v>#N/A</v>
      </c>
      <c r="AC170" t="e">
        <f t="shared" si="2"/>
        <v>#N/A</v>
      </c>
      <c r="AD170" t="e">
        <f>VLOOKUP($AC170,'oddspedia-matches'!$A:$AD,AD$2,0)</f>
        <v>#N/A</v>
      </c>
      <c r="AE170" t="e">
        <f>VLOOKUP($AC170,'oddspedia-matches'!$A:$AD,AE$2,0)</f>
        <v>#N/A</v>
      </c>
      <c r="AF170" t="e">
        <f>VLOOKUP($AC170,'oddspedia-matches'!$A:$AD,AF$2,0)</f>
        <v>#N/A</v>
      </c>
      <c r="AG170" t="e">
        <f>VLOOKUP($AC170,'oddspedia-matches'!$A:$AD,AG$2,0)</f>
        <v>#N/A</v>
      </c>
      <c r="AH170" t="e">
        <f>VLOOKUP($AC170,'oddspedia-matches'!$A:$AD,AH$2,0)</f>
        <v>#N/A</v>
      </c>
      <c r="AI170" t="e">
        <f>VLOOKUP($AC170,'oddspedia-matches'!$A:$AD,AI$2,0)</f>
        <v>#N/A</v>
      </c>
      <c r="AJ170" t="e">
        <f>VLOOKUP($AC170,'oddspedia-matches'!$A:$AD,AJ$2,0)</f>
        <v>#N/A</v>
      </c>
      <c r="AK170" t="e">
        <f>VLOOKUP($AC170,'oddspedia-matches'!$A:$AD,AK$2,0)</f>
        <v>#N/A</v>
      </c>
      <c r="AL170" t="e">
        <f>VLOOKUP($AC170,'oddspedia-matches'!$A:$AD,AL$2,0)</f>
        <v>#N/A</v>
      </c>
      <c r="AM170" t="e">
        <f>VLOOKUP($AC170,'oddspedia-matches'!$A:$AD,AM$2,0)</f>
        <v>#N/A</v>
      </c>
      <c r="AN170" t="e">
        <f>VLOOKUP($AC170,'oddspedia-matches'!$A:$AD,AN$2,0)</f>
        <v>#N/A</v>
      </c>
      <c r="AO170" t="e">
        <f>VLOOKUP($AC170,'oddspedia-matches'!$A:$AD,AO$2,0)</f>
        <v>#N/A</v>
      </c>
      <c r="AP170" t="e">
        <f>VLOOKUP($AC170,'oddspedia-matches'!$A:$AD,AP$2,0)</f>
        <v>#N/A</v>
      </c>
      <c r="AQ170" t="e">
        <f>VLOOKUP($AC170,'oddspedia-matches'!$A:$AD,AQ$2,0)</f>
        <v>#N/A</v>
      </c>
      <c r="AR170" t="e">
        <f>VLOOKUP($AC170,'oddspedia-matches'!$A:$AD,AR$2,0)</f>
        <v>#N/A</v>
      </c>
      <c r="AS170" t="e">
        <f>VLOOKUP($AC170,'oddspedia-matches'!$A:$AD,AS$2,0)</f>
        <v>#N/A</v>
      </c>
      <c r="AT170" t="e">
        <f>VLOOKUP($AC170,'oddspedia-matches'!$A:$AD,AT$2,0)</f>
        <v>#N/A</v>
      </c>
    </row>
    <row r="171" spans="2:46" x14ac:dyDescent="0.25">
      <c r="B171" s="17" t="s">
        <v>587</v>
      </c>
      <c r="C171" s="8" t="s">
        <v>508</v>
      </c>
      <c r="D171" s="18">
        <v>0.33333333333333331</v>
      </c>
      <c r="E171" s="8" t="s">
        <v>588</v>
      </c>
      <c r="F171" s="8" t="s">
        <v>257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s="8" t="s">
        <v>22</v>
      </c>
      <c r="Y171" s="8" t="s">
        <v>22</v>
      </c>
      <c r="Z171" s="19"/>
      <c r="AA171">
        <f>VLOOKUP(E171,'Transform table'!A:B,2,0)</f>
        <v>0</v>
      </c>
      <c r="AB171" t="str">
        <f>VLOOKUP(F171,'Transform table'!A:B,2,0)</f>
        <v>Rigas Futbola Skola II</v>
      </c>
      <c r="AC171" t="str">
        <f t="shared" si="2"/>
        <v>25/07/20260Rigas Futbola Skola II</v>
      </c>
      <c r="AD171" t="e">
        <f>VLOOKUP($AC171,'oddspedia-matches'!$A:$AD,AD$2,0)</f>
        <v>#N/A</v>
      </c>
      <c r="AE171" t="e">
        <f>VLOOKUP($AC171,'oddspedia-matches'!$A:$AD,AE$2,0)</f>
        <v>#N/A</v>
      </c>
      <c r="AF171" t="e">
        <f>VLOOKUP($AC171,'oddspedia-matches'!$A:$AD,AF$2,0)</f>
        <v>#N/A</v>
      </c>
      <c r="AG171" t="e">
        <f>VLOOKUP($AC171,'oddspedia-matches'!$A:$AD,AG$2,0)</f>
        <v>#N/A</v>
      </c>
      <c r="AH171" t="e">
        <f>VLOOKUP($AC171,'oddspedia-matches'!$A:$AD,AH$2,0)</f>
        <v>#N/A</v>
      </c>
      <c r="AI171" t="e">
        <f>VLOOKUP($AC171,'oddspedia-matches'!$A:$AD,AI$2,0)</f>
        <v>#N/A</v>
      </c>
      <c r="AJ171" t="e">
        <f>VLOOKUP($AC171,'oddspedia-matches'!$A:$AD,AJ$2,0)</f>
        <v>#N/A</v>
      </c>
      <c r="AK171" t="e">
        <f>VLOOKUP($AC171,'oddspedia-matches'!$A:$AD,AK$2,0)</f>
        <v>#N/A</v>
      </c>
      <c r="AL171" t="e">
        <f>VLOOKUP($AC171,'oddspedia-matches'!$A:$AD,AL$2,0)</f>
        <v>#N/A</v>
      </c>
      <c r="AM171" t="e">
        <f>VLOOKUP($AC171,'oddspedia-matches'!$A:$AD,AM$2,0)</f>
        <v>#N/A</v>
      </c>
      <c r="AN171" t="e">
        <f>VLOOKUP($AC171,'oddspedia-matches'!$A:$AD,AN$2,0)</f>
        <v>#N/A</v>
      </c>
      <c r="AO171" t="e">
        <f>VLOOKUP($AC171,'oddspedia-matches'!$A:$AD,AO$2,0)</f>
        <v>#N/A</v>
      </c>
      <c r="AP171" t="e">
        <f>VLOOKUP($AC171,'oddspedia-matches'!$A:$AD,AP$2,0)</f>
        <v>#N/A</v>
      </c>
      <c r="AQ171" t="e">
        <f>VLOOKUP($AC171,'oddspedia-matches'!$A:$AD,AQ$2,0)</f>
        <v>#N/A</v>
      </c>
      <c r="AR171" t="e">
        <f>VLOOKUP($AC171,'oddspedia-matches'!$A:$AD,AR$2,0)</f>
        <v>#N/A</v>
      </c>
      <c r="AS171" t="e">
        <f>VLOOKUP($AC171,'oddspedia-matches'!$A:$AD,AS$2,0)</f>
        <v>#N/A</v>
      </c>
      <c r="AT171" t="e">
        <f>VLOOKUP($AC171,'oddspedia-matches'!$A:$AD,AT$2,0)</f>
        <v>#N/A</v>
      </c>
    </row>
    <row r="172" spans="2:46" x14ac:dyDescent="0.25">
      <c r="B172" s="9" t="s">
        <v>576</v>
      </c>
      <c r="C172" s="7" t="s">
        <v>508</v>
      </c>
      <c r="D172" s="20">
        <v>0.35416666666666669</v>
      </c>
      <c r="E172" s="7" t="s">
        <v>589</v>
      </c>
      <c r="F172" s="7" t="s">
        <v>590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s="7" t="s">
        <v>22</v>
      </c>
      <c r="Y172" s="7" t="s">
        <v>22</v>
      </c>
      <c r="Z172" s="21"/>
      <c r="AA172">
        <f>VLOOKUP(E172,'Transform table'!A:B,2,0)</f>
        <v>0</v>
      </c>
      <c r="AB172" t="e">
        <f>VLOOKUP(F172,'Transform table'!A:B,2,0)</f>
        <v>#N/A</v>
      </c>
      <c r="AC172" t="e">
        <f t="shared" si="2"/>
        <v>#N/A</v>
      </c>
      <c r="AD172" t="e">
        <f>VLOOKUP($AC172,'oddspedia-matches'!$A:$AD,AD$2,0)</f>
        <v>#N/A</v>
      </c>
      <c r="AE172" t="e">
        <f>VLOOKUP($AC172,'oddspedia-matches'!$A:$AD,AE$2,0)</f>
        <v>#N/A</v>
      </c>
      <c r="AF172" t="e">
        <f>VLOOKUP($AC172,'oddspedia-matches'!$A:$AD,AF$2,0)</f>
        <v>#N/A</v>
      </c>
      <c r="AG172" t="e">
        <f>VLOOKUP($AC172,'oddspedia-matches'!$A:$AD,AG$2,0)</f>
        <v>#N/A</v>
      </c>
      <c r="AH172" t="e">
        <f>VLOOKUP($AC172,'oddspedia-matches'!$A:$AD,AH$2,0)</f>
        <v>#N/A</v>
      </c>
      <c r="AI172" t="e">
        <f>VLOOKUP($AC172,'oddspedia-matches'!$A:$AD,AI$2,0)</f>
        <v>#N/A</v>
      </c>
      <c r="AJ172" t="e">
        <f>VLOOKUP($AC172,'oddspedia-matches'!$A:$AD,AJ$2,0)</f>
        <v>#N/A</v>
      </c>
      <c r="AK172" t="e">
        <f>VLOOKUP($AC172,'oddspedia-matches'!$A:$AD,AK$2,0)</f>
        <v>#N/A</v>
      </c>
      <c r="AL172" t="e">
        <f>VLOOKUP($AC172,'oddspedia-matches'!$A:$AD,AL$2,0)</f>
        <v>#N/A</v>
      </c>
      <c r="AM172" t="e">
        <f>VLOOKUP($AC172,'oddspedia-matches'!$A:$AD,AM$2,0)</f>
        <v>#N/A</v>
      </c>
      <c r="AN172" t="e">
        <f>VLOOKUP($AC172,'oddspedia-matches'!$A:$AD,AN$2,0)</f>
        <v>#N/A</v>
      </c>
      <c r="AO172" t="e">
        <f>VLOOKUP($AC172,'oddspedia-matches'!$A:$AD,AO$2,0)</f>
        <v>#N/A</v>
      </c>
      <c r="AP172" t="e">
        <f>VLOOKUP($AC172,'oddspedia-matches'!$A:$AD,AP$2,0)</f>
        <v>#N/A</v>
      </c>
      <c r="AQ172" t="e">
        <f>VLOOKUP($AC172,'oddspedia-matches'!$A:$AD,AQ$2,0)</f>
        <v>#N/A</v>
      </c>
      <c r="AR172" t="e">
        <f>VLOOKUP($AC172,'oddspedia-matches'!$A:$AD,AR$2,0)</f>
        <v>#N/A</v>
      </c>
      <c r="AS172" t="e">
        <f>VLOOKUP($AC172,'oddspedia-matches'!$A:$AD,AS$2,0)</f>
        <v>#N/A</v>
      </c>
      <c r="AT172" t="e">
        <f>VLOOKUP($AC172,'oddspedia-matches'!$A:$AD,AT$2,0)</f>
        <v>#N/A</v>
      </c>
    </row>
    <row r="173" spans="2:46" x14ac:dyDescent="0.25">
      <c r="B173" s="17" t="s">
        <v>576</v>
      </c>
      <c r="C173" s="8" t="s">
        <v>508</v>
      </c>
      <c r="D173" s="18">
        <v>0.35416666666666669</v>
      </c>
      <c r="E173" s="8" t="s">
        <v>591</v>
      </c>
      <c r="F173" s="8" t="s">
        <v>592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s="8" t="s">
        <v>22</v>
      </c>
      <c r="Y173" s="8" t="s">
        <v>22</v>
      </c>
      <c r="Z173" s="19"/>
      <c r="AA173">
        <f>VLOOKUP(E173,'Transform table'!A:B,2,0)</f>
        <v>0</v>
      </c>
      <c r="AB173" t="e">
        <f>VLOOKUP(F173,'Transform table'!A:B,2,0)</f>
        <v>#N/A</v>
      </c>
      <c r="AC173" t="e">
        <f t="shared" si="2"/>
        <v>#N/A</v>
      </c>
      <c r="AD173" t="e">
        <f>VLOOKUP($AC173,'oddspedia-matches'!$A:$AD,AD$2,0)</f>
        <v>#N/A</v>
      </c>
      <c r="AE173" t="e">
        <f>VLOOKUP($AC173,'oddspedia-matches'!$A:$AD,AE$2,0)</f>
        <v>#N/A</v>
      </c>
      <c r="AF173" t="e">
        <f>VLOOKUP($AC173,'oddspedia-matches'!$A:$AD,AF$2,0)</f>
        <v>#N/A</v>
      </c>
      <c r="AG173" t="e">
        <f>VLOOKUP($AC173,'oddspedia-matches'!$A:$AD,AG$2,0)</f>
        <v>#N/A</v>
      </c>
      <c r="AH173" t="e">
        <f>VLOOKUP($AC173,'oddspedia-matches'!$A:$AD,AH$2,0)</f>
        <v>#N/A</v>
      </c>
      <c r="AI173" t="e">
        <f>VLOOKUP($AC173,'oddspedia-matches'!$A:$AD,AI$2,0)</f>
        <v>#N/A</v>
      </c>
      <c r="AJ173" t="e">
        <f>VLOOKUP($AC173,'oddspedia-matches'!$A:$AD,AJ$2,0)</f>
        <v>#N/A</v>
      </c>
      <c r="AK173" t="e">
        <f>VLOOKUP($AC173,'oddspedia-matches'!$A:$AD,AK$2,0)</f>
        <v>#N/A</v>
      </c>
      <c r="AL173" t="e">
        <f>VLOOKUP($AC173,'oddspedia-matches'!$A:$AD,AL$2,0)</f>
        <v>#N/A</v>
      </c>
      <c r="AM173" t="e">
        <f>VLOOKUP($AC173,'oddspedia-matches'!$A:$AD,AM$2,0)</f>
        <v>#N/A</v>
      </c>
      <c r="AN173" t="e">
        <f>VLOOKUP($AC173,'oddspedia-matches'!$A:$AD,AN$2,0)</f>
        <v>#N/A</v>
      </c>
      <c r="AO173" t="e">
        <f>VLOOKUP($AC173,'oddspedia-matches'!$A:$AD,AO$2,0)</f>
        <v>#N/A</v>
      </c>
      <c r="AP173" t="e">
        <f>VLOOKUP($AC173,'oddspedia-matches'!$A:$AD,AP$2,0)</f>
        <v>#N/A</v>
      </c>
      <c r="AQ173" t="e">
        <f>VLOOKUP($AC173,'oddspedia-matches'!$A:$AD,AQ$2,0)</f>
        <v>#N/A</v>
      </c>
      <c r="AR173" t="e">
        <f>VLOOKUP($AC173,'oddspedia-matches'!$A:$AD,AR$2,0)</f>
        <v>#N/A</v>
      </c>
      <c r="AS173" t="e">
        <f>VLOOKUP($AC173,'oddspedia-matches'!$A:$AD,AS$2,0)</f>
        <v>#N/A</v>
      </c>
      <c r="AT173" t="e">
        <f>VLOOKUP($AC173,'oddspedia-matches'!$A:$AD,AT$2,0)</f>
        <v>#N/A</v>
      </c>
    </row>
    <row r="174" spans="2:46" x14ac:dyDescent="0.25">
      <c r="B174" s="9" t="s">
        <v>564</v>
      </c>
      <c r="C174" s="7" t="s">
        <v>508</v>
      </c>
      <c r="D174" s="20">
        <v>0.35416666666666669</v>
      </c>
      <c r="E174" s="7" t="s">
        <v>593</v>
      </c>
      <c r="F174" s="7" t="s">
        <v>594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s="7" t="s">
        <v>22</v>
      </c>
      <c r="Y174" s="7" t="s">
        <v>22</v>
      </c>
      <c r="Z174" s="21"/>
      <c r="AA174">
        <f>VLOOKUP(E174,'Transform table'!A:B,2,0)</f>
        <v>0</v>
      </c>
      <c r="AB174" t="e">
        <f>VLOOKUP(F174,'Transform table'!A:B,2,0)</f>
        <v>#N/A</v>
      </c>
      <c r="AC174" t="e">
        <f t="shared" si="2"/>
        <v>#N/A</v>
      </c>
      <c r="AD174" t="e">
        <f>VLOOKUP($AC174,'oddspedia-matches'!$A:$AD,AD$2,0)</f>
        <v>#N/A</v>
      </c>
      <c r="AE174" t="e">
        <f>VLOOKUP($AC174,'oddspedia-matches'!$A:$AD,AE$2,0)</f>
        <v>#N/A</v>
      </c>
      <c r="AF174" t="e">
        <f>VLOOKUP($AC174,'oddspedia-matches'!$A:$AD,AF$2,0)</f>
        <v>#N/A</v>
      </c>
      <c r="AG174" t="e">
        <f>VLOOKUP($AC174,'oddspedia-matches'!$A:$AD,AG$2,0)</f>
        <v>#N/A</v>
      </c>
      <c r="AH174" t="e">
        <f>VLOOKUP($AC174,'oddspedia-matches'!$A:$AD,AH$2,0)</f>
        <v>#N/A</v>
      </c>
      <c r="AI174" t="e">
        <f>VLOOKUP($AC174,'oddspedia-matches'!$A:$AD,AI$2,0)</f>
        <v>#N/A</v>
      </c>
      <c r="AJ174" t="e">
        <f>VLOOKUP($AC174,'oddspedia-matches'!$A:$AD,AJ$2,0)</f>
        <v>#N/A</v>
      </c>
      <c r="AK174" t="e">
        <f>VLOOKUP($AC174,'oddspedia-matches'!$A:$AD,AK$2,0)</f>
        <v>#N/A</v>
      </c>
      <c r="AL174" t="e">
        <f>VLOOKUP($AC174,'oddspedia-matches'!$A:$AD,AL$2,0)</f>
        <v>#N/A</v>
      </c>
      <c r="AM174" t="e">
        <f>VLOOKUP($AC174,'oddspedia-matches'!$A:$AD,AM$2,0)</f>
        <v>#N/A</v>
      </c>
      <c r="AN174" t="e">
        <f>VLOOKUP($AC174,'oddspedia-matches'!$A:$AD,AN$2,0)</f>
        <v>#N/A</v>
      </c>
      <c r="AO174" t="e">
        <f>VLOOKUP($AC174,'oddspedia-matches'!$A:$AD,AO$2,0)</f>
        <v>#N/A</v>
      </c>
      <c r="AP174" t="e">
        <f>VLOOKUP($AC174,'oddspedia-matches'!$A:$AD,AP$2,0)</f>
        <v>#N/A</v>
      </c>
      <c r="AQ174" t="e">
        <f>VLOOKUP($AC174,'oddspedia-matches'!$A:$AD,AQ$2,0)</f>
        <v>#N/A</v>
      </c>
      <c r="AR174" t="e">
        <f>VLOOKUP($AC174,'oddspedia-matches'!$A:$AD,AR$2,0)</f>
        <v>#N/A</v>
      </c>
      <c r="AS174" t="e">
        <f>VLOOKUP($AC174,'oddspedia-matches'!$A:$AD,AS$2,0)</f>
        <v>#N/A</v>
      </c>
      <c r="AT174" t="e">
        <f>VLOOKUP($AC174,'oddspedia-matches'!$A:$AD,AT$2,0)</f>
        <v>#N/A</v>
      </c>
    </row>
    <row r="175" spans="2:46" x14ac:dyDescent="0.25">
      <c r="B175" s="17" t="s">
        <v>564</v>
      </c>
      <c r="C175" s="8" t="s">
        <v>508</v>
      </c>
      <c r="D175" s="18">
        <v>0.35416666666666669</v>
      </c>
      <c r="E175" s="8" t="s">
        <v>595</v>
      </c>
      <c r="F175" s="8" t="s">
        <v>596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s="8">
        <v>22.2</v>
      </c>
      <c r="Y175" s="8">
        <v>25</v>
      </c>
      <c r="Z175" s="19"/>
      <c r="AA175">
        <f>VLOOKUP(E175,'Transform table'!A:B,2,0)</f>
        <v>0</v>
      </c>
      <c r="AB175" t="e">
        <f>VLOOKUP(F175,'Transform table'!A:B,2,0)</f>
        <v>#N/A</v>
      </c>
      <c r="AC175" t="e">
        <f t="shared" si="2"/>
        <v>#N/A</v>
      </c>
      <c r="AD175" t="e">
        <f>VLOOKUP($AC175,'oddspedia-matches'!$A:$AD,AD$2,0)</f>
        <v>#N/A</v>
      </c>
      <c r="AE175" t="e">
        <f>VLOOKUP($AC175,'oddspedia-matches'!$A:$AD,AE$2,0)</f>
        <v>#N/A</v>
      </c>
      <c r="AF175" t="e">
        <f>VLOOKUP($AC175,'oddspedia-matches'!$A:$AD,AF$2,0)</f>
        <v>#N/A</v>
      </c>
      <c r="AG175" t="e">
        <f>VLOOKUP($AC175,'oddspedia-matches'!$A:$AD,AG$2,0)</f>
        <v>#N/A</v>
      </c>
      <c r="AH175" t="e">
        <f>VLOOKUP($AC175,'oddspedia-matches'!$A:$AD,AH$2,0)</f>
        <v>#N/A</v>
      </c>
      <c r="AI175" t="e">
        <f>VLOOKUP($AC175,'oddspedia-matches'!$A:$AD,AI$2,0)</f>
        <v>#N/A</v>
      </c>
      <c r="AJ175" t="e">
        <f>VLOOKUP($AC175,'oddspedia-matches'!$A:$AD,AJ$2,0)</f>
        <v>#N/A</v>
      </c>
      <c r="AK175" t="e">
        <f>VLOOKUP($AC175,'oddspedia-matches'!$A:$AD,AK$2,0)</f>
        <v>#N/A</v>
      </c>
      <c r="AL175" t="e">
        <f>VLOOKUP($AC175,'oddspedia-matches'!$A:$AD,AL$2,0)</f>
        <v>#N/A</v>
      </c>
      <c r="AM175" t="e">
        <f>VLOOKUP($AC175,'oddspedia-matches'!$A:$AD,AM$2,0)</f>
        <v>#N/A</v>
      </c>
      <c r="AN175" t="e">
        <f>VLOOKUP($AC175,'oddspedia-matches'!$A:$AD,AN$2,0)</f>
        <v>#N/A</v>
      </c>
      <c r="AO175" t="e">
        <f>VLOOKUP($AC175,'oddspedia-matches'!$A:$AD,AO$2,0)</f>
        <v>#N/A</v>
      </c>
      <c r="AP175" t="e">
        <f>VLOOKUP($AC175,'oddspedia-matches'!$A:$AD,AP$2,0)</f>
        <v>#N/A</v>
      </c>
      <c r="AQ175" t="e">
        <f>VLOOKUP($AC175,'oddspedia-matches'!$A:$AD,AQ$2,0)</f>
        <v>#N/A</v>
      </c>
      <c r="AR175" t="e">
        <f>VLOOKUP($AC175,'oddspedia-matches'!$A:$AD,AR$2,0)</f>
        <v>#N/A</v>
      </c>
      <c r="AS175" t="e">
        <f>VLOOKUP($AC175,'oddspedia-matches'!$A:$AD,AS$2,0)</f>
        <v>#N/A</v>
      </c>
      <c r="AT175" t="e">
        <f>VLOOKUP($AC175,'oddspedia-matches'!$A:$AD,AT$2,0)</f>
        <v>#N/A</v>
      </c>
    </row>
    <row r="176" spans="2:46" x14ac:dyDescent="0.25">
      <c r="B176" s="9" t="s">
        <v>564</v>
      </c>
      <c r="C176" s="7" t="s">
        <v>508</v>
      </c>
      <c r="D176" s="20">
        <v>0.35416666666666669</v>
      </c>
      <c r="E176" s="7" t="s">
        <v>597</v>
      </c>
      <c r="F176" s="7" t="s">
        <v>598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s="7" t="s">
        <v>22</v>
      </c>
      <c r="Y176" s="7" t="s">
        <v>22</v>
      </c>
      <c r="Z176" s="21"/>
      <c r="AA176">
        <f>VLOOKUP(E176,'Transform table'!A:B,2,0)</f>
        <v>0</v>
      </c>
      <c r="AB176" t="e">
        <f>VLOOKUP(F176,'Transform table'!A:B,2,0)</f>
        <v>#N/A</v>
      </c>
      <c r="AC176" t="e">
        <f t="shared" si="2"/>
        <v>#N/A</v>
      </c>
      <c r="AD176" t="e">
        <f>VLOOKUP($AC176,'oddspedia-matches'!$A:$AD,AD$2,0)</f>
        <v>#N/A</v>
      </c>
      <c r="AE176" t="e">
        <f>VLOOKUP($AC176,'oddspedia-matches'!$A:$AD,AE$2,0)</f>
        <v>#N/A</v>
      </c>
      <c r="AF176" t="e">
        <f>VLOOKUP($AC176,'oddspedia-matches'!$A:$AD,AF$2,0)</f>
        <v>#N/A</v>
      </c>
      <c r="AG176" t="e">
        <f>VLOOKUP($AC176,'oddspedia-matches'!$A:$AD,AG$2,0)</f>
        <v>#N/A</v>
      </c>
      <c r="AH176" t="e">
        <f>VLOOKUP($AC176,'oddspedia-matches'!$A:$AD,AH$2,0)</f>
        <v>#N/A</v>
      </c>
      <c r="AI176" t="e">
        <f>VLOOKUP($AC176,'oddspedia-matches'!$A:$AD,AI$2,0)</f>
        <v>#N/A</v>
      </c>
      <c r="AJ176" t="e">
        <f>VLOOKUP($AC176,'oddspedia-matches'!$A:$AD,AJ$2,0)</f>
        <v>#N/A</v>
      </c>
      <c r="AK176" t="e">
        <f>VLOOKUP($AC176,'oddspedia-matches'!$A:$AD,AK$2,0)</f>
        <v>#N/A</v>
      </c>
      <c r="AL176" t="e">
        <f>VLOOKUP($AC176,'oddspedia-matches'!$A:$AD,AL$2,0)</f>
        <v>#N/A</v>
      </c>
      <c r="AM176" t="e">
        <f>VLOOKUP($AC176,'oddspedia-matches'!$A:$AD,AM$2,0)</f>
        <v>#N/A</v>
      </c>
      <c r="AN176" t="e">
        <f>VLOOKUP($AC176,'oddspedia-matches'!$A:$AD,AN$2,0)</f>
        <v>#N/A</v>
      </c>
      <c r="AO176" t="e">
        <f>VLOOKUP($AC176,'oddspedia-matches'!$A:$AD,AO$2,0)</f>
        <v>#N/A</v>
      </c>
      <c r="AP176" t="e">
        <f>VLOOKUP($AC176,'oddspedia-matches'!$A:$AD,AP$2,0)</f>
        <v>#N/A</v>
      </c>
      <c r="AQ176" t="e">
        <f>VLOOKUP($AC176,'oddspedia-matches'!$A:$AD,AQ$2,0)</f>
        <v>#N/A</v>
      </c>
      <c r="AR176" t="e">
        <f>VLOOKUP($AC176,'oddspedia-matches'!$A:$AD,AR$2,0)</f>
        <v>#N/A</v>
      </c>
      <c r="AS176" t="e">
        <f>VLOOKUP($AC176,'oddspedia-matches'!$A:$AD,AS$2,0)</f>
        <v>#N/A</v>
      </c>
      <c r="AT176" t="e">
        <f>VLOOKUP($AC176,'oddspedia-matches'!$A:$AD,AT$2,0)</f>
        <v>#N/A</v>
      </c>
    </row>
    <row r="177" spans="2:46" x14ac:dyDescent="0.25">
      <c r="B177" s="17" t="s">
        <v>561</v>
      </c>
      <c r="C177" s="8" t="s">
        <v>508</v>
      </c>
      <c r="D177" s="18">
        <v>0.3576388888888889</v>
      </c>
      <c r="E177" s="8" t="s">
        <v>599</v>
      </c>
      <c r="F177" s="8" t="s">
        <v>600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s="8" t="s">
        <v>22</v>
      </c>
      <c r="Y177" s="8" t="s">
        <v>22</v>
      </c>
      <c r="Z177" s="19"/>
      <c r="AA177">
        <f>VLOOKUP(E177,'Transform table'!A:B,2,0)</f>
        <v>0</v>
      </c>
      <c r="AB177" t="e">
        <f>VLOOKUP(F177,'Transform table'!A:B,2,0)</f>
        <v>#N/A</v>
      </c>
      <c r="AC177" t="e">
        <f t="shared" si="2"/>
        <v>#N/A</v>
      </c>
      <c r="AD177" t="e">
        <f>VLOOKUP($AC177,'oddspedia-matches'!$A:$AD,AD$2,0)</f>
        <v>#N/A</v>
      </c>
      <c r="AE177" t="e">
        <f>VLOOKUP($AC177,'oddspedia-matches'!$A:$AD,AE$2,0)</f>
        <v>#N/A</v>
      </c>
      <c r="AF177" t="e">
        <f>VLOOKUP($AC177,'oddspedia-matches'!$A:$AD,AF$2,0)</f>
        <v>#N/A</v>
      </c>
      <c r="AG177" t="e">
        <f>VLOOKUP($AC177,'oddspedia-matches'!$A:$AD,AG$2,0)</f>
        <v>#N/A</v>
      </c>
      <c r="AH177" t="e">
        <f>VLOOKUP($AC177,'oddspedia-matches'!$A:$AD,AH$2,0)</f>
        <v>#N/A</v>
      </c>
      <c r="AI177" t="e">
        <f>VLOOKUP($AC177,'oddspedia-matches'!$A:$AD,AI$2,0)</f>
        <v>#N/A</v>
      </c>
      <c r="AJ177" t="e">
        <f>VLOOKUP($AC177,'oddspedia-matches'!$A:$AD,AJ$2,0)</f>
        <v>#N/A</v>
      </c>
      <c r="AK177" t="e">
        <f>VLOOKUP($AC177,'oddspedia-matches'!$A:$AD,AK$2,0)</f>
        <v>#N/A</v>
      </c>
      <c r="AL177" t="e">
        <f>VLOOKUP($AC177,'oddspedia-matches'!$A:$AD,AL$2,0)</f>
        <v>#N/A</v>
      </c>
      <c r="AM177" t="e">
        <f>VLOOKUP($AC177,'oddspedia-matches'!$A:$AD,AM$2,0)</f>
        <v>#N/A</v>
      </c>
      <c r="AN177" t="e">
        <f>VLOOKUP($AC177,'oddspedia-matches'!$A:$AD,AN$2,0)</f>
        <v>#N/A</v>
      </c>
      <c r="AO177" t="e">
        <f>VLOOKUP($AC177,'oddspedia-matches'!$A:$AD,AO$2,0)</f>
        <v>#N/A</v>
      </c>
      <c r="AP177" t="e">
        <f>VLOOKUP($AC177,'oddspedia-matches'!$A:$AD,AP$2,0)</f>
        <v>#N/A</v>
      </c>
      <c r="AQ177" t="e">
        <f>VLOOKUP($AC177,'oddspedia-matches'!$A:$AD,AQ$2,0)</f>
        <v>#N/A</v>
      </c>
      <c r="AR177" t="e">
        <f>VLOOKUP($AC177,'oddspedia-matches'!$A:$AD,AR$2,0)</f>
        <v>#N/A</v>
      </c>
      <c r="AS177" t="e">
        <f>VLOOKUP($AC177,'oddspedia-matches'!$A:$AD,AS$2,0)</f>
        <v>#N/A</v>
      </c>
      <c r="AT177" t="e">
        <f>VLOOKUP($AC177,'oddspedia-matches'!$A:$AD,AT$2,0)</f>
        <v>#N/A</v>
      </c>
    </row>
    <row r="178" spans="2:46" x14ac:dyDescent="0.25">
      <c r="B178" s="9" t="s">
        <v>561</v>
      </c>
      <c r="C178" s="7" t="s">
        <v>508</v>
      </c>
      <c r="D178" s="20">
        <v>0.3576388888888889</v>
      </c>
      <c r="E178" s="7" t="s">
        <v>406</v>
      </c>
      <c r="F178" s="7" t="s">
        <v>601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s="7">
        <v>12.5</v>
      </c>
      <c r="Y178" s="7">
        <v>37.5</v>
      </c>
      <c r="Z178" s="21"/>
      <c r="AA178" t="str">
        <f>VLOOKUP(E178,'Transform table'!A:B,2,0)</f>
        <v>Shanghai Port</v>
      </c>
      <c r="AB178" t="e">
        <f>VLOOKUP(F178,'Transform table'!A:B,2,0)</f>
        <v>#N/A</v>
      </c>
      <c r="AC178" t="e">
        <f t="shared" si="2"/>
        <v>#N/A</v>
      </c>
      <c r="AD178" t="e">
        <f>VLOOKUP($AC178,'oddspedia-matches'!$A:$AD,AD$2,0)</f>
        <v>#N/A</v>
      </c>
      <c r="AE178" t="e">
        <f>VLOOKUP($AC178,'oddspedia-matches'!$A:$AD,AE$2,0)</f>
        <v>#N/A</v>
      </c>
      <c r="AF178" t="e">
        <f>VLOOKUP($AC178,'oddspedia-matches'!$A:$AD,AF$2,0)</f>
        <v>#N/A</v>
      </c>
      <c r="AG178" t="e">
        <f>VLOOKUP($AC178,'oddspedia-matches'!$A:$AD,AG$2,0)</f>
        <v>#N/A</v>
      </c>
      <c r="AH178" t="e">
        <f>VLOOKUP($AC178,'oddspedia-matches'!$A:$AD,AH$2,0)</f>
        <v>#N/A</v>
      </c>
      <c r="AI178" t="e">
        <f>VLOOKUP($AC178,'oddspedia-matches'!$A:$AD,AI$2,0)</f>
        <v>#N/A</v>
      </c>
      <c r="AJ178" t="e">
        <f>VLOOKUP($AC178,'oddspedia-matches'!$A:$AD,AJ$2,0)</f>
        <v>#N/A</v>
      </c>
      <c r="AK178" t="e">
        <f>VLOOKUP($AC178,'oddspedia-matches'!$A:$AD,AK$2,0)</f>
        <v>#N/A</v>
      </c>
      <c r="AL178" t="e">
        <f>VLOOKUP($AC178,'oddspedia-matches'!$A:$AD,AL$2,0)</f>
        <v>#N/A</v>
      </c>
      <c r="AM178" t="e">
        <f>VLOOKUP($AC178,'oddspedia-matches'!$A:$AD,AM$2,0)</f>
        <v>#N/A</v>
      </c>
      <c r="AN178" t="e">
        <f>VLOOKUP($AC178,'oddspedia-matches'!$A:$AD,AN$2,0)</f>
        <v>#N/A</v>
      </c>
      <c r="AO178" t="e">
        <f>VLOOKUP($AC178,'oddspedia-matches'!$A:$AD,AO$2,0)</f>
        <v>#N/A</v>
      </c>
      <c r="AP178" t="e">
        <f>VLOOKUP($AC178,'oddspedia-matches'!$A:$AD,AP$2,0)</f>
        <v>#N/A</v>
      </c>
      <c r="AQ178" t="e">
        <f>VLOOKUP($AC178,'oddspedia-matches'!$A:$AD,AQ$2,0)</f>
        <v>#N/A</v>
      </c>
      <c r="AR178" t="e">
        <f>VLOOKUP($AC178,'oddspedia-matches'!$A:$AD,AR$2,0)</f>
        <v>#N/A</v>
      </c>
      <c r="AS178" t="e">
        <f>VLOOKUP($AC178,'oddspedia-matches'!$A:$AD,AS$2,0)</f>
        <v>#N/A</v>
      </c>
      <c r="AT178" t="e">
        <f>VLOOKUP($AC178,'oddspedia-matches'!$A:$AD,AT$2,0)</f>
        <v>#N/A</v>
      </c>
    </row>
    <row r="179" spans="2:46" x14ac:dyDescent="0.25">
      <c r="B179" s="17" t="s">
        <v>602</v>
      </c>
      <c r="C179" s="8" t="s">
        <v>508</v>
      </c>
      <c r="D179" s="18">
        <v>0.375</v>
      </c>
      <c r="E179" s="8" t="s">
        <v>603</v>
      </c>
      <c r="F179" s="8" t="s">
        <v>604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s="8">
        <v>22.2</v>
      </c>
      <c r="Y179" s="8">
        <v>11.1</v>
      </c>
      <c r="Z179" s="19"/>
      <c r="AA179">
        <f>VLOOKUP(E179,'Transform table'!A:B,2,0)</f>
        <v>0</v>
      </c>
      <c r="AB179" t="e">
        <f>VLOOKUP(F179,'Transform table'!A:B,2,0)</f>
        <v>#N/A</v>
      </c>
      <c r="AC179" t="e">
        <f t="shared" si="2"/>
        <v>#N/A</v>
      </c>
      <c r="AD179" t="e">
        <f>VLOOKUP($AC179,'oddspedia-matches'!$A:$AD,AD$2,0)</f>
        <v>#N/A</v>
      </c>
      <c r="AE179" t="e">
        <f>VLOOKUP($AC179,'oddspedia-matches'!$A:$AD,AE$2,0)</f>
        <v>#N/A</v>
      </c>
      <c r="AF179" t="e">
        <f>VLOOKUP($AC179,'oddspedia-matches'!$A:$AD,AF$2,0)</f>
        <v>#N/A</v>
      </c>
      <c r="AG179" t="e">
        <f>VLOOKUP($AC179,'oddspedia-matches'!$A:$AD,AG$2,0)</f>
        <v>#N/A</v>
      </c>
      <c r="AH179" t="e">
        <f>VLOOKUP($AC179,'oddspedia-matches'!$A:$AD,AH$2,0)</f>
        <v>#N/A</v>
      </c>
      <c r="AI179" t="e">
        <f>VLOOKUP($AC179,'oddspedia-matches'!$A:$AD,AI$2,0)</f>
        <v>#N/A</v>
      </c>
      <c r="AJ179" t="e">
        <f>VLOOKUP($AC179,'oddspedia-matches'!$A:$AD,AJ$2,0)</f>
        <v>#N/A</v>
      </c>
      <c r="AK179" t="e">
        <f>VLOOKUP($AC179,'oddspedia-matches'!$A:$AD,AK$2,0)</f>
        <v>#N/A</v>
      </c>
      <c r="AL179" t="e">
        <f>VLOOKUP($AC179,'oddspedia-matches'!$A:$AD,AL$2,0)</f>
        <v>#N/A</v>
      </c>
      <c r="AM179" t="e">
        <f>VLOOKUP($AC179,'oddspedia-matches'!$A:$AD,AM$2,0)</f>
        <v>#N/A</v>
      </c>
      <c r="AN179" t="e">
        <f>VLOOKUP($AC179,'oddspedia-matches'!$A:$AD,AN$2,0)</f>
        <v>#N/A</v>
      </c>
      <c r="AO179" t="e">
        <f>VLOOKUP($AC179,'oddspedia-matches'!$A:$AD,AO$2,0)</f>
        <v>#N/A</v>
      </c>
      <c r="AP179" t="e">
        <f>VLOOKUP($AC179,'oddspedia-matches'!$A:$AD,AP$2,0)</f>
        <v>#N/A</v>
      </c>
      <c r="AQ179" t="e">
        <f>VLOOKUP($AC179,'oddspedia-matches'!$A:$AD,AQ$2,0)</f>
        <v>#N/A</v>
      </c>
      <c r="AR179" t="e">
        <f>VLOOKUP($AC179,'oddspedia-matches'!$A:$AD,AR$2,0)</f>
        <v>#N/A</v>
      </c>
      <c r="AS179" t="e">
        <f>VLOOKUP($AC179,'oddspedia-matches'!$A:$AD,AS$2,0)</f>
        <v>#N/A</v>
      </c>
      <c r="AT179" t="e">
        <f>VLOOKUP($AC179,'oddspedia-matches'!$A:$AD,AT$2,0)</f>
        <v>#N/A</v>
      </c>
    </row>
    <row r="180" spans="2:46" x14ac:dyDescent="0.25">
      <c r="B180" s="9" t="s">
        <v>561</v>
      </c>
      <c r="C180" s="7" t="s">
        <v>508</v>
      </c>
      <c r="D180" s="20">
        <v>0.375</v>
      </c>
      <c r="E180" s="7" t="s">
        <v>412</v>
      </c>
      <c r="F180" s="7" t="s">
        <v>408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s="7">
        <v>12.5</v>
      </c>
      <c r="Y180" s="7">
        <v>11.1</v>
      </c>
      <c r="Z180" s="21"/>
      <c r="AA180" t="str">
        <f>VLOOKUP(E180,'Transform table'!A:B,2,0)</f>
        <v>Wuhan Three Towns</v>
      </c>
      <c r="AB180" t="e">
        <f>VLOOKUP(F180,'Transform table'!A:B,2,0)</f>
        <v>#N/A</v>
      </c>
      <c r="AC180" t="e">
        <f t="shared" si="2"/>
        <v>#N/A</v>
      </c>
      <c r="AD180" t="e">
        <f>VLOOKUP($AC180,'oddspedia-matches'!$A:$AD,AD$2,0)</f>
        <v>#N/A</v>
      </c>
      <c r="AE180" t="e">
        <f>VLOOKUP($AC180,'oddspedia-matches'!$A:$AD,AE$2,0)</f>
        <v>#N/A</v>
      </c>
      <c r="AF180" t="e">
        <f>VLOOKUP($AC180,'oddspedia-matches'!$A:$AD,AF$2,0)</f>
        <v>#N/A</v>
      </c>
      <c r="AG180" t="e">
        <f>VLOOKUP($AC180,'oddspedia-matches'!$A:$AD,AG$2,0)</f>
        <v>#N/A</v>
      </c>
      <c r="AH180" t="e">
        <f>VLOOKUP($AC180,'oddspedia-matches'!$A:$AD,AH$2,0)</f>
        <v>#N/A</v>
      </c>
      <c r="AI180" t="e">
        <f>VLOOKUP($AC180,'oddspedia-matches'!$A:$AD,AI$2,0)</f>
        <v>#N/A</v>
      </c>
      <c r="AJ180" t="e">
        <f>VLOOKUP($AC180,'oddspedia-matches'!$A:$AD,AJ$2,0)</f>
        <v>#N/A</v>
      </c>
      <c r="AK180" t="e">
        <f>VLOOKUP($AC180,'oddspedia-matches'!$A:$AD,AK$2,0)</f>
        <v>#N/A</v>
      </c>
      <c r="AL180" t="e">
        <f>VLOOKUP($AC180,'oddspedia-matches'!$A:$AD,AL$2,0)</f>
        <v>#N/A</v>
      </c>
      <c r="AM180" t="e">
        <f>VLOOKUP($AC180,'oddspedia-matches'!$A:$AD,AM$2,0)</f>
        <v>#N/A</v>
      </c>
      <c r="AN180" t="e">
        <f>VLOOKUP($AC180,'oddspedia-matches'!$A:$AD,AN$2,0)</f>
        <v>#N/A</v>
      </c>
      <c r="AO180" t="e">
        <f>VLOOKUP($AC180,'oddspedia-matches'!$A:$AD,AO$2,0)</f>
        <v>#N/A</v>
      </c>
      <c r="AP180" t="e">
        <f>VLOOKUP($AC180,'oddspedia-matches'!$A:$AD,AP$2,0)</f>
        <v>#N/A</v>
      </c>
      <c r="AQ180" t="e">
        <f>VLOOKUP($AC180,'oddspedia-matches'!$A:$AD,AQ$2,0)</f>
        <v>#N/A</v>
      </c>
      <c r="AR180" t="e">
        <f>VLOOKUP($AC180,'oddspedia-matches'!$A:$AD,AR$2,0)</f>
        <v>#N/A</v>
      </c>
      <c r="AS180" t="e">
        <f>VLOOKUP($AC180,'oddspedia-matches'!$A:$AD,AS$2,0)</f>
        <v>#N/A</v>
      </c>
      <c r="AT180" t="e">
        <f>VLOOKUP($AC180,'oddspedia-matches'!$A:$AD,AT$2,0)</f>
        <v>#N/A</v>
      </c>
    </row>
    <row r="181" spans="2:46" x14ac:dyDescent="0.25">
      <c r="B181" s="17" t="s">
        <v>466</v>
      </c>
      <c r="C181" s="8" t="s">
        <v>508</v>
      </c>
      <c r="D181" s="18">
        <v>0.375</v>
      </c>
      <c r="E181" s="8" t="s">
        <v>605</v>
      </c>
      <c r="F181" s="8" t="s">
        <v>224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s="8">
        <v>37.5</v>
      </c>
      <c r="Y181" s="8">
        <v>42.9</v>
      </c>
      <c r="Z181" s="19"/>
      <c r="AA181" t="str">
        <f>VLOOKUP(E181,'Transform table'!A:B,2,0)</f>
        <v>Hardrock</v>
      </c>
      <c r="AB181" t="str">
        <f>VLOOKUP(F181,'Transform table'!A:B,2,0)</f>
        <v>Kapylan Pallo</v>
      </c>
      <c r="AC181" t="str">
        <f t="shared" si="2"/>
        <v>25/07/2026HardrockKapylan Pallo</v>
      </c>
      <c r="AD181" t="e">
        <f>VLOOKUP($AC181,'oddspedia-matches'!$A:$AD,AD$2,0)</f>
        <v>#N/A</v>
      </c>
      <c r="AE181" t="e">
        <f>VLOOKUP($AC181,'oddspedia-matches'!$A:$AD,AE$2,0)</f>
        <v>#N/A</v>
      </c>
      <c r="AF181" t="e">
        <f>VLOOKUP($AC181,'oddspedia-matches'!$A:$AD,AF$2,0)</f>
        <v>#N/A</v>
      </c>
      <c r="AG181" t="e">
        <f>VLOOKUP($AC181,'oddspedia-matches'!$A:$AD,AG$2,0)</f>
        <v>#N/A</v>
      </c>
      <c r="AH181" t="e">
        <f>VLOOKUP($AC181,'oddspedia-matches'!$A:$AD,AH$2,0)</f>
        <v>#N/A</v>
      </c>
      <c r="AI181" t="e">
        <f>VLOOKUP($AC181,'oddspedia-matches'!$A:$AD,AI$2,0)</f>
        <v>#N/A</v>
      </c>
      <c r="AJ181" t="e">
        <f>VLOOKUP($AC181,'oddspedia-matches'!$A:$AD,AJ$2,0)</f>
        <v>#N/A</v>
      </c>
      <c r="AK181" t="e">
        <f>VLOOKUP($AC181,'oddspedia-matches'!$A:$AD,AK$2,0)</f>
        <v>#N/A</v>
      </c>
      <c r="AL181" t="e">
        <f>VLOOKUP($AC181,'oddspedia-matches'!$A:$AD,AL$2,0)</f>
        <v>#N/A</v>
      </c>
      <c r="AM181" t="e">
        <f>VLOOKUP($AC181,'oddspedia-matches'!$A:$AD,AM$2,0)</f>
        <v>#N/A</v>
      </c>
      <c r="AN181" t="e">
        <f>VLOOKUP($AC181,'oddspedia-matches'!$A:$AD,AN$2,0)</f>
        <v>#N/A</v>
      </c>
      <c r="AO181" t="e">
        <f>VLOOKUP($AC181,'oddspedia-matches'!$A:$AD,AO$2,0)</f>
        <v>#N/A</v>
      </c>
      <c r="AP181" t="e">
        <f>VLOOKUP($AC181,'oddspedia-matches'!$A:$AD,AP$2,0)</f>
        <v>#N/A</v>
      </c>
      <c r="AQ181" t="e">
        <f>VLOOKUP($AC181,'oddspedia-matches'!$A:$AD,AQ$2,0)</f>
        <v>#N/A</v>
      </c>
      <c r="AR181" t="e">
        <f>VLOOKUP($AC181,'oddspedia-matches'!$A:$AD,AR$2,0)</f>
        <v>#N/A</v>
      </c>
      <c r="AS181" t="e">
        <f>VLOOKUP($AC181,'oddspedia-matches'!$A:$AD,AS$2,0)</f>
        <v>#N/A</v>
      </c>
      <c r="AT181" t="e">
        <f>VLOOKUP($AC181,'oddspedia-matches'!$A:$AD,AT$2,0)</f>
        <v>#N/A</v>
      </c>
    </row>
    <row r="182" spans="2:46" x14ac:dyDescent="0.25">
      <c r="B182" s="9" t="s">
        <v>468</v>
      </c>
      <c r="C182" s="7" t="s">
        <v>508</v>
      </c>
      <c r="D182" s="20">
        <v>0.375</v>
      </c>
      <c r="E182" s="7" t="s">
        <v>606</v>
      </c>
      <c r="F182" s="7" t="s">
        <v>226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s="7">
        <v>22.2</v>
      </c>
      <c r="Y182" s="7">
        <v>33.299999999999997</v>
      </c>
      <c r="Z182" s="21"/>
      <c r="AA182">
        <f>VLOOKUP(E182,'Transform table'!A:B,2,0)</f>
        <v>0</v>
      </c>
      <c r="AB182" t="str">
        <f>VLOOKUP(F182,'Transform table'!A:B,2,0)</f>
        <v>Hegelmann Litauen II</v>
      </c>
      <c r="AC182" t="str">
        <f t="shared" si="2"/>
        <v>25/07/20260Hegelmann Litauen II</v>
      </c>
      <c r="AD182" t="e">
        <f>VLOOKUP($AC182,'oddspedia-matches'!$A:$AD,AD$2,0)</f>
        <v>#N/A</v>
      </c>
      <c r="AE182" t="e">
        <f>VLOOKUP($AC182,'oddspedia-matches'!$A:$AD,AE$2,0)</f>
        <v>#N/A</v>
      </c>
      <c r="AF182" t="e">
        <f>VLOOKUP($AC182,'oddspedia-matches'!$A:$AD,AF$2,0)</f>
        <v>#N/A</v>
      </c>
      <c r="AG182" t="e">
        <f>VLOOKUP($AC182,'oddspedia-matches'!$A:$AD,AG$2,0)</f>
        <v>#N/A</v>
      </c>
      <c r="AH182" t="e">
        <f>VLOOKUP($AC182,'oddspedia-matches'!$A:$AD,AH$2,0)</f>
        <v>#N/A</v>
      </c>
      <c r="AI182" t="e">
        <f>VLOOKUP($AC182,'oddspedia-matches'!$A:$AD,AI$2,0)</f>
        <v>#N/A</v>
      </c>
      <c r="AJ182" t="e">
        <f>VLOOKUP($AC182,'oddspedia-matches'!$A:$AD,AJ$2,0)</f>
        <v>#N/A</v>
      </c>
      <c r="AK182" t="e">
        <f>VLOOKUP($AC182,'oddspedia-matches'!$A:$AD,AK$2,0)</f>
        <v>#N/A</v>
      </c>
      <c r="AL182" t="e">
        <f>VLOOKUP($AC182,'oddspedia-matches'!$A:$AD,AL$2,0)</f>
        <v>#N/A</v>
      </c>
      <c r="AM182" t="e">
        <f>VLOOKUP($AC182,'oddspedia-matches'!$A:$AD,AM$2,0)</f>
        <v>#N/A</v>
      </c>
      <c r="AN182" t="e">
        <f>VLOOKUP($AC182,'oddspedia-matches'!$A:$AD,AN$2,0)</f>
        <v>#N/A</v>
      </c>
      <c r="AO182" t="e">
        <f>VLOOKUP($AC182,'oddspedia-matches'!$A:$AD,AO$2,0)</f>
        <v>#N/A</v>
      </c>
      <c r="AP182" t="e">
        <f>VLOOKUP($AC182,'oddspedia-matches'!$A:$AD,AP$2,0)</f>
        <v>#N/A</v>
      </c>
      <c r="AQ182" t="e">
        <f>VLOOKUP($AC182,'oddspedia-matches'!$A:$AD,AQ$2,0)</f>
        <v>#N/A</v>
      </c>
      <c r="AR182" t="e">
        <f>VLOOKUP($AC182,'oddspedia-matches'!$A:$AD,AR$2,0)</f>
        <v>#N/A</v>
      </c>
      <c r="AS182" t="e">
        <f>VLOOKUP($AC182,'oddspedia-matches'!$A:$AD,AS$2,0)</f>
        <v>#N/A</v>
      </c>
      <c r="AT182" t="e">
        <f>VLOOKUP($AC182,'oddspedia-matches'!$A:$AD,AT$2,0)</f>
        <v>#N/A</v>
      </c>
    </row>
    <row r="183" spans="2:46" x14ac:dyDescent="0.25">
      <c r="B183" s="17" t="s">
        <v>602</v>
      </c>
      <c r="C183" s="8" t="s">
        <v>508</v>
      </c>
      <c r="D183" s="18">
        <v>0.41666666666666669</v>
      </c>
      <c r="E183" s="8" t="s">
        <v>607</v>
      </c>
      <c r="F183" s="8" t="s">
        <v>608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s="8">
        <v>25</v>
      </c>
      <c r="Y183" s="8">
        <v>0</v>
      </c>
      <c r="Z183" s="19"/>
      <c r="AA183" t="str">
        <f>VLOOKUP(E183,'Transform table'!A:B,2,0)</f>
        <v>Zira IK</v>
      </c>
      <c r="AB183" t="e">
        <f>VLOOKUP(F183,'Transform table'!A:B,2,0)</f>
        <v>#N/A</v>
      </c>
      <c r="AC183" t="e">
        <f t="shared" si="2"/>
        <v>#N/A</v>
      </c>
      <c r="AD183" t="e">
        <f>VLOOKUP($AC183,'oddspedia-matches'!$A:$AD,AD$2,0)</f>
        <v>#N/A</v>
      </c>
      <c r="AE183" t="e">
        <f>VLOOKUP($AC183,'oddspedia-matches'!$A:$AD,AE$2,0)</f>
        <v>#N/A</v>
      </c>
      <c r="AF183" t="e">
        <f>VLOOKUP($AC183,'oddspedia-matches'!$A:$AD,AF$2,0)</f>
        <v>#N/A</v>
      </c>
      <c r="AG183" t="e">
        <f>VLOOKUP($AC183,'oddspedia-matches'!$A:$AD,AG$2,0)</f>
        <v>#N/A</v>
      </c>
      <c r="AH183" t="e">
        <f>VLOOKUP($AC183,'oddspedia-matches'!$A:$AD,AH$2,0)</f>
        <v>#N/A</v>
      </c>
      <c r="AI183" t="e">
        <f>VLOOKUP($AC183,'oddspedia-matches'!$A:$AD,AI$2,0)</f>
        <v>#N/A</v>
      </c>
      <c r="AJ183" t="e">
        <f>VLOOKUP($AC183,'oddspedia-matches'!$A:$AD,AJ$2,0)</f>
        <v>#N/A</v>
      </c>
      <c r="AK183" t="e">
        <f>VLOOKUP($AC183,'oddspedia-matches'!$A:$AD,AK$2,0)</f>
        <v>#N/A</v>
      </c>
      <c r="AL183" t="e">
        <f>VLOOKUP($AC183,'oddspedia-matches'!$A:$AD,AL$2,0)</f>
        <v>#N/A</v>
      </c>
      <c r="AM183" t="e">
        <f>VLOOKUP($AC183,'oddspedia-matches'!$A:$AD,AM$2,0)</f>
        <v>#N/A</v>
      </c>
      <c r="AN183" t="e">
        <f>VLOOKUP($AC183,'oddspedia-matches'!$A:$AD,AN$2,0)</f>
        <v>#N/A</v>
      </c>
      <c r="AO183" t="e">
        <f>VLOOKUP($AC183,'oddspedia-matches'!$A:$AD,AO$2,0)</f>
        <v>#N/A</v>
      </c>
      <c r="AP183" t="e">
        <f>VLOOKUP($AC183,'oddspedia-matches'!$A:$AD,AP$2,0)</f>
        <v>#N/A</v>
      </c>
      <c r="AQ183" t="e">
        <f>VLOOKUP($AC183,'oddspedia-matches'!$A:$AD,AQ$2,0)</f>
        <v>#N/A</v>
      </c>
      <c r="AR183" t="e">
        <f>VLOOKUP($AC183,'oddspedia-matches'!$A:$AD,AR$2,0)</f>
        <v>#N/A</v>
      </c>
      <c r="AS183" t="e">
        <f>VLOOKUP($AC183,'oddspedia-matches'!$A:$AD,AS$2,0)</f>
        <v>#N/A</v>
      </c>
      <c r="AT183" t="e">
        <f>VLOOKUP($AC183,'oddspedia-matches'!$A:$AD,AT$2,0)</f>
        <v>#N/A</v>
      </c>
    </row>
    <row r="184" spans="2:46" x14ac:dyDescent="0.25">
      <c r="B184" s="9" t="s">
        <v>466</v>
      </c>
      <c r="C184" s="7" t="s">
        <v>508</v>
      </c>
      <c r="D184" s="20">
        <v>0.41666666666666669</v>
      </c>
      <c r="E184" s="7" t="s">
        <v>609</v>
      </c>
      <c r="F184" s="7" t="s">
        <v>225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s="7">
        <v>0</v>
      </c>
      <c r="Y184" s="7">
        <v>0</v>
      </c>
      <c r="Z184" s="21"/>
      <c r="AA184" t="str">
        <f>VLOOKUP(E184,'Transform table'!A:B,2,0)</f>
        <v>JaPS II</v>
      </c>
      <c r="AB184" t="str">
        <f>VLOOKUP(F184,'Transform table'!A:B,2,0)</f>
        <v>Klubi 04</v>
      </c>
      <c r="AC184" t="str">
        <f t="shared" si="2"/>
        <v>25/07/2026JaPS IIKlubi 04</v>
      </c>
      <c r="AD184" t="e">
        <f>VLOOKUP($AC184,'oddspedia-matches'!$A:$AD,AD$2,0)</f>
        <v>#N/A</v>
      </c>
      <c r="AE184" t="e">
        <f>VLOOKUP($AC184,'oddspedia-matches'!$A:$AD,AE$2,0)</f>
        <v>#N/A</v>
      </c>
      <c r="AF184" t="e">
        <f>VLOOKUP($AC184,'oddspedia-matches'!$A:$AD,AF$2,0)</f>
        <v>#N/A</v>
      </c>
      <c r="AG184" t="e">
        <f>VLOOKUP($AC184,'oddspedia-matches'!$A:$AD,AG$2,0)</f>
        <v>#N/A</v>
      </c>
      <c r="AH184" t="e">
        <f>VLOOKUP($AC184,'oddspedia-matches'!$A:$AD,AH$2,0)</f>
        <v>#N/A</v>
      </c>
      <c r="AI184" t="e">
        <f>VLOOKUP($AC184,'oddspedia-matches'!$A:$AD,AI$2,0)</f>
        <v>#N/A</v>
      </c>
      <c r="AJ184" t="e">
        <f>VLOOKUP($AC184,'oddspedia-matches'!$A:$AD,AJ$2,0)</f>
        <v>#N/A</v>
      </c>
      <c r="AK184" t="e">
        <f>VLOOKUP($AC184,'oddspedia-matches'!$A:$AD,AK$2,0)</f>
        <v>#N/A</v>
      </c>
      <c r="AL184" t="e">
        <f>VLOOKUP($AC184,'oddspedia-matches'!$A:$AD,AL$2,0)</f>
        <v>#N/A</v>
      </c>
      <c r="AM184" t="e">
        <f>VLOOKUP($AC184,'oddspedia-matches'!$A:$AD,AM$2,0)</f>
        <v>#N/A</v>
      </c>
      <c r="AN184" t="e">
        <f>VLOOKUP($AC184,'oddspedia-matches'!$A:$AD,AN$2,0)</f>
        <v>#N/A</v>
      </c>
      <c r="AO184" t="e">
        <f>VLOOKUP($AC184,'oddspedia-matches'!$A:$AD,AO$2,0)</f>
        <v>#N/A</v>
      </c>
      <c r="AP184" t="e">
        <f>VLOOKUP($AC184,'oddspedia-matches'!$A:$AD,AP$2,0)</f>
        <v>#N/A</v>
      </c>
      <c r="AQ184" t="e">
        <f>VLOOKUP($AC184,'oddspedia-matches'!$A:$AD,AQ$2,0)</f>
        <v>#N/A</v>
      </c>
      <c r="AR184" t="e">
        <f>VLOOKUP($AC184,'oddspedia-matches'!$A:$AD,AR$2,0)</f>
        <v>#N/A</v>
      </c>
      <c r="AS184" t="e">
        <f>VLOOKUP($AC184,'oddspedia-matches'!$A:$AD,AS$2,0)</f>
        <v>#N/A</v>
      </c>
      <c r="AT184" t="e">
        <f>VLOOKUP($AC184,'oddspedia-matches'!$A:$AD,AT$2,0)</f>
        <v>#N/A</v>
      </c>
    </row>
    <row r="185" spans="2:46" x14ac:dyDescent="0.25">
      <c r="B185" s="17" t="s">
        <v>466</v>
      </c>
      <c r="C185" s="8" t="s">
        <v>508</v>
      </c>
      <c r="D185" s="18">
        <v>0.41666666666666669</v>
      </c>
      <c r="E185" s="8" t="s">
        <v>610</v>
      </c>
      <c r="F185" s="8" t="s">
        <v>611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s="8">
        <v>0</v>
      </c>
      <c r="Y185" s="8">
        <v>14.3</v>
      </c>
      <c r="Z185" s="19"/>
      <c r="AA185" t="str">
        <f>VLOOKUP(E185,'Transform table'!A:B,2,0)</f>
        <v>MFC Zhytomyr</v>
      </c>
      <c r="AB185" t="e">
        <f>VLOOKUP(F185,'Transform table'!A:B,2,0)</f>
        <v>#N/A</v>
      </c>
      <c r="AC185" t="e">
        <f t="shared" si="2"/>
        <v>#N/A</v>
      </c>
      <c r="AD185" t="e">
        <f>VLOOKUP($AC185,'oddspedia-matches'!$A:$AD,AD$2,0)</f>
        <v>#N/A</v>
      </c>
      <c r="AE185" t="e">
        <f>VLOOKUP($AC185,'oddspedia-matches'!$A:$AD,AE$2,0)</f>
        <v>#N/A</v>
      </c>
      <c r="AF185" t="e">
        <f>VLOOKUP($AC185,'oddspedia-matches'!$A:$AD,AF$2,0)</f>
        <v>#N/A</v>
      </c>
      <c r="AG185" t="e">
        <f>VLOOKUP($AC185,'oddspedia-matches'!$A:$AD,AG$2,0)</f>
        <v>#N/A</v>
      </c>
      <c r="AH185" t="e">
        <f>VLOOKUP($AC185,'oddspedia-matches'!$A:$AD,AH$2,0)</f>
        <v>#N/A</v>
      </c>
      <c r="AI185" t="e">
        <f>VLOOKUP($AC185,'oddspedia-matches'!$A:$AD,AI$2,0)</f>
        <v>#N/A</v>
      </c>
      <c r="AJ185" t="e">
        <f>VLOOKUP($AC185,'oddspedia-matches'!$A:$AD,AJ$2,0)</f>
        <v>#N/A</v>
      </c>
      <c r="AK185" t="e">
        <f>VLOOKUP($AC185,'oddspedia-matches'!$A:$AD,AK$2,0)</f>
        <v>#N/A</v>
      </c>
      <c r="AL185" t="e">
        <f>VLOOKUP($AC185,'oddspedia-matches'!$A:$AD,AL$2,0)</f>
        <v>#N/A</v>
      </c>
      <c r="AM185" t="e">
        <f>VLOOKUP($AC185,'oddspedia-matches'!$A:$AD,AM$2,0)</f>
        <v>#N/A</v>
      </c>
      <c r="AN185" t="e">
        <f>VLOOKUP($AC185,'oddspedia-matches'!$A:$AD,AN$2,0)</f>
        <v>#N/A</v>
      </c>
      <c r="AO185" t="e">
        <f>VLOOKUP($AC185,'oddspedia-matches'!$A:$AD,AO$2,0)</f>
        <v>#N/A</v>
      </c>
      <c r="AP185" t="e">
        <f>VLOOKUP($AC185,'oddspedia-matches'!$A:$AD,AP$2,0)</f>
        <v>#N/A</v>
      </c>
      <c r="AQ185" t="e">
        <f>VLOOKUP($AC185,'oddspedia-matches'!$A:$AD,AQ$2,0)</f>
        <v>#N/A</v>
      </c>
      <c r="AR185" t="e">
        <f>VLOOKUP($AC185,'oddspedia-matches'!$A:$AD,AR$2,0)</f>
        <v>#N/A</v>
      </c>
      <c r="AS185" t="e">
        <f>VLOOKUP($AC185,'oddspedia-matches'!$A:$AD,AS$2,0)</f>
        <v>#N/A</v>
      </c>
      <c r="AT185" t="e">
        <f>VLOOKUP($AC185,'oddspedia-matches'!$A:$AD,AT$2,0)</f>
        <v>#N/A</v>
      </c>
    </row>
    <row r="186" spans="2:46" x14ac:dyDescent="0.25">
      <c r="B186" s="9" t="s">
        <v>466</v>
      </c>
      <c r="C186" s="7" t="s">
        <v>508</v>
      </c>
      <c r="D186" s="20">
        <v>0.41666666666666669</v>
      </c>
      <c r="E186" s="7" t="s">
        <v>612</v>
      </c>
      <c r="F186" s="7" t="s">
        <v>613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s="7">
        <v>0</v>
      </c>
      <c r="Y186" s="7">
        <v>28.6</v>
      </c>
      <c r="Z186" s="21"/>
      <c r="AA186" t="str">
        <f>VLOOKUP(E186,'Transform table'!A:B,2,0)</f>
        <v>SJK-j Apollo</v>
      </c>
      <c r="AB186" t="e">
        <f>VLOOKUP(F186,'Transform table'!A:B,2,0)</f>
        <v>#N/A</v>
      </c>
      <c r="AC186" t="e">
        <f t="shared" si="2"/>
        <v>#N/A</v>
      </c>
      <c r="AD186" t="e">
        <f>VLOOKUP($AC186,'oddspedia-matches'!$A:$AD,AD$2,0)</f>
        <v>#N/A</v>
      </c>
      <c r="AE186" t="e">
        <f>VLOOKUP($AC186,'oddspedia-matches'!$A:$AD,AE$2,0)</f>
        <v>#N/A</v>
      </c>
      <c r="AF186" t="e">
        <f>VLOOKUP($AC186,'oddspedia-matches'!$A:$AD,AF$2,0)</f>
        <v>#N/A</v>
      </c>
      <c r="AG186" t="e">
        <f>VLOOKUP($AC186,'oddspedia-matches'!$A:$AD,AG$2,0)</f>
        <v>#N/A</v>
      </c>
      <c r="AH186" t="e">
        <f>VLOOKUP($AC186,'oddspedia-matches'!$A:$AD,AH$2,0)</f>
        <v>#N/A</v>
      </c>
      <c r="AI186" t="e">
        <f>VLOOKUP($AC186,'oddspedia-matches'!$A:$AD,AI$2,0)</f>
        <v>#N/A</v>
      </c>
      <c r="AJ186" t="e">
        <f>VLOOKUP($AC186,'oddspedia-matches'!$A:$AD,AJ$2,0)</f>
        <v>#N/A</v>
      </c>
      <c r="AK186" t="e">
        <f>VLOOKUP($AC186,'oddspedia-matches'!$A:$AD,AK$2,0)</f>
        <v>#N/A</v>
      </c>
      <c r="AL186" t="e">
        <f>VLOOKUP($AC186,'oddspedia-matches'!$A:$AD,AL$2,0)</f>
        <v>#N/A</v>
      </c>
      <c r="AM186" t="e">
        <f>VLOOKUP($AC186,'oddspedia-matches'!$A:$AD,AM$2,0)</f>
        <v>#N/A</v>
      </c>
      <c r="AN186" t="e">
        <f>VLOOKUP($AC186,'oddspedia-matches'!$A:$AD,AN$2,0)</f>
        <v>#N/A</v>
      </c>
      <c r="AO186" t="e">
        <f>VLOOKUP($AC186,'oddspedia-matches'!$A:$AD,AO$2,0)</f>
        <v>#N/A</v>
      </c>
      <c r="AP186" t="e">
        <f>VLOOKUP($AC186,'oddspedia-matches'!$A:$AD,AP$2,0)</f>
        <v>#N/A</v>
      </c>
      <c r="AQ186" t="e">
        <f>VLOOKUP($AC186,'oddspedia-matches'!$A:$AD,AQ$2,0)</f>
        <v>#N/A</v>
      </c>
      <c r="AR186" t="e">
        <f>VLOOKUP($AC186,'oddspedia-matches'!$A:$AD,AR$2,0)</f>
        <v>#N/A</v>
      </c>
      <c r="AS186" t="e">
        <f>VLOOKUP($AC186,'oddspedia-matches'!$A:$AD,AS$2,0)</f>
        <v>#N/A</v>
      </c>
      <c r="AT186" t="e">
        <f>VLOOKUP($AC186,'oddspedia-matches'!$A:$AD,AT$2,0)</f>
        <v>#N/A</v>
      </c>
    </row>
    <row r="187" spans="2:46" x14ac:dyDescent="0.25">
      <c r="B187" s="17" t="s">
        <v>587</v>
      </c>
      <c r="C187" s="8" t="s">
        <v>508</v>
      </c>
      <c r="D187" s="18">
        <v>0.41666666666666669</v>
      </c>
      <c r="E187" s="8" t="s">
        <v>614</v>
      </c>
      <c r="F187" s="8" t="s">
        <v>615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s="8" t="s">
        <v>22</v>
      </c>
      <c r="Y187" s="8" t="s">
        <v>22</v>
      </c>
      <c r="Z187" s="19"/>
      <c r="AA187">
        <f>VLOOKUP(E187,'Transform table'!A:B,2,0)</f>
        <v>0</v>
      </c>
      <c r="AB187" t="e">
        <f>VLOOKUP(F187,'Transform table'!A:B,2,0)</f>
        <v>#N/A</v>
      </c>
      <c r="AC187" t="e">
        <f t="shared" si="2"/>
        <v>#N/A</v>
      </c>
      <c r="AD187" t="e">
        <f>VLOOKUP($AC187,'oddspedia-matches'!$A:$AD,AD$2,0)</f>
        <v>#N/A</v>
      </c>
      <c r="AE187" t="e">
        <f>VLOOKUP($AC187,'oddspedia-matches'!$A:$AD,AE$2,0)</f>
        <v>#N/A</v>
      </c>
      <c r="AF187" t="e">
        <f>VLOOKUP($AC187,'oddspedia-matches'!$A:$AD,AF$2,0)</f>
        <v>#N/A</v>
      </c>
      <c r="AG187" t="e">
        <f>VLOOKUP($AC187,'oddspedia-matches'!$A:$AD,AG$2,0)</f>
        <v>#N/A</v>
      </c>
      <c r="AH187" t="e">
        <f>VLOOKUP($AC187,'oddspedia-matches'!$A:$AD,AH$2,0)</f>
        <v>#N/A</v>
      </c>
      <c r="AI187" t="e">
        <f>VLOOKUP($AC187,'oddspedia-matches'!$A:$AD,AI$2,0)</f>
        <v>#N/A</v>
      </c>
      <c r="AJ187" t="e">
        <f>VLOOKUP($AC187,'oddspedia-matches'!$A:$AD,AJ$2,0)</f>
        <v>#N/A</v>
      </c>
      <c r="AK187" t="e">
        <f>VLOOKUP($AC187,'oddspedia-matches'!$A:$AD,AK$2,0)</f>
        <v>#N/A</v>
      </c>
      <c r="AL187" t="e">
        <f>VLOOKUP($AC187,'oddspedia-matches'!$A:$AD,AL$2,0)</f>
        <v>#N/A</v>
      </c>
      <c r="AM187" t="e">
        <f>VLOOKUP($AC187,'oddspedia-matches'!$A:$AD,AM$2,0)</f>
        <v>#N/A</v>
      </c>
      <c r="AN187" t="e">
        <f>VLOOKUP($AC187,'oddspedia-matches'!$A:$AD,AN$2,0)</f>
        <v>#N/A</v>
      </c>
      <c r="AO187" t="e">
        <f>VLOOKUP($AC187,'oddspedia-matches'!$A:$AD,AO$2,0)</f>
        <v>#N/A</v>
      </c>
      <c r="AP187" t="e">
        <f>VLOOKUP($AC187,'oddspedia-matches'!$A:$AD,AP$2,0)</f>
        <v>#N/A</v>
      </c>
      <c r="AQ187" t="e">
        <f>VLOOKUP($AC187,'oddspedia-matches'!$A:$AD,AQ$2,0)</f>
        <v>#N/A</v>
      </c>
      <c r="AR187" t="e">
        <f>VLOOKUP($AC187,'oddspedia-matches'!$A:$AD,AR$2,0)</f>
        <v>#N/A</v>
      </c>
      <c r="AS187" t="e">
        <f>VLOOKUP($AC187,'oddspedia-matches'!$A:$AD,AS$2,0)</f>
        <v>#N/A</v>
      </c>
      <c r="AT187" t="e">
        <f>VLOOKUP($AC187,'oddspedia-matches'!$A:$AD,AT$2,0)</f>
        <v>#N/A</v>
      </c>
    </row>
    <row r="188" spans="2:46" x14ac:dyDescent="0.25">
      <c r="B188" s="9" t="s">
        <v>494</v>
      </c>
      <c r="C188" s="7" t="s">
        <v>508</v>
      </c>
      <c r="D188" s="20">
        <v>0.41666666666666669</v>
      </c>
      <c r="E188" s="7" t="s">
        <v>616</v>
      </c>
      <c r="F188" s="7" t="s">
        <v>260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s="7">
        <v>33.299999999999997</v>
      </c>
      <c r="Y188" s="7">
        <v>40</v>
      </c>
      <c r="Z188" s="21"/>
      <c r="AA188" t="str">
        <f>VLOOKUP(E188,'Transform table'!A:B,2,0)</f>
        <v>Dagenham &amp; Redbridge</v>
      </c>
      <c r="AB188" t="str">
        <f>VLOOKUP(F188,'Transform table'!A:B,2,0)</f>
        <v>Djurgardens IF</v>
      </c>
      <c r="AC188" t="str">
        <f t="shared" si="2"/>
        <v>25/07/2026Dagenham &amp; RedbridgeDjurgardens IF</v>
      </c>
      <c r="AD188" t="e">
        <f>VLOOKUP($AC188,'oddspedia-matches'!$A:$AD,AD$2,0)</f>
        <v>#N/A</v>
      </c>
      <c r="AE188" t="e">
        <f>VLOOKUP($AC188,'oddspedia-matches'!$A:$AD,AE$2,0)</f>
        <v>#N/A</v>
      </c>
      <c r="AF188" t="e">
        <f>VLOOKUP($AC188,'oddspedia-matches'!$A:$AD,AF$2,0)</f>
        <v>#N/A</v>
      </c>
      <c r="AG188" t="e">
        <f>VLOOKUP($AC188,'oddspedia-matches'!$A:$AD,AG$2,0)</f>
        <v>#N/A</v>
      </c>
      <c r="AH188" t="e">
        <f>VLOOKUP($AC188,'oddspedia-matches'!$A:$AD,AH$2,0)</f>
        <v>#N/A</v>
      </c>
      <c r="AI188" t="e">
        <f>VLOOKUP($AC188,'oddspedia-matches'!$A:$AD,AI$2,0)</f>
        <v>#N/A</v>
      </c>
      <c r="AJ188" t="e">
        <f>VLOOKUP($AC188,'oddspedia-matches'!$A:$AD,AJ$2,0)</f>
        <v>#N/A</v>
      </c>
      <c r="AK188" t="e">
        <f>VLOOKUP($AC188,'oddspedia-matches'!$A:$AD,AK$2,0)</f>
        <v>#N/A</v>
      </c>
      <c r="AL188" t="e">
        <f>VLOOKUP($AC188,'oddspedia-matches'!$A:$AD,AL$2,0)</f>
        <v>#N/A</v>
      </c>
      <c r="AM188" t="e">
        <f>VLOOKUP($AC188,'oddspedia-matches'!$A:$AD,AM$2,0)</f>
        <v>#N/A</v>
      </c>
      <c r="AN188" t="e">
        <f>VLOOKUP($AC188,'oddspedia-matches'!$A:$AD,AN$2,0)</f>
        <v>#N/A</v>
      </c>
      <c r="AO188" t="e">
        <f>VLOOKUP($AC188,'oddspedia-matches'!$A:$AD,AO$2,0)</f>
        <v>#N/A</v>
      </c>
      <c r="AP188" t="e">
        <f>VLOOKUP($AC188,'oddspedia-matches'!$A:$AD,AP$2,0)</f>
        <v>#N/A</v>
      </c>
      <c r="AQ188" t="e">
        <f>VLOOKUP($AC188,'oddspedia-matches'!$A:$AD,AQ$2,0)</f>
        <v>#N/A</v>
      </c>
      <c r="AR188" t="e">
        <f>VLOOKUP($AC188,'oddspedia-matches'!$A:$AD,AR$2,0)</f>
        <v>#N/A</v>
      </c>
      <c r="AS188" t="e">
        <f>VLOOKUP($AC188,'oddspedia-matches'!$A:$AD,AS$2,0)</f>
        <v>#N/A</v>
      </c>
      <c r="AT188" t="e">
        <f>VLOOKUP($AC188,'oddspedia-matches'!$A:$AD,AT$2,0)</f>
        <v>#N/A</v>
      </c>
    </row>
    <row r="189" spans="2:46" x14ac:dyDescent="0.25">
      <c r="B189" s="17" t="s">
        <v>469</v>
      </c>
      <c r="C189" s="8" t="s">
        <v>508</v>
      </c>
      <c r="D189" s="18">
        <v>0.41666666666666669</v>
      </c>
      <c r="E189" s="8" t="s">
        <v>617</v>
      </c>
      <c r="F189" s="8" t="s">
        <v>618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s="8">
        <v>0</v>
      </c>
      <c r="Y189" s="8">
        <v>0</v>
      </c>
      <c r="Z189" s="19"/>
      <c r="AA189">
        <f>VLOOKUP(E189,'Transform table'!A:B,2,0)</f>
        <v>0</v>
      </c>
      <c r="AB189" t="e">
        <f>VLOOKUP(F189,'Transform table'!A:B,2,0)</f>
        <v>#N/A</v>
      </c>
      <c r="AC189" t="e">
        <f t="shared" si="2"/>
        <v>#N/A</v>
      </c>
      <c r="AD189" t="e">
        <f>VLOOKUP($AC189,'oddspedia-matches'!$A:$AD,AD$2,0)</f>
        <v>#N/A</v>
      </c>
      <c r="AE189" t="e">
        <f>VLOOKUP($AC189,'oddspedia-matches'!$A:$AD,AE$2,0)</f>
        <v>#N/A</v>
      </c>
      <c r="AF189" t="e">
        <f>VLOOKUP($AC189,'oddspedia-matches'!$A:$AD,AF$2,0)</f>
        <v>#N/A</v>
      </c>
      <c r="AG189" t="e">
        <f>VLOOKUP($AC189,'oddspedia-matches'!$A:$AD,AG$2,0)</f>
        <v>#N/A</v>
      </c>
      <c r="AH189" t="e">
        <f>VLOOKUP($AC189,'oddspedia-matches'!$A:$AD,AH$2,0)</f>
        <v>#N/A</v>
      </c>
      <c r="AI189" t="e">
        <f>VLOOKUP($AC189,'oddspedia-matches'!$A:$AD,AI$2,0)</f>
        <v>#N/A</v>
      </c>
      <c r="AJ189" t="e">
        <f>VLOOKUP($AC189,'oddspedia-matches'!$A:$AD,AJ$2,0)</f>
        <v>#N/A</v>
      </c>
      <c r="AK189" t="e">
        <f>VLOOKUP($AC189,'oddspedia-matches'!$A:$AD,AK$2,0)</f>
        <v>#N/A</v>
      </c>
      <c r="AL189" t="e">
        <f>VLOOKUP($AC189,'oddspedia-matches'!$A:$AD,AL$2,0)</f>
        <v>#N/A</v>
      </c>
      <c r="AM189" t="e">
        <f>VLOOKUP($AC189,'oddspedia-matches'!$A:$AD,AM$2,0)</f>
        <v>#N/A</v>
      </c>
      <c r="AN189" t="e">
        <f>VLOOKUP($AC189,'oddspedia-matches'!$A:$AD,AN$2,0)</f>
        <v>#N/A</v>
      </c>
      <c r="AO189" t="e">
        <f>VLOOKUP($AC189,'oddspedia-matches'!$A:$AD,AO$2,0)</f>
        <v>#N/A</v>
      </c>
      <c r="AP189" t="e">
        <f>VLOOKUP($AC189,'oddspedia-matches'!$A:$AD,AP$2,0)</f>
        <v>#N/A</v>
      </c>
      <c r="AQ189" t="e">
        <f>VLOOKUP($AC189,'oddspedia-matches'!$A:$AD,AQ$2,0)</f>
        <v>#N/A</v>
      </c>
      <c r="AR189" t="e">
        <f>VLOOKUP($AC189,'oddspedia-matches'!$A:$AD,AR$2,0)</f>
        <v>#N/A</v>
      </c>
      <c r="AS189" t="e">
        <f>VLOOKUP($AC189,'oddspedia-matches'!$A:$AD,AS$2,0)</f>
        <v>#N/A</v>
      </c>
      <c r="AT189" t="e">
        <f>VLOOKUP($AC189,'oddspedia-matches'!$A:$AD,AT$2,0)</f>
        <v>#N/A</v>
      </c>
    </row>
    <row r="190" spans="2:46" x14ac:dyDescent="0.25">
      <c r="B190" s="9" t="s">
        <v>492</v>
      </c>
      <c r="C190" s="7" t="s">
        <v>508</v>
      </c>
      <c r="D190" s="20">
        <v>0.4375</v>
      </c>
      <c r="E190" s="7" t="s">
        <v>252</v>
      </c>
      <c r="F190" s="7" t="s">
        <v>619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s="7">
        <v>0</v>
      </c>
      <c r="Y190" s="7">
        <v>44.4</v>
      </c>
      <c r="Z190" s="21"/>
      <c r="AA190" t="str">
        <f>VLOOKUP(E190,'Transform table'!A:B,2,0)</f>
        <v>IFK Mariehamn</v>
      </c>
      <c r="AB190" t="e">
        <f>VLOOKUP(F190,'Transform table'!A:B,2,0)</f>
        <v>#N/A</v>
      </c>
      <c r="AC190" t="e">
        <f t="shared" si="2"/>
        <v>#N/A</v>
      </c>
      <c r="AD190" t="e">
        <f>VLOOKUP($AC190,'oddspedia-matches'!$A:$AD,AD$2,0)</f>
        <v>#N/A</v>
      </c>
      <c r="AE190" t="e">
        <f>VLOOKUP($AC190,'oddspedia-matches'!$A:$AD,AE$2,0)</f>
        <v>#N/A</v>
      </c>
      <c r="AF190" t="e">
        <f>VLOOKUP($AC190,'oddspedia-matches'!$A:$AD,AF$2,0)</f>
        <v>#N/A</v>
      </c>
      <c r="AG190" t="e">
        <f>VLOOKUP($AC190,'oddspedia-matches'!$A:$AD,AG$2,0)</f>
        <v>#N/A</v>
      </c>
      <c r="AH190" t="e">
        <f>VLOOKUP($AC190,'oddspedia-matches'!$A:$AD,AH$2,0)</f>
        <v>#N/A</v>
      </c>
      <c r="AI190" t="e">
        <f>VLOOKUP($AC190,'oddspedia-matches'!$A:$AD,AI$2,0)</f>
        <v>#N/A</v>
      </c>
      <c r="AJ190" t="e">
        <f>VLOOKUP($AC190,'oddspedia-matches'!$A:$AD,AJ$2,0)</f>
        <v>#N/A</v>
      </c>
      <c r="AK190" t="e">
        <f>VLOOKUP($AC190,'oddspedia-matches'!$A:$AD,AK$2,0)</f>
        <v>#N/A</v>
      </c>
      <c r="AL190" t="e">
        <f>VLOOKUP($AC190,'oddspedia-matches'!$A:$AD,AL$2,0)</f>
        <v>#N/A</v>
      </c>
      <c r="AM190" t="e">
        <f>VLOOKUP($AC190,'oddspedia-matches'!$A:$AD,AM$2,0)</f>
        <v>#N/A</v>
      </c>
      <c r="AN190" t="e">
        <f>VLOOKUP($AC190,'oddspedia-matches'!$A:$AD,AN$2,0)</f>
        <v>#N/A</v>
      </c>
      <c r="AO190" t="e">
        <f>VLOOKUP($AC190,'oddspedia-matches'!$A:$AD,AO$2,0)</f>
        <v>#N/A</v>
      </c>
      <c r="AP190" t="e">
        <f>VLOOKUP($AC190,'oddspedia-matches'!$A:$AD,AP$2,0)</f>
        <v>#N/A</v>
      </c>
      <c r="AQ190" t="e">
        <f>VLOOKUP($AC190,'oddspedia-matches'!$A:$AD,AQ$2,0)</f>
        <v>#N/A</v>
      </c>
      <c r="AR190" t="e">
        <f>VLOOKUP($AC190,'oddspedia-matches'!$A:$AD,AR$2,0)</f>
        <v>#N/A</v>
      </c>
      <c r="AS190" t="e">
        <f>VLOOKUP($AC190,'oddspedia-matches'!$A:$AD,AS$2,0)</f>
        <v>#N/A</v>
      </c>
      <c r="AT190" t="e">
        <f>VLOOKUP($AC190,'oddspedia-matches'!$A:$AD,AT$2,0)</f>
        <v>#N/A</v>
      </c>
    </row>
    <row r="191" spans="2:46" x14ac:dyDescent="0.25">
      <c r="B191" s="17" t="s">
        <v>492</v>
      </c>
      <c r="C191" s="8" t="s">
        <v>508</v>
      </c>
      <c r="D191" s="18">
        <v>0.45833333333333331</v>
      </c>
      <c r="E191" s="8" t="s">
        <v>620</v>
      </c>
      <c r="F191" s="8" t="s">
        <v>621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s="8">
        <v>37.5</v>
      </c>
      <c r="Y191" s="8">
        <v>0</v>
      </c>
      <c r="Z191" s="19"/>
      <c r="AA191" t="str">
        <f>VLOOKUP(E191,'Transform table'!A:B,2,0)</f>
        <v>Kuopio PS</v>
      </c>
      <c r="AB191" t="e">
        <f>VLOOKUP(F191,'Transform table'!A:B,2,0)</f>
        <v>#N/A</v>
      </c>
      <c r="AC191" t="e">
        <f t="shared" si="2"/>
        <v>#N/A</v>
      </c>
      <c r="AD191" t="e">
        <f>VLOOKUP($AC191,'oddspedia-matches'!$A:$AD,AD$2,0)</f>
        <v>#N/A</v>
      </c>
      <c r="AE191" t="e">
        <f>VLOOKUP($AC191,'oddspedia-matches'!$A:$AD,AE$2,0)</f>
        <v>#N/A</v>
      </c>
      <c r="AF191" t="e">
        <f>VLOOKUP($AC191,'oddspedia-matches'!$A:$AD,AF$2,0)</f>
        <v>#N/A</v>
      </c>
      <c r="AG191" t="e">
        <f>VLOOKUP($AC191,'oddspedia-matches'!$A:$AD,AG$2,0)</f>
        <v>#N/A</v>
      </c>
      <c r="AH191" t="e">
        <f>VLOOKUP($AC191,'oddspedia-matches'!$A:$AD,AH$2,0)</f>
        <v>#N/A</v>
      </c>
      <c r="AI191" t="e">
        <f>VLOOKUP($AC191,'oddspedia-matches'!$A:$AD,AI$2,0)</f>
        <v>#N/A</v>
      </c>
      <c r="AJ191" t="e">
        <f>VLOOKUP($AC191,'oddspedia-matches'!$A:$AD,AJ$2,0)</f>
        <v>#N/A</v>
      </c>
      <c r="AK191" t="e">
        <f>VLOOKUP($AC191,'oddspedia-matches'!$A:$AD,AK$2,0)</f>
        <v>#N/A</v>
      </c>
      <c r="AL191" t="e">
        <f>VLOOKUP($AC191,'oddspedia-matches'!$A:$AD,AL$2,0)</f>
        <v>#N/A</v>
      </c>
      <c r="AM191" t="e">
        <f>VLOOKUP($AC191,'oddspedia-matches'!$A:$AD,AM$2,0)</f>
        <v>#N/A</v>
      </c>
      <c r="AN191" t="e">
        <f>VLOOKUP($AC191,'oddspedia-matches'!$A:$AD,AN$2,0)</f>
        <v>#N/A</v>
      </c>
      <c r="AO191" t="e">
        <f>VLOOKUP($AC191,'oddspedia-matches'!$A:$AD,AO$2,0)</f>
        <v>#N/A</v>
      </c>
      <c r="AP191" t="e">
        <f>VLOOKUP($AC191,'oddspedia-matches'!$A:$AD,AP$2,0)</f>
        <v>#N/A</v>
      </c>
      <c r="AQ191" t="e">
        <f>VLOOKUP($AC191,'oddspedia-matches'!$A:$AD,AQ$2,0)</f>
        <v>#N/A</v>
      </c>
      <c r="AR191" t="e">
        <f>VLOOKUP($AC191,'oddspedia-matches'!$A:$AD,AR$2,0)</f>
        <v>#N/A</v>
      </c>
      <c r="AS191" t="e">
        <f>VLOOKUP($AC191,'oddspedia-matches'!$A:$AD,AS$2,0)</f>
        <v>#N/A</v>
      </c>
      <c r="AT191" t="e">
        <f>VLOOKUP($AC191,'oddspedia-matches'!$A:$AD,AT$2,0)</f>
        <v>#N/A</v>
      </c>
    </row>
    <row r="192" spans="2:46" x14ac:dyDescent="0.25">
      <c r="B192" s="9" t="s">
        <v>487</v>
      </c>
      <c r="C192" s="7" t="s">
        <v>508</v>
      </c>
      <c r="D192" s="20">
        <v>0.45833333333333331</v>
      </c>
      <c r="E192" s="7" t="s">
        <v>622</v>
      </c>
      <c r="F192" s="7" t="s">
        <v>623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s="7" t="s">
        <v>22</v>
      </c>
      <c r="Y192" s="7" t="s">
        <v>22</v>
      </c>
      <c r="Z192" s="21"/>
      <c r="AA192" t="str">
        <f>VLOOKUP(E192,'Transform table'!A:B,2,0)</f>
        <v>Afturelding</v>
      </c>
      <c r="AB192" t="e">
        <f>VLOOKUP(F192,'Transform table'!A:B,2,0)</f>
        <v>#N/A</v>
      </c>
      <c r="AC192" t="e">
        <f t="shared" si="2"/>
        <v>#N/A</v>
      </c>
      <c r="AD192" t="e">
        <f>VLOOKUP($AC192,'oddspedia-matches'!$A:$AD,AD$2,0)</f>
        <v>#N/A</v>
      </c>
      <c r="AE192" t="e">
        <f>VLOOKUP($AC192,'oddspedia-matches'!$A:$AD,AE$2,0)</f>
        <v>#N/A</v>
      </c>
      <c r="AF192" t="e">
        <f>VLOOKUP($AC192,'oddspedia-matches'!$A:$AD,AF$2,0)</f>
        <v>#N/A</v>
      </c>
      <c r="AG192" t="e">
        <f>VLOOKUP($AC192,'oddspedia-matches'!$A:$AD,AG$2,0)</f>
        <v>#N/A</v>
      </c>
      <c r="AH192" t="e">
        <f>VLOOKUP($AC192,'oddspedia-matches'!$A:$AD,AH$2,0)</f>
        <v>#N/A</v>
      </c>
      <c r="AI192" t="e">
        <f>VLOOKUP($AC192,'oddspedia-matches'!$A:$AD,AI$2,0)</f>
        <v>#N/A</v>
      </c>
      <c r="AJ192" t="e">
        <f>VLOOKUP($AC192,'oddspedia-matches'!$A:$AD,AJ$2,0)</f>
        <v>#N/A</v>
      </c>
      <c r="AK192" t="e">
        <f>VLOOKUP($AC192,'oddspedia-matches'!$A:$AD,AK$2,0)</f>
        <v>#N/A</v>
      </c>
      <c r="AL192" t="e">
        <f>VLOOKUP($AC192,'oddspedia-matches'!$A:$AD,AL$2,0)</f>
        <v>#N/A</v>
      </c>
      <c r="AM192" t="e">
        <f>VLOOKUP($AC192,'oddspedia-matches'!$A:$AD,AM$2,0)</f>
        <v>#N/A</v>
      </c>
      <c r="AN192" t="e">
        <f>VLOOKUP($AC192,'oddspedia-matches'!$A:$AD,AN$2,0)</f>
        <v>#N/A</v>
      </c>
      <c r="AO192" t="e">
        <f>VLOOKUP($AC192,'oddspedia-matches'!$A:$AD,AO$2,0)</f>
        <v>#N/A</v>
      </c>
      <c r="AP192" t="e">
        <f>VLOOKUP($AC192,'oddspedia-matches'!$A:$AD,AP$2,0)</f>
        <v>#N/A</v>
      </c>
      <c r="AQ192" t="e">
        <f>VLOOKUP($AC192,'oddspedia-matches'!$A:$AD,AQ$2,0)</f>
        <v>#N/A</v>
      </c>
      <c r="AR192" t="e">
        <f>VLOOKUP($AC192,'oddspedia-matches'!$A:$AD,AR$2,0)</f>
        <v>#N/A</v>
      </c>
      <c r="AS192" t="e">
        <f>VLOOKUP($AC192,'oddspedia-matches'!$A:$AD,AS$2,0)</f>
        <v>#N/A</v>
      </c>
      <c r="AT192" t="e">
        <f>VLOOKUP($AC192,'oddspedia-matches'!$A:$AD,AT$2,0)</f>
        <v>#N/A</v>
      </c>
    </row>
    <row r="193" spans="2:46" x14ac:dyDescent="0.25">
      <c r="B193" s="17" t="s">
        <v>487</v>
      </c>
      <c r="C193" s="8" t="s">
        <v>508</v>
      </c>
      <c r="D193" s="18">
        <v>0.45833333333333331</v>
      </c>
      <c r="E193" s="8" t="s">
        <v>624</v>
      </c>
      <c r="F193" s="8" t="s">
        <v>625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s="8">
        <v>28.6</v>
      </c>
      <c r="Y193" s="8">
        <v>28.6</v>
      </c>
      <c r="Z193" s="19"/>
      <c r="AA193">
        <f>VLOOKUP(E193,'Transform table'!A:B,2,0)</f>
        <v>0</v>
      </c>
      <c r="AB193" t="e">
        <f>VLOOKUP(F193,'Transform table'!A:B,2,0)</f>
        <v>#N/A</v>
      </c>
      <c r="AC193" t="e">
        <f t="shared" si="2"/>
        <v>#N/A</v>
      </c>
      <c r="AD193" t="e">
        <f>VLOOKUP($AC193,'oddspedia-matches'!$A:$AD,AD$2,0)</f>
        <v>#N/A</v>
      </c>
      <c r="AE193" t="e">
        <f>VLOOKUP($AC193,'oddspedia-matches'!$A:$AD,AE$2,0)</f>
        <v>#N/A</v>
      </c>
      <c r="AF193" t="e">
        <f>VLOOKUP($AC193,'oddspedia-matches'!$A:$AD,AF$2,0)</f>
        <v>#N/A</v>
      </c>
      <c r="AG193" t="e">
        <f>VLOOKUP($AC193,'oddspedia-matches'!$A:$AD,AG$2,0)</f>
        <v>#N/A</v>
      </c>
      <c r="AH193" t="e">
        <f>VLOOKUP($AC193,'oddspedia-matches'!$A:$AD,AH$2,0)</f>
        <v>#N/A</v>
      </c>
      <c r="AI193" t="e">
        <f>VLOOKUP($AC193,'oddspedia-matches'!$A:$AD,AI$2,0)</f>
        <v>#N/A</v>
      </c>
      <c r="AJ193" t="e">
        <f>VLOOKUP($AC193,'oddspedia-matches'!$A:$AD,AJ$2,0)</f>
        <v>#N/A</v>
      </c>
      <c r="AK193" t="e">
        <f>VLOOKUP($AC193,'oddspedia-matches'!$A:$AD,AK$2,0)</f>
        <v>#N/A</v>
      </c>
      <c r="AL193" t="e">
        <f>VLOOKUP($AC193,'oddspedia-matches'!$A:$AD,AL$2,0)</f>
        <v>#N/A</v>
      </c>
      <c r="AM193" t="e">
        <f>VLOOKUP($AC193,'oddspedia-matches'!$A:$AD,AM$2,0)</f>
        <v>#N/A</v>
      </c>
      <c r="AN193" t="e">
        <f>VLOOKUP($AC193,'oddspedia-matches'!$A:$AD,AN$2,0)</f>
        <v>#N/A</v>
      </c>
      <c r="AO193" t="e">
        <f>VLOOKUP($AC193,'oddspedia-matches'!$A:$AD,AO$2,0)</f>
        <v>#N/A</v>
      </c>
      <c r="AP193" t="e">
        <f>VLOOKUP($AC193,'oddspedia-matches'!$A:$AD,AP$2,0)</f>
        <v>#N/A</v>
      </c>
      <c r="AQ193" t="e">
        <f>VLOOKUP($AC193,'oddspedia-matches'!$A:$AD,AQ$2,0)</f>
        <v>#N/A</v>
      </c>
      <c r="AR193" t="e">
        <f>VLOOKUP($AC193,'oddspedia-matches'!$A:$AD,AR$2,0)</f>
        <v>#N/A</v>
      </c>
      <c r="AS193" t="e">
        <f>VLOOKUP($AC193,'oddspedia-matches'!$A:$AD,AS$2,0)</f>
        <v>#N/A</v>
      </c>
      <c r="AT193" t="e">
        <f>VLOOKUP($AC193,'oddspedia-matches'!$A:$AD,AT$2,0)</f>
        <v>#N/A</v>
      </c>
    </row>
    <row r="194" spans="2:46" x14ac:dyDescent="0.25">
      <c r="B194" s="9" t="s">
        <v>498</v>
      </c>
      <c r="C194" s="7" t="s">
        <v>508</v>
      </c>
      <c r="D194" s="20">
        <v>0.45833333333333331</v>
      </c>
      <c r="E194" s="7" t="s">
        <v>626</v>
      </c>
      <c r="F194" s="7" t="s">
        <v>627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s="7" t="s">
        <v>22</v>
      </c>
      <c r="Y194" s="7" t="s">
        <v>22</v>
      </c>
      <c r="Z194" s="21"/>
      <c r="AA194">
        <f>VLOOKUP(E194,'Transform table'!A:B,2,0)</f>
        <v>0</v>
      </c>
      <c r="AB194" t="e">
        <f>VLOOKUP(F194,'Transform table'!A:B,2,0)</f>
        <v>#N/A</v>
      </c>
      <c r="AC194" t="e">
        <f t="shared" si="2"/>
        <v>#N/A</v>
      </c>
      <c r="AD194" t="e">
        <f>VLOOKUP($AC194,'oddspedia-matches'!$A:$AD,AD$2,0)</f>
        <v>#N/A</v>
      </c>
      <c r="AE194" t="e">
        <f>VLOOKUP($AC194,'oddspedia-matches'!$A:$AD,AE$2,0)</f>
        <v>#N/A</v>
      </c>
      <c r="AF194" t="e">
        <f>VLOOKUP($AC194,'oddspedia-matches'!$A:$AD,AF$2,0)</f>
        <v>#N/A</v>
      </c>
      <c r="AG194" t="e">
        <f>VLOOKUP($AC194,'oddspedia-matches'!$A:$AD,AG$2,0)</f>
        <v>#N/A</v>
      </c>
      <c r="AH194" t="e">
        <f>VLOOKUP($AC194,'oddspedia-matches'!$A:$AD,AH$2,0)</f>
        <v>#N/A</v>
      </c>
      <c r="AI194" t="e">
        <f>VLOOKUP($AC194,'oddspedia-matches'!$A:$AD,AI$2,0)</f>
        <v>#N/A</v>
      </c>
      <c r="AJ194" t="e">
        <f>VLOOKUP($AC194,'oddspedia-matches'!$A:$AD,AJ$2,0)</f>
        <v>#N/A</v>
      </c>
      <c r="AK194" t="e">
        <f>VLOOKUP($AC194,'oddspedia-matches'!$A:$AD,AK$2,0)</f>
        <v>#N/A</v>
      </c>
      <c r="AL194" t="e">
        <f>VLOOKUP($AC194,'oddspedia-matches'!$A:$AD,AL$2,0)</f>
        <v>#N/A</v>
      </c>
      <c r="AM194" t="e">
        <f>VLOOKUP($AC194,'oddspedia-matches'!$A:$AD,AM$2,0)</f>
        <v>#N/A</v>
      </c>
      <c r="AN194" t="e">
        <f>VLOOKUP($AC194,'oddspedia-matches'!$A:$AD,AN$2,0)</f>
        <v>#N/A</v>
      </c>
      <c r="AO194" t="e">
        <f>VLOOKUP($AC194,'oddspedia-matches'!$A:$AD,AO$2,0)</f>
        <v>#N/A</v>
      </c>
      <c r="AP194" t="e">
        <f>VLOOKUP($AC194,'oddspedia-matches'!$A:$AD,AP$2,0)</f>
        <v>#N/A</v>
      </c>
      <c r="AQ194" t="e">
        <f>VLOOKUP($AC194,'oddspedia-matches'!$A:$AD,AQ$2,0)</f>
        <v>#N/A</v>
      </c>
      <c r="AR194" t="e">
        <f>VLOOKUP($AC194,'oddspedia-matches'!$A:$AD,AR$2,0)</f>
        <v>#N/A</v>
      </c>
      <c r="AS194" t="e">
        <f>VLOOKUP($AC194,'oddspedia-matches'!$A:$AD,AS$2,0)</f>
        <v>#N/A</v>
      </c>
      <c r="AT194" t="e">
        <f>VLOOKUP($AC194,'oddspedia-matches'!$A:$AD,AT$2,0)</f>
        <v>#N/A</v>
      </c>
    </row>
    <row r="195" spans="2:46" x14ac:dyDescent="0.25">
      <c r="B195" s="17" t="s">
        <v>587</v>
      </c>
      <c r="C195" s="8" t="s">
        <v>508</v>
      </c>
      <c r="D195" s="18">
        <v>0.45833333333333331</v>
      </c>
      <c r="E195" s="8" t="s">
        <v>628</v>
      </c>
      <c r="F195" s="8" t="s">
        <v>629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s="8" t="s">
        <v>22</v>
      </c>
      <c r="Y195" s="8" t="s">
        <v>22</v>
      </c>
      <c r="Z195" s="19"/>
      <c r="AA195">
        <f>VLOOKUP(E195,'Transform table'!A:B,2,0)</f>
        <v>0</v>
      </c>
      <c r="AB195" t="e">
        <f>VLOOKUP(F195,'Transform table'!A:B,2,0)</f>
        <v>#N/A</v>
      </c>
      <c r="AC195" t="e">
        <f t="shared" si="2"/>
        <v>#N/A</v>
      </c>
      <c r="AD195" t="e">
        <f>VLOOKUP($AC195,'oddspedia-matches'!$A:$AD,AD$2,0)</f>
        <v>#N/A</v>
      </c>
      <c r="AE195" t="e">
        <f>VLOOKUP($AC195,'oddspedia-matches'!$A:$AD,AE$2,0)</f>
        <v>#N/A</v>
      </c>
      <c r="AF195" t="e">
        <f>VLOOKUP($AC195,'oddspedia-matches'!$A:$AD,AF$2,0)</f>
        <v>#N/A</v>
      </c>
      <c r="AG195" t="e">
        <f>VLOOKUP($AC195,'oddspedia-matches'!$A:$AD,AG$2,0)</f>
        <v>#N/A</v>
      </c>
      <c r="AH195" t="e">
        <f>VLOOKUP($AC195,'oddspedia-matches'!$A:$AD,AH$2,0)</f>
        <v>#N/A</v>
      </c>
      <c r="AI195" t="e">
        <f>VLOOKUP($AC195,'oddspedia-matches'!$A:$AD,AI$2,0)</f>
        <v>#N/A</v>
      </c>
      <c r="AJ195" t="e">
        <f>VLOOKUP($AC195,'oddspedia-matches'!$A:$AD,AJ$2,0)</f>
        <v>#N/A</v>
      </c>
      <c r="AK195" t="e">
        <f>VLOOKUP($AC195,'oddspedia-matches'!$A:$AD,AK$2,0)</f>
        <v>#N/A</v>
      </c>
      <c r="AL195" t="e">
        <f>VLOOKUP($AC195,'oddspedia-matches'!$A:$AD,AL$2,0)</f>
        <v>#N/A</v>
      </c>
      <c r="AM195" t="e">
        <f>VLOOKUP($AC195,'oddspedia-matches'!$A:$AD,AM$2,0)</f>
        <v>#N/A</v>
      </c>
      <c r="AN195" t="e">
        <f>VLOOKUP($AC195,'oddspedia-matches'!$A:$AD,AN$2,0)</f>
        <v>#N/A</v>
      </c>
      <c r="AO195" t="e">
        <f>VLOOKUP($AC195,'oddspedia-matches'!$A:$AD,AO$2,0)</f>
        <v>#N/A</v>
      </c>
      <c r="AP195" t="e">
        <f>VLOOKUP($AC195,'oddspedia-matches'!$A:$AD,AP$2,0)</f>
        <v>#N/A</v>
      </c>
      <c r="AQ195" t="e">
        <f>VLOOKUP($AC195,'oddspedia-matches'!$A:$AD,AQ$2,0)</f>
        <v>#N/A</v>
      </c>
      <c r="AR195" t="e">
        <f>VLOOKUP($AC195,'oddspedia-matches'!$A:$AD,AR$2,0)</f>
        <v>#N/A</v>
      </c>
      <c r="AS195" t="e">
        <f>VLOOKUP($AC195,'oddspedia-matches'!$A:$AD,AS$2,0)</f>
        <v>#N/A</v>
      </c>
      <c r="AT195" t="e">
        <f>VLOOKUP($AC195,'oddspedia-matches'!$A:$AD,AT$2,0)</f>
        <v>#N/A</v>
      </c>
    </row>
    <row r="196" spans="2:46" x14ac:dyDescent="0.25">
      <c r="B196" s="9" t="s">
        <v>468</v>
      </c>
      <c r="C196" s="7" t="s">
        <v>508</v>
      </c>
      <c r="D196" s="20">
        <v>0.45833333333333331</v>
      </c>
      <c r="E196" s="7" t="s">
        <v>250</v>
      </c>
      <c r="F196" s="7" t="s">
        <v>630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s="7">
        <v>25</v>
      </c>
      <c r="Y196" s="7">
        <v>25</v>
      </c>
      <c r="Z196" s="21"/>
      <c r="AA196" t="str">
        <f>VLOOKUP(E196,'Transform table'!A:B,2,0)</f>
        <v>Neptunas Klaipeda</v>
      </c>
      <c r="AB196" t="e">
        <f>VLOOKUP(F196,'Transform table'!A:B,2,0)</f>
        <v>#N/A</v>
      </c>
      <c r="AC196" t="e">
        <f t="shared" si="2"/>
        <v>#N/A</v>
      </c>
      <c r="AD196" t="e">
        <f>VLOOKUP($AC196,'oddspedia-matches'!$A:$AD,AD$2,0)</f>
        <v>#N/A</v>
      </c>
      <c r="AE196" t="e">
        <f>VLOOKUP($AC196,'oddspedia-matches'!$A:$AD,AE$2,0)</f>
        <v>#N/A</v>
      </c>
      <c r="AF196" t="e">
        <f>VLOOKUP($AC196,'oddspedia-matches'!$A:$AD,AF$2,0)</f>
        <v>#N/A</v>
      </c>
      <c r="AG196" t="e">
        <f>VLOOKUP($AC196,'oddspedia-matches'!$A:$AD,AG$2,0)</f>
        <v>#N/A</v>
      </c>
      <c r="AH196" t="e">
        <f>VLOOKUP($AC196,'oddspedia-matches'!$A:$AD,AH$2,0)</f>
        <v>#N/A</v>
      </c>
      <c r="AI196" t="e">
        <f>VLOOKUP($AC196,'oddspedia-matches'!$A:$AD,AI$2,0)</f>
        <v>#N/A</v>
      </c>
      <c r="AJ196" t="e">
        <f>VLOOKUP($AC196,'oddspedia-matches'!$A:$AD,AJ$2,0)</f>
        <v>#N/A</v>
      </c>
      <c r="AK196" t="e">
        <f>VLOOKUP($AC196,'oddspedia-matches'!$A:$AD,AK$2,0)</f>
        <v>#N/A</v>
      </c>
      <c r="AL196" t="e">
        <f>VLOOKUP($AC196,'oddspedia-matches'!$A:$AD,AL$2,0)</f>
        <v>#N/A</v>
      </c>
      <c r="AM196" t="e">
        <f>VLOOKUP($AC196,'oddspedia-matches'!$A:$AD,AM$2,0)</f>
        <v>#N/A</v>
      </c>
      <c r="AN196" t="e">
        <f>VLOOKUP($AC196,'oddspedia-matches'!$A:$AD,AN$2,0)</f>
        <v>#N/A</v>
      </c>
      <c r="AO196" t="e">
        <f>VLOOKUP($AC196,'oddspedia-matches'!$A:$AD,AO$2,0)</f>
        <v>#N/A</v>
      </c>
      <c r="AP196" t="e">
        <f>VLOOKUP($AC196,'oddspedia-matches'!$A:$AD,AP$2,0)</f>
        <v>#N/A</v>
      </c>
      <c r="AQ196" t="e">
        <f>VLOOKUP($AC196,'oddspedia-matches'!$A:$AD,AQ$2,0)</f>
        <v>#N/A</v>
      </c>
      <c r="AR196" t="e">
        <f>VLOOKUP($AC196,'oddspedia-matches'!$A:$AD,AR$2,0)</f>
        <v>#N/A</v>
      </c>
      <c r="AS196" t="e">
        <f>VLOOKUP($AC196,'oddspedia-matches'!$A:$AD,AS$2,0)</f>
        <v>#N/A</v>
      </c>
      <c r="AT196" t="e">
        <f>VLOOKUP($AC196,'oddspedia-matches'!$A:$AD,AT$2,0)</f>
        <v>#N/A</v>
      </c>
    </row>
    <row r="197" spans="2:46" x14ac:dyDescent="0.25">
      <c r="B197" s="17" t="s">
        <v>483</v>
      </c>
      <c r="C197" s="8" t="s">
        <v>508</v>
      </c>
      <c r="D197" s="18">
        <v>0.45833333333333331</v>
      </c>
      <c r="E197" s="8" t="s">
        <v>631</v>
      </c>
      <c r="F197" s="8" t="s">
        <v>632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s="8">
        <v>33.299999999999997</v>
      </c>
      <c r="Y197" s="8">
        <v>25</v>
      </c>
      <c r="Z197" s="19"/>
      <c r="AA197" t="str">
        <f>VLOOKUP(E197,'Transform table'!A:B,2,0)</f>
        <v>Crystal Palace U21</v>
      </c>
      <c r="AB197" t="e">
        <f>VLOOKUP(F197,'Transform table'!A:B,2,0)</f>
        <v>#N/A</v>
      </c>
      <c r="AC197" t="e">
        <f t="shared" ref="AC197:AC260" si="3">C197&amp;AA197&amp;AB197</f>
        <v>#N/A</v>
      </c>
      <c r="AD197" t="e">
        <f>VLOOKUP($AC197,'oddspedia-matches'!$A:$AD,AD$2,0)</f>
        <v>#N/A</v>
      </c>
      <c r="AE197" t="e">
        <f>VLOOKUP($AC197,'oddspedia-matches'!$A:$AD,AE$2,0)</f>
        <v>#N/A</v>
      </c>
      <c r="AF197" t="e">
        <f>VLOOKUP($AC197,'oddspedia-matches'!$A:$AD,AF$2,0)</f>
        <v>#N/A</v>
      </c>
      <c r="AG197" t="e">
        <f>VLOOKUP($AC197,'oddspedia-matches'!$A:$AD,AG$2,0)</f>
        <v>#N/A</v>
      </c>
      <c r="AH197" t="e">
        <f>VLOOKUP($AC197,'oddspedia-matches'!$A:$AD,AH$2,0)</f>
        <v>#N/A</v>
      </c>
      <c r="AI197" t="e">
        <f>VLOOKUP($AC197,'oddspedia-matches'!$A:$AD,AI$2,0)</f>
        <v>#N/A</v>
      </c>
      <c r="AJ197" t="e">
        <f>VLOOKUP($AC197,'oddspedia-matches'!$A:$AD,AJ$2,0)</f>
        <v>#N/A</v>
      </c>
      <c r="AK197" t="e">
        <f>VLOOKUP($AC197,'oddspedia-matches'!$A:$AD,AK$2,0)</f>
        <v>#N/A</v>
      </c>
      <c r="AL197" t="e">
        <f>VLOOKUP($AC197,'oddspedia-matches'!$A:$AD,AL$2,0)</f>
        <v>#N/A</v>
      </c>
      <c r="AM197" t="e">
        <f>VLOOKUP($AC197,'oddspedia-matches'!$A:$AD,AM$2,0)</f>
        <v>#N/A</v>
      </c>
      <c r="AN197" t="e">
        <f>VLOOKUP($AC197,'oddspedia-matches'!$A:$AD,AN$2,0)</f>
        <v>#N/A</v>
      </c>
      <c r="AO197" t="e">
        <f>VLOOKUP($AC197,'oddspedia-matches'!$A:$AD,AO$2,0)</f>
        <v>#N/A</v>
      </c>
      <c r="AP197" t="e">
        <f>VLOOKUP($AC197,'oddspedia-matches'!$A:$AD,AP$2,0)</f>
        <v>#N/A</v>
      </c>
      <c r="AQ197" t="e">
        <f>VLOOKUP($AC197,'oddspedia-matches'!$A:$AD,AQ$2,0)</f>
        <v>#N/A</v>
      </c>
      <c r="AR197" t="e">
        <f>VLOOKUP($AC197,'oddspedia-matches'!$A:$AD,AR$2,0)</f>
        <v>#N/A</v>
      </c>
      <c r="AS197" t="e">
        <f>VLOOKUP($AC197,'oddspedia-matches'!$A:$AD,AS$2,0)</f>
        <v>#N/A</v>
      </c>
      <c r="AT197" t="e">
        <f>VLOOKUP($AC197,'oddspedia-matches'!$A:$AD,AT$2,0)</f>
        <v>#N/A</v>
      </c>
    </row>
    <row r="198" spans="2:46" x14ac:dyDescent="0.25">
      <c r="B198" s="9" t="s">
        <v>602</v>
      </c>
      <c r="C198" s="7" t="s">
        <v>508</v>
      </c>
      <c r="D198" s="20">
        <v>0.5</v>
      </c>
      <c r="E198" s="7" t="s">
        <v>633</v>
      </c>
      <c r="F198" s="7" t="s">
        <v>634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s="7" t="s">
        <v>22</v>
      </c>
      <c r="Y198" s="7" t="s">
        <v>22</v>
      </c>
      <c r="Z198" s="21"/>
      <c r="AA198" t="str">
        <f>VLOOKUP(E198,'Transform table'!A:B,2,0)</f>
        <v>FK Kaspyi Aktau U21</v>
      </c>
      <c r="AB198" t="e">
        <f>VLOOKUP(F198,'Transform table'!A:B,2,0)</f>
        <v>#N/A</v>
      </c>
      <c r="AC198" t="e">
        <f t="shared" si="3"/>
        <v>#N/A</v>
      </c>
      <c r="AD198" t="e">
        <f>VLOOKUP($AC198,'oddspedia-matches'!$A:$AD,AD$2,0)</f>
        <v>#N/A</v>
      </c>
      <c r="AE198" t="e">
        <f>VLOOKUP($AC198,'oddspedia-matches'!$A:$AD,AE$2,0)</f>
        <v>#N/A</v>
      </c>
      <c r="AF198" t="e">
        <f>VLOOKUP($AC198,'oddspedia-matches'!$A:$AD,AF$2,0)</f>
        <v>#N/A</v>
      </c>
      <c r="AG198" t="e">
        <f>VLOOKUP($AC198,'oddspedia-matches'!$A:$AD,AG$2,0)</f>
        <v>#N/A</v>
      </c>
      <c r="AH198" t="e">
        <f>VLOOKUP($AC198,'oddspedia-matches'!$A:$AD,AH$2,0)</f>
        <v>#N/A</v>
      </c>
      <c r="AI198" t="e">
        <f>VLOOKUP($AC198,'oddspedia-matches'!$A:$AD,AI$2,0)</f>
        <v>#N/A</v>
      </c>
      <c r="AJ198" t="e">
        <f>VLOOKUP($AC198,'oddspedia-matches'!$A:$AD,AJ$2,0)</f>
        <v>#N/A</v>
      </c>
      <c r="AK198" t="e">
        <f>VLOOKUP($AC198,'oddspedia-matches'!$A:$AD,AK$2,0)</f>
        <v>#N/A</v>
      </c>
      <c r="AL198" t="e">
        <f>VLOOKUP($AC198,'oddspedia-matches'!$A:$AD,AL$2,0)</f>
        <v>#N/A</v>
      </c>
      <c r="AM198" t="e">
        <f>VLOOKUP($AC198,'oddspedia-matches'!$A:$AD,AM$2,0)</f>
        <v>#N/A</v>
      </c>
      <c r="AN198" t="e">
        <f>VLOOKUP($AC198,'oddspedia-matches'!$A:$AD,AN$2,0)</f>
        <v>#N/A</v>
      </c>
      <c r="AO198" t="e">
        <f>VLOOKUP($AC198,'oddspedia-matches'!$A:$AD,AO$2,0)</f>
        <v>#N/A</v>
      </c>
      <c r="AP198" t="e">
        <f>VLOOKUP($AC198,'oddspedia-matches'!$A:$AD,AP$2,0)</f>
        <v>#N/A</v>
      </c>
      <c r="AQ198" t="e">
        <f>VLOOKUP($AC198,'oddspedia-matches'!$A:$AD,AQ$2,0)</f>
        <v>#N/A</v>
      </c>
      <c r="AR198" t="e">
        <f>VLOOKUP($AC198,'oddspedia-matches'!$A:$AD,AR$2,0)</f>
        <v>#N/A</v>
      </c>
      <c r="AS198" t="e">
        <f>VLOOKUP($AC198,'oddspedia-matches'!$A:$AD,AS$2,0)</f>
        <v>#N/A</v>
      </c>
      <c r="AT198" t="e">
        <f>VLOOKUP($AC198,'oddspedia-matches'!$A:$AD,AT$2,0)</f>
        <v>#N/A</v>
      </c>
    </row>
    <row r="199" spans="2:46" x14ac:dyDescent="0.25">
      <c r="B199" s="17" t="s">
        <v>466</v>
      </c>
      <c r="C199" s="8" t="s">
        <v>508</v>
      </c>
      <c r="D199" s="18">
        <v>0.5</v>
      </c>
      <c r="E199" s="8" t="s">
        <v>635</v>
      </c>
      <c r="F199" s="8" t="s">
        <v>636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s="8">
        <v>28.6</v>
      </c>
      <c r="Y199" s="8">
        <v>42.9</v>
      </c>
      <c r="Z199" s="19"/>
      <c r="AA199">
        <f>VLOOKUP(E199,'Transform table'!A:B,2,0)</f>
        <v>0</v>
      </c>
      <c r="AB199" t="e">
        <f>VLOOKUP(F199,'Transform table'!A:B,2,0)</f>
        <v>#N/A</v>
      </c>
      <c r="AC199" t="e">
        <f t="shared" si="3"/>
        <v>#N/A</v>
      </c>
      <c r="AD199" t="e">
        <f>VLOOKUP($AC199,'oddspedia-matches'!$A:$AD,AD$2,0)</f>
        <v>#N/A</v>
      </c>
      <c r="AE199" t="e">
        <f>VLOOKUP($AC199,'oddspedia-matches'!$A:$AD,AE$2,0)</f>
        <v>#N/A</v>
      </c>
      <c r="AF199" t="e">
        <f>VLOOKUP($AC199,'oddspedia-matches'!$A:$AD,AF$2,0)</f>
        <v>#N/A</v>
      </c>
      <c r="AG199" t="e">
        <f>VLOOKUP($AC199,'oddspedia-matches'!$A:$AD,AG$2,0)</f>
        <v>#N/A</v>
      </c>
      <c r="AH199" t="e">
        <f>VLOOKUP($AC199,'oddspedia-matches'!$A:$AD,AH$2,0)</f>
        <v>#N/A</v>
      </c>
      <c r="AI199" t="e">
        <f>VLOOKUP($AC199,'oddspedia-matches'!$A:$AD,AI$2,0)</f>
        <v>#N/A</v>
      </c>
      <c r="AJ199" t="e">
        <f>VLOOKUP($AC199,'oddspedia-matches'!$A:$AD,AJ$2,0)</f>
        <v>#N/A</v>
      </c>
      <c r="AK199" t="e">
        <f>VLOOKUP($AC199,'oddspedia-matches'!$A:$AD,AK$2,0)</f>
        <v>#N/A</v>
      </c>
      <c r="AL199" t="e">
        <f>VLOOKUP($AC199,'oddspedia-matches'!$A:$AD,AL$2,0)</f>
        <v>#N/A</v>
      </c>
      <c r="AM199" t="e">
        <f>VLOOKUP($AC199,'oddspedia-matches'!$A:$AD,AM$2,0)</f>
        <v>#N/A</v>
      </c>
      <c r="AN199" t="e">
        <f>VLOOKUP($AC199,'oddspedia-matches'!$A:$AD,AN$2,0)</f>
        <v>#N/A</v>
      </c>
      <c r="AO199" t="e">
        <f>VLOOKUP($AC199,'oddspedia-matches'!$A:$AD,AO$2,0)</f>
        <v>#N/A</v>
      </c>
      <c r="AP199" t="e">
        <f>VLOOKUP($AC199,'oddspedia-matches'!$A:$AD,AP$2,0)</f>
        <v>#N/A</v>
      </c>
      <c r="AQ199" t="e">
        <f>VLOOKUP($AC199,'oddspedia-matches'!$A:$AD,AQ$2,0)</f>
        <v>#N/A</v>
      </c>
      <c r="AR199" t="e">
        <f>VLOOKUP($AC199,'oddspedia-matches'!$A:$AD,AR$2,0)</f>
        <v>#N/A</v>
      </c>
      <c r="AS199" t="e">
        <f>VLOOKUP($AC199,'oddspedia-matches'!$A:$AD,AS$2,0)</f>
        <v>#N/A</v>
      </c>
      <c r="AT199" t="e">
        <f>VLOOKUP($AC199,'oddspedia-matches'!$A:$AD,AT$2,0)</f>
        <v>#N/A</v>
      </c>
    </row>
    <row r="200" spans="2:46" x14ac:dyDescent="0.25">
      <c r="B200" s="9" t="s">
        <v>587</v>
      </c>
      <c r="C200" s="7" t="s">
        <v>508</v>
      </c>
      <c r="D200" s="20">
        <v>0.5</v>
      </c>
      <c r="E200" s="7" t="s">
        <v>637</v>
      </c>
      <c r="F200" s="7" t="s">
        <v>638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s="7" t="s">
        <v>22</v>
      </c>
      <c r="Y200" s="7" t="s">
        <v>22</v>
      </c>
      <c r="Z200" s="21"/>
      <c r="AA200">
        <f>VLOOKUP(E200,'Transform table'!A:B,2,0)</f>
        <v>0</v>
      </c>
      <c r="AB200" t="e">
        <f>VLOOKUP(F200,'Transform table'!A:B,2,0)</f>
        <v>#N/A</v>
      </c>
      <c r="AC200" t="e">
        <f t="shared" si="3"/>
        <v>#N/A</v>
      </c>
      <c r="AD200" t="e">
        <f>VLOOKUP($AC200,'oddspedia-matches'!$A:$AD,AD$2,0)</f>
        <v>#N/A</v>
      </c>
      <c r="AE200" t="e">
        <f>VLOOKUP($AC200,'oddspedia-matches'!$A:$AD,AE$2,0)</f>
        <v>#N/A</v>
      </c>
      <c r="AF200" t="e">
        <f>VLOOKUP($AC200,'oddspedia-matches'!$A:$AD,AF$2,0)</f>
        <v>#N/A</v>
      </c>
      <c r="AG200" t="e">
        <f>VLOOKUP($AC200,'oddspedia-matches'!$A:$AD,AG$2,0)</f>
        <v>#N/A</v>
      </c>
      <c r="AH200" t="e">
        <f>VLOOKUP($AC200,'oddspedia-matches'!$A:$AD,AH$2,0)</f>
        <v>#N/A</v>
      </c>
      <c r="AI200" t="e">
        <f>VLOOKUP($AC200,'oddspedia-matches'!$A:$AD,AI$2,0)</f>
        <v>#N/A</v>
      </c>
      <c r="AJ200" t="e">
        <f>VLOOKUP($AC200,'oddspedia-matches'!$A:$AD,AJ$2,0)</f>
        <v>#N/A</v>
      </c>
      <c r="AK200" t="e">
        <f>VLOOKUP($AC200,'oddspedia-matches'!$A:$AD,AK$2,0)</f>
        <v>#N/A</v>
      </c>
      <c r="AL200" t="e">
        <f>VLOOKUP($AC200,'oddspedia-matches'!$A:$AD,AL$2,0)</f>
        <v>#N/A</v>
      </c>
      <c r="AM200" t="e">
        <f>VLOOKUP($AC200,'oddspedia-matches'!$A:$AD,AM$2,0)</f>
        <v>#N/A</v>
      </c>
      <c r="AN200" t="e">
        <f>VLOOKUP($AC200,'oddspedia-matches'!$A:$AD,AN$2,0)</f>
        <v>#N/A</v>
      </c>
      <c r="AO200" t="e">
        <f>VLOOKUP($AC200,'oddspedia-matches'!$A:$AD,AO$2,0)</f>
        <v>#N/A</v>
      </c>
      <c r="AP200" t="e">
        <f>VLOOKUP($AC200,'oddspedia-matches'!$A:$AD,AP$2,0)</f>
        <v>#N/A</v>
      </c>
      <c r="AQ200" t="e">
        <f>VLOOKUP($AC200,'oddspedia-matches'!$A:$AD,AQ$2,0)</f>
        <v>#N/A</v>
      </c>
      <c r="AR200" t="e">
        <f>VLOOKUP($AC200,'oddspedia-matches'!$A:$AD,AR$2,0)</f>
        <v>#N/A</v>
      </c>
      <c r="AS200" t="e">
        <f>VLOOKUP($AC200,'oddspedia-matches'!$A:$AD,AS$2,0)</f>
        <v>#N/A</v>
      </c>
      <c r="AT200" t="e">
        <f>VLOOKUP($AC200,'oddspedia-matches'!$A:$AD,AT$2,0)</f>
        <v>#N/A</v>
      </c>
    </row>
    <row r="201" spans="2:46" x14ac:dyDescent="0.25">
      <c r="B201" s="17" t="s">
        <v>468</v>
      </c>
      <c r="C201" s="8" t="s">
        <v>508</v>
      </c>
      <c r="D201" s="18">
        <v>0.5</v>
      </c>
      <c r="E201" s="8" t="s">
        <v>639</v>
      </c>
      <c r="F201" s="8" t="s">
        <v>640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s="8">
        <v>0</v>
      </c>
      <c r="Y201" s="8">
        <v>12.5</v>
      </c>
      <c r="Z201" s="19"/>
      <c r="AA201">
        <f>VLOOKUP(E201,'Transform table'!A:B,2,0)</f>
        <v>0</v>
      </c>
      <c r="AB201" t="e">
        <f>VLOOKUP(F201,'Transform table'!A:B,2,0)</f>
        <v>#N/A</v>
      </c>
      <c r="AC201" t="e">
        <f t="shared" si="3"/>
        <v>#N/A</v>
      </c>
      <c r="AD201" t="e">
        <f>VLOOKUP($AC201,'oddspedia-matches'!$A:$AD,AD$2,0)</f>
        <v>#N/A</v>
      </c>
      <c r="AE201" t="e">
        <f>VLOOKUP($AC201,'oddspedia-matches'!$A:$AD,AE$2,0)</f>
        <v>#N/A</v>
      </c>
      <c r="AF201" t="e">
        <f>VLOOKUP($AC201,'oddspedia-matches'!$A:$AD,AF$2,0)</f>
        <v>#N/A</v>
      </c>
      <c r="AG201" t="e">
        <f>VLOOKUP($AC201,'oddspedia-matches'!$A:$AD,AG$2,0)</f>
        <v>#N/A</v>
      </c>
      <c r="AH201" t="e">
        <f>VLOOKUP($AC201,'oddspedia-matches'!$A:$AD,AH$2,0)</f>
        <v>#N/A</v>
      </c>
      <c r="AI201" t="e">
        <f>VLOOKUP($AC201,'oddspedia-matches'!$A:$AD,AI$2,0)</f>
        <v>#N/A</v>
      </c>
      <c r="AJ201" t="e">
        <f>VLOOKUP($AC201,'oddspedia-matches'!$A:$AD,AJ$2,0)</f>
        <v>#N/A</v>
      </c>
      <c r="AK201" t="e">
        <f>VLOOKUP($AC201,'oddspedia-matches'!$A:$AD,AK$2,0)</f>
        <v>#N/A</v>
      </c>
      <c r="AL201" t="e">
        <f>VLOOKUP($AC201,'oddspedia-matches'!$A:$AD,AL$2,0)</f>
        <v>#N/A</v>
      </c>
      <c r="AM201" t="e">
        <f>VLOOKUP($AC201,'oddspedia-matches'!$A:$AD,AM$2,0)</f>
        <v>#N/A</v>
      </c>
      <c r="AN201" t="e">
        <f>VLOOKUP($AC201,'oddspedia-matches'!$A:$AD,AN$2,0)</f>
        <v>#N/A</v>
      </c>
      <c r="AO201" t="e">
        <f>VLOOKUP($AC201,'oddspedia-matches'!$A:$AD,AO$2,0)</f>
        <v>#N/A</v>
      </c>
      <c r="AP201" t="e">
        <f>VLOOKUP($AC201,'oddspedia-matches'!$A:$AD,AP$2,0)</f>
        <v>#N/A</v>
      </c>
      <c r="AQ201" t="e">
        <f>VLOOKUP($AC201,'oddspedia-matches'!$A:$AD,AQ$2,0)</f>
        <v>#N/A</v>
      </c>
      <c r="AR201" t="e">
        <f>VLOOKUP($AC201,'oddspedia-matches'!$A:$AD,AR$2,0)</f>
        <v>#N/A</v>
      </c>
      <c r="AS201" t="e">
        <f>VLOOKUP($AC201,'oddspedia-matches'!$A:$AD,AS$2,0)</f>
        <v>#N/A</v>
      </c>
      <c r="AT201" t="e">
        <f>VLOOKUP($AC201,'oddspedia-matches'!$A:$AD,AT$2,0)</f>
        <v>#N/A</v>
      </c>
    </row>
    <row r="202" spans="2:46" x14ac:dyDescent="0.25">
      <c r="B202" s="9" t="s">
        <v>504</v>
      </c>
      <c r="C202" s="7" t="s">
        <v>508</v>
      </c>
      <c r="D202" s="20">
        <v>0.5</v>
      </c>
      <c r="E202" s="7" t="s">
        <v>641</v>
      </c>
      <c r="F202" s="7" t="s">
        <v>642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s="7" t="s">
        <v>22</v>
      </c>
      <c r="Y202" s="7" t="s">
        <v>22</v>
      </c>
      <c r="Z202" s="21"/>
      <c r="AA202" t="str">
        <f>VLOOKUP(E202,'Transform table'!A:B,2,0)</f>
        <v>Centro Espanol</v>
      </c>
      <c r="AB202" t="e">
        <f>VLOOKUP(F202,'Transform table'!A:B,2,0)</f>
        <v>#N/A</v>
      </c>
      <c r="AC202" t="e">
        <f t="shared" si="3"/>
        <v>#N/A</v>
      </c>
      <c r="AD202" t="e">
        <f>VLOOKUP($AC202,'oddspedia-matches'!$A:$AD,AD$2,0)</f>
        <v>#N/A</v>
      </c>
      <c r="AE202" t="e">
        <f>VLOOKUP($AC202,'oddspedia-matches'!$A:$AD,AE$2,0)</f>
        <v>#N/A</v>
      </c>
      <c r="AF202" t="e">
        <f>VLOOKUP($AC202,'oddspedia-matches'!$A:$AD,AF$2,0)</f>
        <v>#N/A</v>
      </c>
      <c r="AG202" t="e">
        <f>VLOOKUP($AC202,'oddspedia-matches'!$A:$AD,AG$2,0)</f>
        <v>#N/A</v>
      </c>
      <c r="AH202" t="e">
        <f>VLOOKUP($AC202,'oddspedia-matches'!$A:$AD,AH$2,0)</f>
        <v>#N/A</v>
      </c>
      <c r="AI202" t="e">
        <f>VLOOKUP($AC202,'oddspedia-matches'!$A:$AD,AI$2,0)</f>
        <v>#N/A</v>
      </c>
      <c r="AJ202" t="e">
        <f>VLOOKUP($AC202,'oddspedia-matches'!$A:$AD,AJ$2,0)</f>
        <v>#N/A</v>
      </c>
      <c r="AK202" t="e">
        <f>VLOOKUP($AC202,'oddspedia-matches'!$A:$AD,AK$2,0)</f>
        <v>#N/A</v>
      </c>
      <c r="AL202" t="e">
        <f>VLOOKUP($AC202,'oddspedia-matches'!$A:$AD,AL$2,0)</f>
        <v>#N/A</v>
      </c>
      <c r="AM202" t="e">
        <f>VLOOKUP($AC202,'oddspedia-matches'!$A:$AD,AM$2,0)</f>
        <v>#N/A</v>
      </c>
      <c r="AN202" t="e">
        <f>VLOOKUP($AC202,'oddspedia-matches'!$A:$AD,AN$2,0)</f>
        <v>#N/A</v>
      </c>
      <c r="AO202" t="e">
        <f>VLOOKUP($AC202,'oddspedia-matches'!$A:$AD,AO$2,0)</f>
        <v>#N/A</v>
      </c>
      <c r="AP202" t="e">
        <f>VLOOKUP($AC202,'oddspedia-matches'!$A:$AD,AP$2,0)</f>
        <v>#N/A</v>
      </c>
      <c r="AQ202" t="e">
        <f>VLOOKUP($AC202,'oddspedia-matches'!$A:$AD,AQ$2,0)</f>
        <v>#N/A</v>
      </c>
      <c r="AR202" t="e">
        <f>VLOOKUP($AC202,'oddspedia-matches'!$A:$AD,AR$2,0)</f>
        <v>#N/A</v>
      </c>
      <c r="AS202" t="e">
        <f>VLOOKUP($AC202,'oddspedia-matches'!$A:$AD,AS$2,0)</f>
        <v>#N/A</v>
      </c>
      <c r="AT202" t="e">
        <f>VLOOKUP($AC202,'oddspedia-matches'!$A:$AD,AT$2,0)</f>
        <v>#N/A</v>
      </c>
    </row>
    <row r="203" spans="2:46" x14ac:dyDescent="0.25">
      <c r="B203" s="17" t="s">
        <v>494</v>
      </c>
      <c r="C203" s="8" t="s">
        <v>508</v>
      </c>
      <c r="D203" s="18">
        <v>0.52083333333333337</v>
      </c>
      <c r="E203" s="8" t="s">
        <v>258</v>
      </c>
      <c r="F203" s="8" t="s">
        <v>643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s="8">
        <v>28.6</v>
      </c>
      <c r="Y203" s="8">
        <v>42.9</v>
      </c>
      <c r="Z203" s="19"/>
      <c r="AA203" t="str">
        <f>VLOOKUP(E203,'Transform table'!A:B,2,0)</f>
        <v>Kalmar</v>
      </c>
      <c r="AB203" t="e">
        <f>VLOOKUP(F203,'Transform table'!A:B,2,0)</f>
        <v>#N/A</v>
      </c>
      <c r="AC203" t="e">
        <f t="shared" si="3"/>
        <v>#N/A</v>
      </c>
      <c r="AD203" t="e">
        <f>VLOOKUP($AC203,'oddspedia-matches'!$A:$AD,AD$2,0)</f>
        <v>#N/A</v>
      </c>
      <c r="AE203" t="e">
        <f>VLOOKUP($AC203,'oddspedia-matches'!$A:$AD,AE$2,0)</f>
        <v>#N/A</v>
      </c>
      <c r="AF203" t="e">
        <f>VLOOKUP($AC203,'oddspedia-matches'!$A:$AD,AF$2,0)</f>
        <v>#N/A</v>
      </c>
      <c r="AG203" t="e">
        <f>VLOOKUP($AC203,'oddspedia-matches'!$A:$AD,AG$2,0)</f>
        <v>#N/A</v>
      </c>
      <c r="AH203" t="e">
        <f>VLOOKUP($AC203,'oddspedia-matches'!$A:$AD,AH$2,0)</f>
        <v>#N/A</v>
      </c>
      <c r="AI203" t="e">
        <f>VLOOKUP($AC203,'oddspedia-matches'!$A:$AD,AI$2,0)</f>
        <v>#N/A</v>
      </c>
      <c r="AJ203" t="e">
        <f>VLOOKUP($AC203,'oddspedia-matches'!$A:$AD,AJ$2,0)</f>
        <v>#N/A</v>
      </c>
      <c r="AK203" t="e">
        <f>VLOOKUP($AC203,'oddspedia-matches'!$A:$AD,AK$2,0)</f>
        <v>#N/A</v>
      </c>
      <c r="AL203" t="e">
        <f>VLOOKUP($AC203,'oddspedia-matches'!$A:$AD,AL$2,0)</f>
        <v>#N/A</v>
      </c>
      <c r="AM203" t="e">
        <f>VLOOKUP($AC203,'oddspedia-matches'!$A:$AD,AM$2,0)</f>
        <v>#N/A</v>
      </c>
      <c r="AN203" t="e">
        <f>VLOOKUP($AC203,'oddspedia-matches'!$A:$AD,AN$2,0)</f>
        <v>#N/A</v>
      </c>
      <c r="AO203" t="e">
        <f>VLOOKUP($AC203,'oddspedia-matches'!$A:$AD,AO$2,0)</f>
        <v>#N/A</v>
      </c>
      <c r="AP203" t="e">
        <f>VLOOKUP($AC203,'oddspedia-matches'!$A:$AD,AP$2,0)</f>
        <v>#N/A</v>
      </c>
      <c r="AQ203" t="e">
        <f>VLOOKUP($AC203,'oddspedia-matches'!$A:$AD,AQ$2,0)</f>
        <v>#N/A</v>
      </c>
      <c r="AR203" t="e">
        <f>VLOOKUP($AC203,'oddspedia-matches'!$A:$AD,AR$2,0)</f>
        <v>#N/A</v>
      </c>
      <c r="AS203" t="e">
        <f>VLOOKUP($AC203,'oddspedia-matches'!$A:$AD,AS$2,0)</f>
        <v>#N/A</v>
      </c>
      <c r="AT203" t="e">
        <f>VLOOKUP($AC203,'oddspedia-matches'!$A:$AD,AT$2,0)</f>
        <v>#N/A</v>
      </c>
    </row>
    <row r="204" spans="2:46" x14ac:dyDescent="0.25">
      <c r="B204" s="9" t="s">
        <v>644</v>
      </c>
      <c r="C204" s="7" t="s">
        <v>508</v>
      </c>
      <c r="D204" s="20">
        <v>0.54166666666666663</v>
      </c>
      <c r="E204" s="7" t="s">
        <v>645</v>
      </c>
      <c r="F204" s="7" t="s">
        <v>646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s="7" t="s">
        <v>22</v>
      </c>
      <c r="Y204" s="7" t="s">
        <v>22</v>
      </c>
      <c r="Z204" s="21"/>
      <c r="AA204" t="str">
        <f>VLOOKUP(E204,'Transform table'!A:B,2,0)</f>
        <v>Nomme Kalju</v>
      </c>
      <c r="AB204" t="e">
        <f>VLOOKUP(F204,'Transform table'!A:B,2,0)</f>
        <v>#N/A</v>
      </c>
      <c r="AC204" t="e">
        <f t="shared" si="3"/>
        <v>#N/A</v>
      </c>
      <c r="AD204" t="e">
        <f>VLOOKUP($AC204,'oddspedia-matches'!$A:$AD,AD$2,0)</f>
        <v>#N/A</v>
      </c>
      <c r="AE204" t="e">
        <f>VLOOKUP($AC204,'oddspedia-matches'!$A:$AD,AE$2,0)</f>
        <v>#N/A</v>
      </c>
      <c r="AF204" t="e">
        <f>VLOOKUP($AC204,'oddspedia-matches'!$A:$AD,AF$2,0)</f>
        <v>#N/A</v>
      </c>
      <c r="AG204" t="e">
        <f>VLOOKUP($AC204,'oddspedia-matches'!$A:$AD,AG$2,0)</f>
        <v>#N/A</v>
      </c>
      <c r="AH204" t="e">
        <f>VLOOKUP($AC204,'oddspedia-matches'!$A:$AD,AH$2,0)</f>
        <v>#N/A</v>
      </c>
      <c r="AI204" t="e">
        <f>VLOOKUP($AC204,'oddspedia-matches'!$A:$AD,AI$2,0)</f>
        <v>#N/A</v>
      </c>
      <c r="AJ204" t="e">
        <f>VLOOKUP($AC204,'oddspedia-matches'!$A:$AD,AJ$2,0)</f>
        <v>#N/A</v>
      </c>
      <c r="AK204" t="e">
        <f>VLOOKUP($AC204,'oddspedia-matches'!$A:$AD,AK$2,0)</f>
        <v>#N/A</v>
      </c>
      <c r="AL204" t="e">
        <f>VLOOKUP($AC204,'oddspedia-matches'!$A:$AD,AL$2,0)</f>
        <v>#N/A</v>
      </c>
      <c r="AM204" t="e">
        <f>VLOOKUP($AC204,'oddspedia-matches'!$A:$AD,AM$2,0)</f>
        <v>#N/A</v>
      </c>
      <c r="AN204" t="e">
        <f>VLOOKUP($AC204,'oddspedia-matches'!$A:$AD,AN$2,0)</f>
        <v>#N/A</v>
      </c>
      <c r="AO204" t="e">
        <f>VLOOKUP($AC204,'oddspedia-matches'!$A:$AD,AO$2,0)</f>
        <v>#N/A</v>
      </c>
      <c r="AP204" t="e">
        <f>VLOOKUP($AC204,'oddspedia-matches'!$A:$AD,AP$2,0)</f>
        <v>#N/A</v>
      </c>
      <c r="AQ204" t="e">
        <f>VLOOKUP($AC204,'oddspedia-matches'!$A:$AD,AQ$2,0)</f>
        <v>#N/A</v>
      </c>
      <c r="AR204" t="e">
        <f>VLOOKUP($AC204,'oddspedia-matches'!$A:$AD,AR$2,0)</f>
        <v>#N/A</v>
      </c>
      <c r="AS204" t="e">
        <f>VLOOKUP($AC204,'oddspedia-matches'!$A:$AD,AS$2,0)</f>
        <v>#N/A</v>
      </c>
      <c r="AT204" t="e">
        <f>VLOOKUP($AC204,'oddspedia-matches'!$A:$AD,AT$2,0)</f>
        <v>#N/A</v>
      </c>
    </row>
    <row r="205" spans="2:46" x14ac:dyDescent="0.25">
      <c r="B205" s="17" t="s">
        <v>496</v>
      </c>
      <c r="C205" s="8" t="s">
        <v>508</v>
      </c>
      <c r="D205" s="18">
        <v>0.54166666666666663</v>
      </c>
      <c r="E205" s="8" t="s">
        <v>647</v>
      </c>
      <c r="F205" s="8" t="s">
        <v>648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s="8" t="s">
        <v>22</v>
      </c>
      <c r="Y205" s="8" t="s">
        <v>22</v>
      </c>
      <c r="Z205" s="19"/>
      <c r="AA205" t="str">
        <f>VLOOKUP(E205,'Transform table'!A:B,2,0)</f>
        <v>Gillingham</v>
      </c>
      <c r="AB205" t="e">
        <f>VLOOKUP(F205,'Transform table'!A:B,2,0)</f>
        <v>#N/A</v>
      </c>
      <c r="AC205" t="e">
        <f t="shared" si="3"/>
        <v>#N/A</v>
      </c>
      <c r="AD205" t="e">
        <f>VLOOKUP($AC205,'oddspedia-matches'!$A:$AD,AD$2,0)</f>
        <v>#N/A</v>
      </c>
      <c r="AE205" t="e">
        <f>VLOOKUP($AC205,'oddspedia-matches'!$A:$AD,AE$2,0)</f>
        <v>#N/A</v>
      </c>
      <c r="AF205" t="e">
        <f>VLOOKUP($AC205,'oddspedia-matches'!$A:$AD,AF$2,0)</f>
        <v>#N/A</v>
      </c>
      <c r="AG205" t="e">
        <f>VLOOKUP($AC205,'oddspedia-matches'!$A:$AD,AG$2,0)</f>
        <v>#N/A</v>
      </c>
      <c r="AH205" t="e">
        <f>VLOOKUP($AC205,'oddspedia-matches'!$A:$AD,AH$2,0)</f>
        <v>#N/A</v>
      </c>
      <c r="AI205" t="e">
        <f>VLOOKUP($AC205,'oddspedia-matches'!$A:$AD,AI$2,0)</f>
        <v>#N/A</v>
      </c>
      <c r="AJ205" t="e">
        <f>VLOOKUP($AC205,'oddspedia-matches'!$A:$AD,AJ$2,0)</f>
        <v>#N/A</v>
      </c>
      <c r="AK205" t="e">
        <f>VLOOKUP($AC205,'oddspedia-matches'!$A:$AD,AK$2,0)</f>
        <v>#N/A</v>
      </c>
      <c r="AL205" t="e">
        <f>VLOOKUP($AC205,'oddspedia-matches'!$A:$AD,AL$2,0)</f>
        <v>#N/A</v>
      </c>
      <c r="AM205" t="e">
        <f>VLOOKUP($AC205,'oddspedia-matches'!$A:$AD,AM$2,0)</f>
        <v>#N/A</v>
      </c>
      <c r="AN205" t="e">
        <f>VLOOKUP($AC205,'oddspedia-matches'!$A:$AD,AN$2,0)</f>
        <v>#N/A</v>
      </c>
      <c r="AO205" t="e">
        <f>VLOOKUP($AC205,'oddspedia-matches'!$A:$AD,AO$2,0)</f>
        <v>#N/A</v>
      </c>
      <c r="AP205" t="e">
        <f>VLOOKUP($AC205,'oddspedia-matches'!$A:$AD,AP$2,0)</f>
        <v>#N/A</v>
      </c>
      <c r="AQ205" t="e">
        <f>VLOOKUP($AC205,'oddspedia-matches'!$A:$AD,AQ$2,0)</f>
        <v>#N/A</v>
      </c>
      <c r="AR205" t="e">
        <f>VLOOKUP($AC205,'oddspedia-matches'!$A:$AD,AR$2,0)</f>
        <v>#N/A</v>
      </c>
      <c r="AS205" t="e">
        <f>VLOOKUP($AC205,'oddspedia-matches'!$A:$AD,AS$2,0)</f>
        <v>#N/A</v>
      </c>
      <c r="AT205" t="e">
        <f>VLOOKUP($AC205,'oddspedia-matches'!$A:$AD,AT$2,0)</f>
        <v>#N/A</v>
      </c>
    </row>
    <row r="206" spans="2:46" x14ac:dyDescent="0.25">
      <c r="B206" s="9" t="s">
        <v>498</v>
      </c>
      <c r="C206" s="7" t="s">
        <v>508</v>
      </c>
      <c r="D206" s="20">
        <v>0.54166666666666663</v>
      </c>
      <c r="E206" s="7" t="s">
        <v>649</v>
      </c>
      <c r="F206" s="7" t="s">
        <v>650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s="7" t="s">
        <v>22</v>
      </c>
      <c r="Y206" s="7" t="s">
        <v>22</v>
      </c>
      <c r="Z206" s="21"/>
      <c r="AA206">
        <f>VLOOKUP(E206,'Transform table'!A:B,2,0)</f>
        <v>0</v>
      </c>
      <c r="AB206" t="e">
        <f>VLOOKUP(F206,'Transform table'!A:B,2,0)</f>
        <v>#N/A</v>
      </c>
      <c r="AC206" t="e">
        <f t="shared" si="3"/>
        <v>#N/A</v>
      </c>
      <c r="AD206" t="e">
        <f>VLOOKUP($AC206,'oddspedia-matches'!$A:$AD,AD$2,0)</f>
        <v>#N/A</v>
      </c>
      <c r="AE206" t="e">
        <f>VLOOKUP($AC206,'oddspedia-matches'!$A:$AD,AE$2,0)</f>
        <v>#N/A</v>
      </c>
      <c r="AF206" t="e">
        <f>VLOOKUP($AC206,'oddspedia-matches'!$A:$AD,AF$2,0)</f>
        <v>#N/A</v>
      </c>
      <c r="AG206" t="e">
        <f>VLOOKUP($AC206,'oddspedia-matches'!$A:$AD,AG$2,0)</f>
        <v>#N/A</v>
      </c>
      <c r="AH206" t="e">
        <f>VLOOKUP($AC206,'oddspedia-matches'!$A:$AD,AH$2,0)</f>
        <v>#N/A</v>
      </c>
      <c r="AI206" t="e">
        <f>VLOOKUP($AC206,'oddspedia-matches'!$A:$AD,AI$2,0)</f>
        <v>#N/A</v>
      </c>
      <c r="AJ206" t="e">
        <f>VLOOKUP($AC206,'oddspedia-matches'!$A:$AD,AJ$2,0)</f>
        <v>#N/A</v>
      </c>
      <c r="AK206" t="e">
        <f>VLOOKUP($AC206,'oddspedia-matches'!$A:$AD,AK$2,0)</f>
        <v>#N/A</v>
      </c>
      <c r="AL206" t="e">
        <f>VLOOKUP($AC206,'oddspedia-matches'!$A:$AD,AL$2,0)</f>
        <v>#N/A</v>
      </c>
      <c r="AM206" t="e">
        <f>VLOOKUP($AC206,'oddspedia-matches'!$A:$AD,AM$2,0)</f>
        <v>#N/A</v>
      </c>
      <c r="AN206" t="e">
        <f>VLOOKUP($AC206,'oddspedia-matches'!$A:$AD,AN$2,0)</f>
        <v>#N/A</v>
      </c>
      <c r="AO206" t="e">
        <f>VLOOKUP($AC206,'oddspedia-matches'!$A:$AD,AO$2,0)</f>
        <v>#N/A</v>
      </c>
      <c r="AP206" t="e">
        <f>VLOOKUP($AC206,'oddspedia-matches'!$A:$AD,AP$2,0)</f>
        <v>#N/A</v>
      </c>
      <c r="AQ206" t="e">
        <f>VLOOKUP($AC206,'oddspedia-matches'!$A:$AD,AQ$2,0)</f>
        <v>#N/A</v>
      </c>
      <c r="AR206" t="e">
        <f>VLOOKUP($AC206,'oddspedia-matches'!$A:$AD,AR$2,0)</f>
        <v>#N/A</v>
      </c>
      <c r="AS206" t="e">
        <f>VLOOKUP($AC206,'oddspedia-matches'!$A:$AD,AS$2,0)</f>
        <v>#N/A</v>
      </c>
      <c r="AT206" t="e">
        <f>VLOOKUP($AC206,'oddspedia-matches'!$A:$AD,AT$2,0)</f>
        <v>#N/A</v>
      </c>
    </row>
    <row r="207" spans="2:46" x14ac:dyDescent="0.25">
      <c r="B207" s="17" t="s">
        <v>498</v>
      </c>
      <c r="C207" s="8" t="s">
        <v>508</v>
      </c>
      <c r="D207" s="18">
        <v>0.54166666666666663</v>
      </c>
      <c r="E207" s="8" t="s">
        <v>651</v>
      </c>
      <c r="F207" s="8" t="s">
        <v>652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s="8" t="s">
        <v>22</v>
      </c>
      <c r="Y207" s="8" t="s">
        <v>22</v>
      </c>
      <c r="Z207" s="19"/>
      <c r="AA207">
        <f>VLOOKUP(E207,'Transform table'!A:B,2,0)</f>
        <v>0</v>
      </c>
      <c r="AB207" t="e">
        <f>VLOOKUP(F207,'Transform table'!A:B,2,0)</f>
        <v>#N/A</v>
      </c>
      <c r="AC207" t="e">
        <f t="shared" si="3"/>
        <v>#N/A</v>
      </c>
      <c r="AD207" t="e">
        <f>VLOOKUP($AC207,'oddspedia-matches'!$A:$AD,AD$2,0)</f>
        <v>#N/A</v>
      </c>
      <c r="AE207" t="e">
        <f>VLOOKUP($AC207,'oddspedia-matches'!$A:$AD,AE$2,0)</f>
        <v>#N/A</v>
      </c>
      <c r="AF207" t="e">
        <f>VLOOKUP($AC207,'oddspedia-matches'!$A:$AD,AF$2,0)</f>
        <v>#N/A</v>
      </c>
      <c r="AG207" t="e">
        <f>VLOOKUP($AC207,'oddspedia-matches'!$A:$AD,AG$2,0)</f>
        <v>#N/A</v>
      </c>
      <c r="AH207" t="e">
        <f>VLOOKUP($AC207,'oddspedia-matches'!$A:$AD,AH$2,0)</f>
        <v>#N/A</v>
      </c>
      <c r="AI207" t="e">
        <f>VLOOKUP($AC207,'oddspedia-matches'!$A:$AD,AI$2,0)</f>
        <v>#N/A</v>
      </c>
      <c r="AJ207" t="e">
        <f>VLOOKUP($AC207,'oddspedia-matches'!$A:$AD,AJ$2,0)</f>
        <v>#N/A</v>
      </c>
      <c r="AK207" t="e">
        <f>VLOOKUP($AC207,'oddspedia-matches'!$A:$AD,AK$2,0)</f>
        <v>#N/A</v>
      </c>
      <c r="AL207" t="e">
        <f>VLOOKUP($AC207,'oddspedia-matches'!$A:$AD,AL$2,0)</f>
        <v>#N/A</v>
      </c>
      <c r="AM207" t="e">
        <f>VLOOKUP($AC207,'oddspedia-matches'!$A:$AD,AM$2,0)</f>
        <v>#N/A</v>
      </c>
      <c r="AN207" t="e">
        <f>VLOOKUP($AC207,'oddspedia-matches'!$A:$AD,AN$2,0)</f>
        <v>#N/A</v>
      </c>
      <c r="AO207" t="e">
        <f>VLOOKUP($AC207,'oddspedia-matches'!$A:$AD,AO$2,0)</f>
        <v>#N/A</v>
      </c>
      <c r="AP207" t="e">
        <f>VLOOKUP($AC207,'oddspedia-matches'!$A:$AD,AP$2,0)</f>
        <v>#N/A</v>
      </c>
      <c r="AQ207" t="e">
        <f>VLOOKUP($AC207,'oddspedia-matches'!$A:$AD,AQ$2,0)</f>
        <v>#N/A</v>
      </c>
      <c r="AR207" t="e">
        <f>VLOOKUP($AC207,'oddspedia-matches'!$A:$AD,AR$2,0)</f>
        <v>#N/A</v>
      </c>
      <c r="AS207" t="e">
        <f>VLOOKUP($AC207,'oddspedia-matches'!$A:$AD,AS$2,0)</f>
        <v>#N/A</v>
      </c>
      <c r="AT207" t="e">
        <f>VLOOKUP($AC207,'oddspedia-matches'!$A:$AD,AT$2,0)</f>
        <v>#N/A</v>
      </c>
    </row>
    <row r="208" spans="2:46" x14ac:dyDescent="0.25">
      <c r="B208" s="9" t="s">
        <v>493</v>
      </c>
      <c r="C208" s="7" t="s">
        <v>508</v>
      </c>
      <c r="D208" s="20">
        <v>0.54166666666666663</v>
      </c>
      <c r="E208" s="7" t="s">
        <v>653</v>
      </c>
      <c r="F208" s="7" t="s">
        <v>251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s="7">
        <v>45.5</v>
      </c>
      <c r="Y208" s="7">
        <v>10</v>
      </c>
      <c r="Z208" s="21"/>
      <c r="AA208" t="str">
        <f>VLOOKUP(E208,'Transform table'!A:B,2,0)</f>
        <v>Hegelmann Litauen II</v>
      </c>
      <c r="AB208" t="str">
        <f>VLOOKUP(F208,'Transform table'!A:B,2,0)</f>
        <v>FK Suduva Marijampole</v>
      </c>
      <c r="AC208" t="str">
        <f t="shared" si="3"/>
        <v>25/07/2026Hegelmann Litauen IIFK Suduva Marijampole</v>
      </c>
      <c r="AD208" t="e">
        <f>VLOOKUP($AC208,'oddspedia-matches'!$A:$AD,AD$2,0)</f>
        <v>#N/A</v>
      </c>
      <c r="AE208" t="e">
        <f>VLOOKUP($AC208,'oddspedia-matches'!$A:$AD,AE$2,0)</f>
        <v>#N/A</v>
      </c>
      <c r="AF208" t="e">
        <f>VLOOKUP($AC208,'oddspedia-matches'!$A:$AD,AF$2,0)</f>
        <v>#N/A</v>
      </c>
      <c r="AG208" t="e">
        <f>VLOOKUP($AC208,'oddspedia-matches'!$A:$AD,AG$2,0)</f>
        <v>#N/A</v>
      </c>
      <c r="AH208" t="e">
        <f>VLOOKUP($AC208,'oddspedia-matches'!$A:$AD,AH$2,0)</f>
        <v>#N/A</v>
      </c>
      <c r="AI208" t="e">
        <f>VLOOKUP($AC208,'oddspedia-matches'!$A:$AD,AI$2,0)</f>
        <v>#N/A</v>
      </c>
      <c r="AJ208" t="e">
        <f>VLOOKUP($AC208,'oddspedia-matches'!$A:$AD,AJ$2,0)</f>
        <v>#N/A</v>
      </c>
      <c r="AK208" t="e">
        <f>VLOOKUP($AC208,'oddspedia-matches'!$A:$AD,AK$2,0)</f>
        <v>#N/A</v>
      </c>
      <c r="AL208" t="e">
        <f>VLOOKUP($AC208,'oddspedia-matches'!$A:$AD,AL$2,0)</f>
        <v>#N/A</v>
      </c>
      <c r="AM208" t="e">
        <f>VLOOKUP($AC208,'oddspedia-matches'!$A:$AD,AM$2,0)</f>
        <v>#N/A</v>
      </c>
      <c r="AN208" t="e">
        <f>VLOOKUP($AC208,'oddspedia-matches'!$A:$AD,AN$2,0)</f>
        <v>#N/A</v>
      </c>
      <c r="AO208" t="e">
        <f>VLOOKUP($AC208,'oddspedia-matches'!$A:$AD,AO$2,0)</f>
        <v>#N/A</v>
      </c>
      <c r="AP208" t="e">
        <f>VLOOKUP($AC208,'oddspedia-matches'!$A:$AD,AP$2,0)</f>
        <v>#N/A</v>
      </c>
      <c r="AQ208" t="e">
        <f>VLOOKUP($AC208,'oddspedia-matches'!$A:$AD,AQ$2,0)</f>
        <v>#N/A</v>
      </c>
      <c r="AR208" t="e">
        <f>VLOOKUP($AC208,'oddspedia-matches'!$A:$AD,AR$2,0)</f>
        <v>#N/A</v>
      </c>
      <c r="AS208" t="e">
        <f>VLOOKUP($AC208,'oddspedia-matches'!$A:$AD,AS$2,0)</f>
        <v>#N/A</v>
      </c>
      <c r="AT208" t="e">
        <f>VLOOKUP($AC208,'oddspedia-matches'!$A:$AD,AT$2,0)</f>
        <v>#N/A</v>
      </c>
    </row>
    <row r="209" spans="2:46" x14ac:dyDescent="0.25">
      <c r="B209" s="17" t="s">
        <v>468</v>
      </c>
      <c r="C209" s="8" t="s">
        <v>508</v>
      </c>
      <c r="D209" s="18">
        <v>0.54166666666666663</v>
      </c>
      <c r="E209" s="8" t="s">
        <v>654</v>
      </c>
      <c r="F209" s="8" t="s">
        <v>655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s="8" t="s">
        <v>22</v>
      </c>
      <c r="Y209" s="8" t="s">
        <v>22</v>
      </c>
      <c r="Z209" s="19"/>
      <c r="AA209">
        <f>VLOOKUP(E209,'Transform table'!A:B,2,0)</f>
        <v>0</v>
      </c>
      <c r="AB209" t="e">
        <f>VLOOKUP(F209,'Transform table'!A:B,2,0)</f>
        <v>#N/A</v>
      </c>
      <c r="AC209" t="e">
        <f t="shared" si="3"/>
        <v>#N/A</v>
      </c>
      <c r="AD209" t="e">
        <f>VLOOKUP($AC209,'oddspedia-matches'!$A:$AD,AD$2,0)</f>
        <v>#N/A</v>
      </c>
      <c r="AE209" t="e">
        <f>VLOOKUP($AC209,'oddspedia-matches'!$A:$AD,AE$2,0)</f>
        <v>#N/A</v>
      </c>
      <c r="AF209" t="e">
        <f>VLOOKUP($AC209,'oddspedia-matches'!$A:$AD,AF$2,0)</f>
        <v>#N/A</v>
      </c>
      <c r="AG209" t="e">
        <f>VLOOKUP($AC209,'oddspedia-matches'!$A:$AD,AG$2,0)</f>
        <v>#N/A</v>
      </c>
      <c r="AH209" t="e">
        <f>VLOOKUP($AC209,'oddspedia-matches'!$A:$AD,AH$2,0)</f>
        <v>#N/A</v>
      </c>
      <c r="AI209" t="e">
        <f>VLOOKUP($AC209,'oddspedia-matches'!$A:$AD,AI$2,0)</f>
        <v>#N/A</v>
      </c>
      <c r="AJ209" t="e">
        <f>VLOOKUP($AC209,'oddspedia-matches'!$A:$AD,AJ$2,0)</f>
        <v>#N/A</v>
      </c>
      <c r="AK209" t="e">
        <f>VLOOKUP($AC209,'oddspedia-matches'!$A:$AD,AK$2,0)</f>
        <v>#N/A</v>
      </c>
      <c r="AL209" t="e">
        <f>VLOOKUP($AC209,'oddspedia-matches'!$A:$AD,AL$2,0)</f>
        <v>#N/A</v>
      </c>
      <c r="AM209" t="e">
        <f>VLOOKUP($AC209,'oddspedia-matches'!$A:$AD,AM$2,0)</f>
        <v>#N/A</v>
      </c>
      <c r="AN209" t="e">
        <f>VLOOKUP($AC209,'oddspedia-matches'!$A:$AD,AN$2,0)</f>
        <v>#N/A</v>
      </c>
      <c r="AO209" t="e">
        <f>VLOOKUP($AC209,'oddspedia-matches'!$A:$AD,AO$2,0)</f>
        <v>#N/A</v>
      </c>
      <c r="AP209" t="e">
        <f>VLOOKUP($AC209,'oddspedia-matches'!$A:$AD,AP$2,0)</f>
        <v>#N/A</v>
      </c>
      <c r="AQ209" t="e">
        <f>VLOOKUP($AC209,'oddspedia-matches'!$A:$AD,AQ$2,0)</f>
        <v>#N/A</v>
      </c>
      <c r="AR209" t="e">
        <f>VLOOKUP($AC209,'oddspedia-matches'!$A:$AD,AR$2,0)</f>
        <v>#N/A</v>
      </c>
      <c r="AS209" t="e">
        <f>VLOOKUP($AC209,'oddspedia-matches'!$A:$AD,AS$2,0)</f>
        <v>#N/A</v>
      </c>
      <c r="AT209" t="e">
        <f>VLOOKUP($AC209,'oddspedia-matches'!$A:$AD,AT$2,0)</f>
        <v>#N/A</v>
      </c>
    </row>
    <row r="210" spans="2:46" x14ac:dyDescent="0.25">
      <c r="B210" s="9" t="s">
        <v>656</v>
      </c>
      <c r="C210" s="7" t="s">
        <v>508</v>
      </c>
      <c r="D210" s="20">
        <v>0.54166666666666663</v>
      </c>
      <c r="E210" s="7" t="s">
        <v>657</v>
      </c>
      <c r="F210" s="7" t="s">
        <v>658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s="7">
        <v>28.6</v>
      </c>
      <c r="Y210" s="7">
        <v>0</v>
      </c>
      <c r="Z210" s="21"/>
      <c r="AA210" t="str">
        <f>VLOOKUP(E210,'Transform table'!A:B,2,0)</f>
        <v>Stuttgart</v>
      </c>
      <c r="AB210" t="e">
        <f>VLOOKUP(F210,'Transform table'!A:B,2,0)</f>
        <v>#N/A</v>
      </c>
      <c r="AC210" t="e">
        <f t="shared" si="3"/>
        <v>#N/A</v>
      </c>
      <c r="AD210" t="e">
        <f>VLOOKUP($AC210,'oddspedia-matches'!$A:$AD,AD$2,0)</f>
        <v>#N/A</v>
      </c>
      <c r="AE210" t="e">
        <f>VLOOKUP($AC210,'oddspedia-matches'!$A:$AD,AE$2,0)</f>
        <v>#N/A</v>
      </c>
      <c r="AF210" t="e">
        <f>VLOOKUP($AC210,'oddspedia-matches'!$A:$AD,AF$2,0)</f>
        <v>#N/A</v>
      </c>
      <c r="AG210" t="e">
        <f>VLOOKUP($AC210,'oddspedia-matches'!$A:$AD,AG$2,0)</f>
        <v>#N/A</v>
      </c>
      <c r="AH210" t="e">
        <f>VLOOKUP($AC210,'oddspedia-matches'!$A:$AD,AH$2,0)</f>
        <v>#N/A</v>
      </c>
      <c r="AI210" t="e">
        <f>VLOOKUP($AC210,'oddspedia-matches'!$A:$AD,AI$2,0)</f>
        <v>#N/A</v>
      </c>
      <c r="AJ210" t="e">
        <f>VLOOKUP($AC210,'oddspedia-matches'!$A:$AD,AJ$2,0)</f>
        <v>#N/A</v>
      </c>
      <c r="AK210" t="e">
        <f>VLOOKUP($AC210,'oddspedia-matches'!$A:$AD,AK$2,0)</f>
        <v>#N/A</v>
      </c>
      <c r="AL210" t="e">
        <f>VLOOKUP($AC210,'oddspedia-matches'!$A:$AD,AL$2,0)</f>
        <v>#N/A</v>
      </c>
      <c r="AM210" t="e">
        <f>VLOOKUP($AC210,'oddspedia-matches'!$A:$AD,AM$2,0)</f>
        <v>#N/A</v>
      </c>
      <c r="AN210" t="e">
        <f>VLOOKUP($AC210,'oddspedia-matches'!$A:$AD,AN$2,0)</f>
        <v>#N/A</v>
      </c>
      <c r="AO210" t="e">
        <f>VLOOKUP($AC210,'oddspedia-matches'!$A:$AD,AO$2,0)</f>
        <v>#N/A</v>
      </c>
      <c r="AP210" t="e">
        <f>VLOOKUP($AC210,'oddspedia-matches'!$A:$AD,AP$2,0)</f>
        <v>#N/A</v>
      </c>
      <c r="AQ210" t="e">
        <f>VLOOKUP($AC210,'oddspedia-matches'!$A:$AD,AQ$2,0)</f>
        <v>#N/A</v>
      </c>
      <c r="AR210" t="e">
        <f>VLOOKUP($AC210,'oddspedia-matches'!$A:$AD,AR$2,0)</f>
        <v>#N/A</v>
      </c>
      <c r="AS210" t="e">
        <f>VLOOKUP($AC210,'oddspedia-matches'!$A:$AD,AS$2,0)</f>
        <v>#N/A</v>
      </c>
      <c r="AT210" t="e">
        <f>VLOOKUP($AC210,'oddspedia-matches'!$A:$AD,AT$2,0)</f>
        <v>#N/A</v>
      </c>
    </row>
    <row r="211" spans="2:46" x14ac:dyDescent="0.25">
      <c r="B211" s="17" t="s">
        <v>506</v>
      </c>
      <c r="C211" s="8" t="s">
        <v>508</v>
      </c>
      <c r="D211" s="18">
        <v>0.5625</v>
      </c>
      <c r="E211" s="8" t="s">
        <v>659</v>
      </c>
      <c r="F211" s="8" t="s">
        <v>660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s="8">
        <v>42.9</v>
      </c>
      <c r="Y211" s="8">
        <v>25</v>
      </c>
      <c r="Z211" s="19"/>
      <c r="AA211">
        <f>VLOOKUP(E211,'Transform table'!A:B,2,0)</f>
        <v>0</v>
      </c>
      <c r="AB211" t="e">
        <f>VLOOKUP(F211,'Transform table'!A:B,2,0)</f>
        <v>#N/A</v>
      </c>
      <c r="AC211" t="e">
        <f t="shared" si="3"/>
        <v>#N/A</v>
      </c>
      <c r="AD211" t="e">
        <f>VLOOKUP($AC211,'oddspedia-matches'!$A:$AD,AD$2,0)</f>
        <v>#N/A</v>
      </c>
      <c r="AE211" t="e">
        <f>VLOOKUP($AC211,'oddspedia-matches'!$A:$AD,AE$2,0)</f>
        <v>#N/A</v>
      </c>
      <c r="AF211" t="e">
        <f>VLOOKUP($AC211,'oddspedia-matches'!$A:$AD,AF$2,0)</f>
        <v>#N/A</v>
      </c>
      <c r="AG211" t="e">
        <f>VLOOKUP($AC211,'oddspedia-matches'!$A:$AD,AG$2,0)</f>
        <v>#N/A</v>
      </c>
      <c r="AH211" t="e">
        <f>VLOOKUP($AC211,'oddspedia-matches'!$A:$AD,AH$2,0)</f>
        <v>#N/A</v>
      </c>
      <c r="AI211" t="e">
        <f>VLOOKUP($AC211,'oddspedia-matches'!$A:$AD,AI$2,0)</f>
        <v>#N/A</v>
      </c>
      <c r="AJ211" t="e">
        <f>VLOOKUP($AC211,'oddspedia-matches'!$A:$AD,AJ$2,0)</f>
        <v>#N/A</v>
      </c>
      <c r="AK211" t="e">
        <f>VLOOKUP($AC211,'oddspedia-matches'!$A:$AD,AK$2,0)</f>
        <v>#N/A</v>
      </c>
      <c r="AL211" t="e">
        <f>VLOOKUP($AC211,'oddspedia-matches'!$A:$AD,AL$2,0)</f>
        <v>#N/A</v>
      </c>
      <c r="AM211" t="e">
        <f>VLOOKUP($AC211,'oddspedia-matches'!$A:$AD,AM$2,0)</f>
        <v>#N/A</v>
      </c>
      <c r="AN211" t="e">
        <f>VLOOKUP($AC211,'oddspedia-matches'!$A:$AD,AN$2,0)</f>
        <v>#N/A</v>
      </c>
      <c r="AO211" t="e">
        <f>VLOOKUP($AC211,'oddspedia-matches'!$A:$AD,AO$2,0)</f>
        <v>#N/A</v>
      </c>
      <c r="AP211" t="e">
        <f>VLOOKUP($AC211,'oddspedia-matches'!$A:$AD,AP$2,0)</f>
        <v>#N/A</v>
      </c>
      <c r="AQ211" t="e">
        <f>VLOOKUP($AC211,'oddspedia-matches'!$A:$AD,AQ$2,0)</f>
        <v>#N/A</v>
      </c>
      <c r="AR211" t="e">
        <f>VLOOKUP($AC211,'oddspedia-matches'!$A:$AD,AR$2,0)</f>
        <v>#N/A</v>
      </c>
      <c r="AS211" t="e">
        <f>VLOOKUP($AC211,'oddspedia-matches'!$A:$AD,AS$2,0)</f>
        <v>#N/A</v>
      </c>
      <c r="AT211" t="e">
        <f>VLOOKUP($AC211,'oddspedia-matches'!$A:$AD,AT$2,0)</f>
        <v>#N/A</v>
      </c>
    </row>
    <row r="212" spans="2:46" x14ac:dyDescent="0.25">
      <c r="B212" s="9" t="s">
        <v>498</v>
      </c>
      <c r="C212" s="7" t="s">
        <v>508</v>
      </c>
      <c r="D212" s="20">
        <v>0.58333333333333337</v>
      </c>
      <c r="E212" s="7" t="s">
        <v>661</v>
      </c>
      <c r="F212" s="7" t="s">
        <v>662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s="7" t="s">
        <v>22</v>
      </c>
      <c r="Y212" s="7" t="s">
        <v>22</v>
      </c>
      <c r="Z212" s="21"/>
      <c r="AA212">
        <f>VLOOKUP(E212,'Transform table'!A:B,2,0)</f>
        <v>0</v>
      </c>
      <c r="AB212" t="e">
        <f>VLOOKUP(F212,'Transform table'!A:B,2,0)</f>
        <v>#N/A</v>
      </c>
      <c r="AC212" t="e">
        <f t="shared" si="3"/>
        <v>#N/A</v>
      </c>
      <c r="AD212" t="e">
        <f>VLOOKUP($AC212,'oddspedia-matches'!$A:$AD,AD$2,0)</f>
        <v>#N/A</v>
      </c>
      <c r="AE212" t="e">
        <f>VLOOKUP($AC212,'oddspedia-matches'!$A:$AD,AE$2,0)</f>
        <v>#N/A</v>
      </c>
      <c r="AF212" t="e">
        <f>VLOOKUP($AC212,'oddspedia-matches'!$A:$AD,AF$2,0)</f>
        <v>#N/A</v>
      </c>
      <c r="AG212" t="e">
        <f>VLOOKUP($AC212,'oddspedia-matches'!$A:$AD,AG$2,0)</f>
        <v>#N/A</v>
      </c>
      <c r="AH212" t="e">
        <f>VLOOKUP($AC212,'oddspedia-matches'!$A:$AD,AH$2,0)</f>
        <v>#N/A</v>
      </c>
      <c r="AI212" t="e">
        <f>VLOOKUP($AC212,'oddspedia-matches'!$A:$AD,AI$2,0)</f>
        <v>#N/A</v>
      </c>
      <c r="AJ212" t="e">
        <f>VLOOKUP($AC212,'oddspedia-matches'!$A:$AD,AJ$2,0)</f>
        <v>#N/A</v>
      </c>
      <c r="AK212" t="e">
        <f>VLOOKUP($AC212,'oddspedia-matches'!$A:$AD,AK$2,0)</f>
        <v>#N/A</v>
      </c>
      <c r="AL212" t="e">
        <f>VLOOKUP($AC212,'oddspedia-matches'!$A:$AD,AL$2,0)</f>
        <v>#N/A</v>
      </c>
      <c r="AM212" t="e">
        <f>VLOOKUP($AC212,'oddspedia-matches'!$A:$AD,AM$2,0)</f>
        <v>#N/A</v>
      </c>
      <c r="AN212" t="e">
        <f>VLOOKUP($AC212,'oddspedia-matches'!$A:$AD,AN$2,0)</f>
        <v>#N/A</v>
      </c>
      <c r="AO212" t="e">
        <f>VLOOKUP($AC212,'oddspedia-matches'!$A:$AD,AO$2,0)</f>
        <v>#N/A</v>
      </c>
      <c r="AP212" t="e">
        <f>VLOOKUP($AC212,'oddspedia-matches'!$A:$AD,AP$2,0)</f>
        <v>#N/A</v>
      </c>
      <c r="AQ212" t="e">
        <f>VLOOKUP($AC212,'oddspedia-matches'!$A:$AD,AQ$2,0)</f>
        <v>#N/A</v>
      </c>
      <c r="AR212" t="e">
        <f>VLOOKUP($AC212,'oddspedia-matches'!$A:$AD,AR$2,0)</f>
        <v>#N/A</v>
      </c>
      <c r="AS212" t="e">
        <f>VLOOKUP($AC212,'oddspedia-matches'!$A:$AD,AS$2,0)</f>
        <v>#N/A</v>
      </c>
      <c r="AT212" t="e">
        <f>VLOOKUP($AC212,'oddspedia-matches'!$A:$AD,AT$2,0)</f>
        <v>#N/A</v>
      </c>
    </row>
    <row r="213" spans="2:46" x14ac:dyDescent="0.25">
      <c r="B213" s="17" t="s">
        <v>488</v>
      </c>
      <c r="C213" s="8" t="s">
        <v>508</v>
      </c>
      <c r="D213" s="18">
        <v>0.61458333333333337</v>
      </c>
      <c r="E213" s="8" t="s">
        <v>663</v>
      </c>
      <c r="F213" s="8" t="s">
        <v>664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s="8">
        <v>12.5</v>
      </c>
      <c r="Y213" s="8">
        <v>25</v>
      </c>
      <c r="Z213" s="19"/>
      <c r="AA213">
        <f>VLOOKUP(E213,'Transform table'!A:B,2,0)</f>
        <v>0</v>
      </c>
      <c r="AB213" t="e">
        <f>VLOOKUP(F213,'Transform table'!A:B,2,0)</f>
        <v>#N/A</v>
      </c>
      <c r="AC213" t="e">
        <f t="shared" si="3"/>
        <v>#N/A</v>
      </c>
      <c r="AD213" t="e">
        <f>VLOOKUP($AC213,'oddspedia-matches'!$A:$AD,AD$2,0)</f>
        <v>#N/A</v>
      </c>
      <c r="AE213" t="e">
        <f>VLOOKUP($AC213,'oddspedia-matches'!$A:$AD,AE$2,0)</f>
        <v>#N/A</v>
      </c>
      <c r="AF213" t="e">
        <f>VLOOKUP($AC213,'oddspedia-matches'!$A:$AD,AF$2,0)</f>
        <v>#N/A</v>
      </c>
      <c r="AG213" t="e">
        <f>VLOOKUP($AC213,'oddspedia-matches'!$A:$AD,AG$2,0)</f>
        <v>#N/A</v>
      </c>
      <c r="AH213" t="e">
        <f>VLOOKUP($AC213,'oddspedia-matches'!$A:$AD,AH$2,0)</f>
        <v>#N/A</v>
      </c>
      <c r="AI213" t="e">
        <f>VLOOKUP($AC213,'oddspedia-matches'!$A:$AD,AI$2,0)</f>
        <v>#N/A</v>
      </c>
      <c r="AJ213" t="e">
        <f>VLOOKUP($AC213,'oddspedia-matches'!$A:$AD,AJ$2,0)</f>
        <v>#N/A</v>
      </c>
      <c r="AK213" t="e">
        <f>VLOOKUP($AC213,'oddspedia-matches'!$A:$AD,AK$2,0)</f>
        <v>#N/A</v>
      </c>
      <c r="AL213" t="e">
        <f>VLOOKUP($AC213,'oddspedia-matches'!$A:$AD,AL$2,0)</f>
        <v>#N/A</v>
      </c>
      <c r="AM213" t="e">
        <f>VLOOKUP($AC213,'oddspedia-matches'!$A:$AD,AM$2,0)</f>
        <v>#N/A</v>
      </c>
      <c r="AN213" t="e">
        <f>VLOOKUP($AC213,'oddspedia-matches'!$A:$AD,AN$2,0)</f>
        <v>#N/A</v>
      </c>
      <c r="AO213" t="e">
        <f>VLOOKUP($AC213,'oddspedia-matches'!$A:$AD,AO$2,0)</f>
        <v>#N/A</v>
      </c>
      <c r="AP213" t="e">
        <f>VLOOKUP($AC213,'oddspedia-matches'!$A:$AD,AP$2,0)</f>
        <v>#N/A</v>
      </c>
      <c r="AQ213" t="e">
        <f>VLOOKUP($AC213,'oddspedia-matches'!$A:$AD,AQ$2,0)</f>
        <v>#N/A</v>
      </c>
      <c r="AR213" t="e">
        <f>VLOOKUP($AC213,'oddspedia-matches'!$A:$AD,AR$2,0)</f>
        <v>#N/A</v>
      </c>
      <c r="AS213" t="e">
        <f>VLOOKUP($AC213,'oddspedia-matches'!$A:$AD,AS$2,0)</f>
        <v>#N/A</v>
      </c>
      <c r="AT213" t="e">
        <f>VLOOKUP($AC213,'oddspedia-matches'!$A:$AD,AT$2,0)</f>
        <v>#N/A</v>
      </c>
    </row>
    <row r="214" spans="2:46" x14ac:dyDescent="0.25">
      <c r="B214" s="9" t="s">
        <v>665</v>
      </c>
      <c r="C214" s="7" t="s">
        <v>508</v>
      </c>
      <c r="D214" s="20">
        <v>0.625</v>
      </c>
      <c r="E214" s="7" t="s">
        <v>666</v>
      </c>
      <c r="F214" s="7" t="s">
        <v>667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s="7" t="s">
        <v>22</v>
      </c>
      <c r="Y214" s="7" t="s">
        <v>22</v>
      </c>
      <c r="Z214" s="21"/>
      <c r="AA214">
        <f>VLOOKUP(E214,'Transform table'!A:B,2,0)</f>
        <v>0</v>
      </c>
      <c r="AB214" t="e">
        <f>VLOOKUP(F214,'Transform table'!A:B,2,0)</f>
        <v>#N/A</v>
      </c>
      <c r="AC214" t="e">
        <f t="shared" si="3"/>
        <v>#N/A</v>
      </c>
      <c r="AD214" t="e">
        <f>VLOOKUP($AC214,'oddspedia-matches'!$A:$AD,AD$2,0)</f>
        <v>#N/A</v>
      </c>
      <c r="AE214" t="e">
        <f>VLOOKUP($AC214,'oddspedia-matches'!$A:$AD,AE$2,0)</f>
        <v>#N/A</v>
      </c>
      <c r="AF214" t="e">
        <f>VLOOKUP($AC214,'oddspedia-matches'!$A:$AD,AF$2,0)</f>
        <v>#N/A</v>
      </c>
      <c r="AG214" t="e">
        <f>VLOOKUP($AC214,'oddspedia-matches'!$A:$AD,AG$2,0)</f>
        <v>#N/A</v>
      </c>
      <c r="AH214" t="e">
        <f>VLOOKUP($AC214,'oddspedia-matches'!$A:$AD,AH$2,0)</f>
        <v>#N/A</v>
      </c>
      <c r="AI214" t="e">
        <f>VLOOKUP($AC214,'oddspedia-matches'!$A:$AD,AI$2,0)</f>
        <v>#N/A</v>
      </c>
      <c r="AJ214" t="e">
        <f>VLOOKUP($AC214,'oddspedia-matches'!$A:$AD,AJ$2,0)</f>
        <v>#N/A</v>
      </c>
      <c r="AK214" t="e">
        <f>VLOOKUP($AC214,'oddspedia-matches'!$A:$AD,AK$2,0)</f>
        <v>#N/A</v>
      </c>
      <c r="AL214" t="e">
        <f>VLOOKUP($AC214,'oddspedia-matches'!$A:$AD,AL$2,0)</f>
        <v>#N/A</v>
      </c>
      <c r="AM214" t="e">
        <f>VLOOKUP($AC214,'oddspedia-matches'!$A:$AD,AM$2,0)</f>
        <v>#N/A</v>
      </c>
      <c r="AN214" t="e">
        <f>VLOOKUP($AC214,'oddspedia-matches'!$A:$AD,AN$2,0)</f>
        <v>#N/A</v>
      </c>
      <c r="AO214" t="e">
        <f>VLOOKUP($AC214,'oddspedia-matches'!$A:$AD,AO$2,0)</f>
        <v>#N/A</v>
      </c>
      <c r="AP214" t="e">
        <f>VLOOKUP($AC214,'oddspedia-matches'!$A:$AD,AP$2,0)</f>
        <v>#N/A</v>
      </c>
      <c r="AQ214" t="e">
        <f>VLOOKUP($AC214,'oddspedia-matches'!$A:$AD,AQ$2,0)</f>
        <v>#N/A</v>
      </c>
      <c r="AR214" t="e">
        <f>VLOOKUP($AC214,'oddspedia-matches'!$A:$AD,AR$2,0)</f>
        <v>#N/A</v>
      </c>
      <c r="AS214" t="e">
        <f>VLOOKUP($AC214,'oddspedia-matches'!$A:$AD,AS$2,0)</f>
        <v>#N/A</v>
      </c>
      <c r="AT214" t="e">
        <f>VLOOKUP($AC214,'oddspedia-matches'!$A:$AD,AT$2,0)</f>
        <v>#N/A</v>
      </c>
    </row>
    <row r="215" spans="2:46" x14ac:dyDescent="0.25">
      <c r="B215" s="17" t="s">
        <v>668</v>
      </c>
      <c r="C215" s="8" t="s">
        <v>508</v>
      </c>
      <c r="D215" s="18">
        <v>0.625</v>
      </c>
      <c r="E215" s="8" t="s">
        <v>669</v>
      </c>
      <c r="F215" s="8" t="s">
        <v>670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s="8">
        <v>0</v>
      </c>
      <c r="Y215" s="8">
        <v>20</v>
      </c>
      <c r="Z215" s="19"/>
      <c r="AA215">
        <f>VLOOKUP(E215,'Transform table'!A:B,2,0)</f>
        <v>0</v>
      </c>
      <c r="AB215" t="e">
        <f>VLOOKUP(F215,'Transform table'!A:B,2,0)</f>
        <v>#N/A</v>
      </c>
      <c r="AC215" t="e">
        <f t="shared" si="3"/>
        <v>#N/A</v>
      </c>
      <c r="AD215" t="e">
        <f>VLOOKUP($AC215,'oddspedia-matches'!$A:$AD,AD$2,0)</f>
        <v>#N/A</v>
      </c>
      <c r="AE215" t="e">
        <f>VLOOKUP($AC215,'oddspedia-matches'!$A:$AD,AE$2,0)</f>
        <v>#N/A</v>
      </c>
      <c r="AF215" t="e">
        <f>VLOOKUP($AC215,'oddspedia-matches'!$A:$AD,AF$2,0)</f>
        <v>#N/A</v>
      </c>
      <c r="AG215" t="e">
        <f>VLOOKUP($AC215,'oddspedia-matches'!$A:$AD,AG$2,0)</f>
        <v>#N/A</v>
      </c>
      <c r="AH215" t="e">
        <f>VLOOKUP($AC215,'oddspedia-matches'!$A:$AD,AH$2,0)</f>
        <v>#N/A</v>
      </c>
      <c r="AI215" t="e">
        <f>VLOOKUP($AC215,'oddspedia-matches'!$A:$AD,AI$2,0)</f>
        <v>#N/A</v>
      </c>
      <c r="AJ215" t="e">
        <f>VLOOKUP($AC215,'oddspedia-matches'!$A:$AD,AJ$2,0)</f>
        <v>#N/A</v>
      </c>
      <c r="AK215" t="e">
        <f>VLOOKUP($AC215,'oddspedia-matches'!$A:$AD,AK$2,0)</f>
        <v>#N/A</v>
      </c>
      <c r="AL215" t="e">
        <f>VLOOKUP($AC215,'oddspedia-matches'!$A:$AD,AL$2,0)</f>
        <v>#N/A</v>
      </c>
      <c r="AM215" t="e">
        <f>VLOOKUP($AC215,'oddspedia-matches'!$A:$AD,AM$2,0)</f>
        <v>#N/A</v>
      </c>
      <c r="AN215" t="e">
        <f>VLOOKUP($AC215,'oddspedia-matches'!$A:$AD,AN$2,0)</f>
        <v>#N/A</v>
      </c>
      <c r="AO215" t="e">
        <f>VLOOKUP($AC215,'oddspedia-matches'!$A:$AD,AO$2,0)</f>
        <v>#N/A</v>
      </c>
      <c r="AP215" t="e">
        <f>VLOOKUP($AC215,'oddspedia-matches'!$A:$AD,AP$2,0)</f>
        <v>#N/A</v>
      </c>
      <c r="AQ215" t="e">
        <f>VLOOKUP($AC215,'oddspedia-matches'!$A:$AD,AQ$2,0)</f>
        <v>#N/A</v>
      </c>
      <c r="AR215" t="e">
        <f>VLOOKUP($AC215,'oddspedia-matches'!$A:$AD,AR$2,0)</f>
        <v>#N/A</v>
      </c>
      <c r="AS215" t="e">
        <f>VLOOKUP($AC215,'oddspedia-matches'!$A:$AD,AS$2,0)</f>
        <v>#N/A</v>
      </c>
      <c r="AT215" t="e">
        <f>VLOOKUP($AC215,'oddspedia-matches'!$A:$AD,AT$2,0)</f>
        <v>#N/A</v>
      </c>
    </row>
    <row r="216" spans="2:46" x14ac:dyDescent="0.25">
      <c r="B216" s="9" t="s">
        <v>668</v>
      </c>
      <c r="C216" s="7" t="s">
        <v>508</v>
      </c>
      <c r="D216" s="20">
        <v>0.625</v>
      </c>
      <c r="E216" s="7" t="s">
        <v>671</v>
      </c>
      <c r="F216" s="7" t="s">
        <v>672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s="7">
        <v>44.4</v>
      </c>
      <c r="Y216" s="7">
        <v>0</v>
      </c>
      <c r="Z216" s="21"/>
      <c r="AA216" t="str">
        <f>VLOOKUP(E216,'Transform table'!A:B,2,0)</f>
        <v>CA Atlas</v>
      </c>
      <c r="AB216" t="e">
        <f>VLOOKUP(F216,'Transform table'!A:B,2,0)</f>
        <v>#N/A</v>
      </c>
      <c r="AC216" t="e">
        <f t="shared" si="3"/>
        <v>#N/A</v>
      </c>
      <c r="AD216" t="e">
        <f>VLOOKUP($AC216,'oddspedia-matches'!$A:$AD,AD$2,0)</f>
        <v>#N/A</v>
      </c>
      <c r="AE216" t="e">
        <f>VLOOKUP($AC216,'oddspedia-matches'!$A:$AD,AE$2,0)</f>
        <v>#N/A</v>
      </c>
      <c r="AF216" t="e">
        <f>VLOOKUP($AC216,'oddspedia-matches'!$A:$AD,AF$2,0)</f>
        <v>#N/A</v>
      </c>
      <c r="AG216" t="e">
        <f>VLOOKUP($AC216,'oddspedia-matches'!$A:$AD,AG$2,0)</f>
        <v>#N/A</v>
      </c>
      <c r="AH216" t="e">
        <f>VLOOKUP($AC216,'oddspedia-matches'!$A:$AD,AH$2,0)</f>
        <v>#N/A</v>
      </c>
      <c r="AI216" t="e">
        <f>VLOOKUP($AC216,'oddspedia-matches'!$A:$AD,AI$2,0)</f>
        <v>#N/A</v>
      </c>
      <c r="AJ216" t="e">
        <f>VLOOKUP($AC216,'oddspedia-matches'!$A:$AD,AJ$2,0)</f>
        <v>#N/A</v>
      </c>
      <c r="AK216" t="e">
        <f>VLOOKUP($AC216,'oddspedia-matches'!$A:$AD,AK$2,0)</f>
        <v>#N/A</v>
      </c>
      <c r="AL216" t="e">
        <f>VLOOKUP($AC216,'oddspedia-matches'!$A:$AD,AL$2,0)</f>
        <v>#N/A</v>
      </c>
      <c r="AM216" t="e">
        <f>VLOOKUP($AC216,'oddspedia-matches'!$A:$AD,AM$2,0)</f>
        <v>#N/A</v>
      </c>
      <c r="AN216" t="e">
        <f>VLOOKUP($AC216,'oddspedia-matches'!$A:$AD,AN$2,0)</f>
        <v>#N/A</v>
      </c>
      <c r="AO216" t="e">
        <f>VLOOKUP($AC216,'oddspedia-matches'!$A:$AD,AO$2,0)</f>
        <v>#N/A</v>
      </c>
      <c r="AP216" t="e">
        <f>VLOOKUP($AC216,'oddspedia-matches'!$A:$AD,AP$2,0)</f>
        <v>#N/A</v>
      </c>
      <c r="AQ216" t="e">
        <f>VLOOKUP($AC216,'oddspedia-matches'!$A:$AD,AQ$2,0)</f>
        <v>#N/A</v>
      </c>
      <c r="AR216" t="e">
        <f>VLOOKUP($AC216,'oddspedia-matches'!$A:$AD,AR$2,0)</f>
        <v>#N/A</v>
      </c>
      <c r="AS216" t="e">
        <f>VLOOKUP($AC216,'oddspedia-matches'!$A:$AD,AS$2,0)</f>
        <v>#N/A</v>
      </c>
      <c r="AT216" t="e">
        <f>VLOOKUP($AC216,'oddspedia-matches'!$A:$AD,AT$2,0)</f>
        <v>#N/A</v>
      </c>
    </row>
    <row r="217" spans="2:46" x14ac:dyDescent="0.25">
      <c r="B217" s="17" t="s">
        <v>668</v>
      </c>
      <c r="C217" s="8" t="s">
        <v>508</v>
      </c>
      <c r="D217" s="18">
        <v>0.625</v>
      </c>
      <c r="E217" s="8" t="s">
        <v>673</v>
      </c>
      <c r="F217" s="8" t="s">
        <v>674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s="8">
        <v>27.3</v>
      </c>
      <c r="Y217" s="8">
        <v>10</v>
      </c>
      <c r="Z217" s="19"/>
      <c r="AA217">
        <f>VLOOKUP(E217,'Transform table'!A:B,2,0)</f>
        <v>0</v>
      </c>
      <c r="AB217" t="e">
        <f>VLOOKUP(F217,'Transform table'!A:B,2,0)</f>
        <v>#N/A</v>
      </c>
      <c r="AC217" t="e">
        <f t="shared" si="3"/>
        <v>#N/A</v>
      </c>
      <c r="AD217" t="e">
        <f>VLOOKUP($AC217,'oddspedia-matches'!$A:$AD,AD$2,0)</f>
        <v>#N/A</v>
      </c>
      <c r="AE217" t="e">
        <f>VLOOKUP($AC217,'oddspedia-matches'!$A:$AD,AE$2,0)</f>
        <v>#N/A</v>
      </c>
      <c r="AF217" t="e">
        <f>VLOOKUP($AC217,'oddspedia-matches'!$A:$AD,AF$2,0)</f>
        <v>#N/A</v>
      </c>
      <c r="AG217" t="e">
        <f>VLOOKUP($AC217,'oddspedia-matches'!$A:$AD,AG$2,0)</f>
        <v>#N/A</v>
      </c>
      <c r="AH217" t="e">
        <f>VLOOKUP($AC217,'oddspedia-matches'!$A:$AD,AH$2,0)</f>
        <v>#N/A</v>
      </c>
      <c r="AI217" t="e">
        <f>VLOOKUP($AC217,'oddspedia-matches'!$A:$AD,AI$2,0)</f>
        <v>#N/A</v>
      </c>
      <c r="AJ217" t="e">
        <f>VLOOKUP($AC217,'oddspedia-matches'!$A:$AD,AJ$2,0)</f>
        <v>#N/A</v>
      </c>
      <c r="AK217" t="e">
        <f>VLOOKUP($AC217,'oddspedia-matches'!$A:$AD,AK$2,0)</f>
        <v>#N/A</v>
      </c>
      <c r="AL217" t="e">
        <f>VLOOKUP($AC217,'oddspedia-matches'!$A:$AD,AL$2,0)</f>
        <v>#N/A</v>
      </c>
      <c r="AM217" t="e">
        <f>VLOOKUP($AC217,'oddspedia-matches'!$A:$AD,AM$2,0)</f>
        <v>#N/A</v>
      </c>
      <c r="AN217" t="e">
        <f>VLOOKUP($AC217,'oddspedia-matches'!$A:$AD,AN$2,0)</f>
        <v>#N/A</v>
      </c>
      <c r="AO217" t="e">
        <f>VLOOKUP($AC217,'oddspedia-matches'!$A:$AD,AO$2,0)</f>
        <v>#N/A</v>
      </c>
      <c r="AP217" t="e">
        <f>VLOOKUP($AC217,'oddspedia-matches'!$A:$AD,AP$2,0)</f>
        <v>#N/A</v>
      </c>
      <c r="AQ217" t="e">
        <f>VLOOKUP($AC217,'oddspedia-matches'!$A:$AD,AQ$2,0)</f>
        <v>#N/A</v>
      </c>
      <c r="AR217" t="e">
        <f>VLOOKUP($AC217,'oddspedia-matches'!$A:$AD,AR$2,0)</f>
        <v>#N/A</v>
      </c>
      <c r="AS217" t="e">
        <f>VLOOKUP($AC217,'oddspedia-matches'!$A:$AD,AS$2,0)</f>
        <v>#N/A</v>
      </c>
      <c r="AT217" t="e">
        <f>VLOOKUP($AC217,'oddspedia-matches'!$A:$AD,AT$2,0)</f>
        <v>#N/A</v>
      </c>
    </row>
    <row r="218" spans="2:46" x14ac:dyDescent="0.25">
      <c r="B218" s="9" t="s">
        <v>668</v>
      </c>
      <c r="C218" s="7" t="s">
        <v>508</v>
      </c>
      <c r="D218" s="20">
        <v>0.625</v>
      </c>
      <c r="E218" s="7" t="s">
        <v>323</v>
      </c>
      <c r="F218" s="7" t="s">
        <v>675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s="7" t="s">
        <v>22</v>
      </c>
      <c r="Y218" s="7" t="s">
        <v>22</v>
      </c>
      <c r="Z218" s="21"/>
      <c r="AA218" t="str">
        <f>VLOOKUP(E218,'Transform table'!A:B,2,0)</f>
        <v>Berazategui</v>
      </c>
      <c r="AB218" t="e">
        <f>VLOOKUP(F218,'Transform table'!A:B,2,0)</f>
        <v>#N/A</v>
      </c>
      <c r="AC218" t="e">
        <f t="shared" si="3"/>
        <v>#N/A</v>
      </c>
      <c r="AD218" t="e">
        <f>VLOOKUP($AC218,'oddspedia-matches'!$A:$AD,AD$2,0)</f>
        <v>#N/A</v>
      </c>
      <c r="AE218" t="e">
        <f>VLOOKUP($AC218,'oddspedia-matches'!$A:$AD,AE$2,0)</f>
        <v>#N/A</v>
      </c>
      <c r="AF218" t="e">
        <f>VLOOKUP($AC218,'oddspedia-matches'!$A:$AD,AF$2,0)</f>
        <v>#N/A</v>
      </c>
      <c r="AG218" t="e">
        <f>VLOOKUP($AC218,'oddspedia-matches'!$A:$AD,AG$2,0)</f>
        <v>#N/A</v>
      </c>
      <c r="AH218" t="e">
        <f>VLOOKUP($AC218,'oddspedia-matches'!$A:$AD,AH$2,0)</f>
        <v>#N/A</v>
      </c>
      <c r="AI218" t="e">
        <f>VLOOKUP($AC218,'oddspedia-matches'!$A:$AD,AI$2,0)</f>
        <v>#N/A</v>
      </c>
      <c r="AJ218" t="e">
        <f>VLOOKUP($AC218,'oddspedia-matches'!$A:$AD,AJ$2,0)</f>
        <v>#N/A</v>
      </c>
      <c r="AK218" t="e">
        <f>VLOOKUP($AC218,'oddspedia-matches'!$A:$AD,AK$2,0)</f>
        <v>#N/A</v>
      </c>
      <c r="AL218" t="e">
        <f>VLOOKUP($AC218,'oddspedia-matches'!$A:$AD,AL$2,0)</f>
        <v>#N/A</v>
      </c>
      <c r="AM218" t="e">
        <f>VLOOKUP($AC218,'oddspedia-matches'!$A:$AD,AM$2,0)</f>
        <v>#N/A</v>
      </c>
      <c r="AN218" t="e">
        <f>VLOOKUP($AC218,'oddspedia-matches'!$A:$AD,AN$2,0)</f>
        <v>#N/A</v>
      </c>
      <c r="AO218" t="e">
        <f>VLOOKUP($AC218,'oddspedia-matches'!$A:$AD,AO$2,0)</f>
        <v>#N/A</v>
      </c>
      <c r="AP218" t="e">
        <f>VLOOKUP($AC218,'oddspedia-matches'!$A:$AD,AP$2,0)</f>
        <v>#N/A</v>
      </c>
      <c r="AQ218" t="e">
        <f>VLOOKUP($AC218,'oddspedia-matches'!$A:$AD,AQ$2,0)</f>
        <v>#N/A</v>
      </c>
      <c r="AR218" t="e">
        <f>VLOOKUP($AC218,'oddspedia-matches'!$A:$AD,AR$2,0)</f>
        <v>#N/A</v>
      </c>
      <c r="AS218" t="e">
        <f>VLOOKUP($AC218,'oddspedia-matches'!$A:$AD,AS$2,0)</f>
        <v>#N/A</v>
      </c>
      <c r="AT218" t="e">
        <f>VLOOKUP($AC218,'oddspedia-matches'!$A:$AD,AT$2,0)</f>
        <v>#N/A</v>
      </c>
    </row>
    <row r="219" spans="2:46" x14ac:dyDescent="0.25">
      <c r="B219" s="17" t="s">
        <v>668</v>
      </c>
      <c r="C219" s="8" t="s">
        <v>508</v>
      </c>
      <c r="D219" s="18">
        <v>0.625</v>
      </c>
      <c r="E219" s="8" t="s">
        <v>676</v>
      </c>
      <c r="F219" s="8" t="s">
        <v>677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s="8">
        <v>0</v>
      </c>
      <c r="Y219" s="8">
        <v>18.2</v>
      </c>
      <c r="Z219" s="19"/>
      <c r="AA219" t="str">
        <f>VLOOKUP(E219,'Transform table'!A:B,2,0)</f>
        <v>Cannes</v>
      </c>
      <c r="AB219" t="e">
        <f>VLOOKUP(F219,'Transform table'!A:B,2,0)</f>
        <v>#N/A</v>
      </c>
      <c r="AC219" t="e">
        <f t="shared" si="3"/>
        <v>#N/A</v>
      </c>
      <c r="AD219" t="e">
        <f>VLOOKUP($AC219,'oddspedia-matches'!$A:$AD,AD$2,0)</f>
        <v>#N/A</v>
      </c>
      <c r="AE219" t="e">
        <f>VLOOKUP($AC219,'oddspedia-matches'!$A:$AD,AE$2,0)</f>
        <v>#N/A</v>
      </c>
      <c r="AF219" t="e">
        <f>VLOOKUP($AC219,'oddspedia-matches'!$A:$AD,AF$2,0)</f>
        <v>#N/A</v>
      </c>
      <c r="AG219" t="e">
        <f>VLOOKUP($AC219,'oddspedia-matches'!$A:$AD,AG$2,0)</f>
        <v>#N/A</v>
      </c>
      <c r="AH219" t="e">
        <f>VLOOKUP($AC219,'oddspedia-matches'!$A:$AD,AH$2,0)</f>
        <v>#N/A</v>
      </c>
      <c r="AI219" t="e">
        <f>VLOOKUP($AC219,'oddspedia-matches'!$A:$AD,AI$2,0)</f>
        <v>#N/A</v>
      </c>
      <c r="AJ219" t="e">
        <f>VLOOKUP($AC219,'oddspedia-matches'!$A:$AD,AJ$2,0)</f>
        <v>#N/A</v>
      </c>
      <c r="AK219" t="e">
        <f>VLOOKUP($AC219,'oddspedia-matches'!$A:$AD,AK$2,0)</f>
        <v>#N/A</v>
      </c>
      <c r="AL219" t="e">
        <f>VLOOKUP($AC219,'oddspedia-matches'!$A:$AD,AL$2,0)</f>
        <v>#N/A</v>
      </c>
      <c r="AM219" t="e">
        <f>VLOOKUP($AC219,'oddspedia-matches'!$A:$AD,AM$2,0)</f>
        <v>#N/A</v>
      </c>
      <c r="AN219" t="e">
        <f>VLOOKUP($AC219,'oddspedia-matches'!$A:$AD,AN$2,0)</f>
        <v>#N/A</v>
      </c>
      <c r="AO219" t="e">
        <f>VLOOKUP($AC219,'oddspedia-matches'!$A:$AD,AO$2,0)</f>
        <v>#N/A</v>
      </c>
      <c r="AP219" t="e">
        <f>VLOOKUP($AC219,'oddspedia-matches'!$A:$AD,AP$2,0)</f>
        <v>#N/A</v>
      </c>
      <c r="AQ219" t="e">
        <f>VLOOKUP($AC219,'oddspedia-matches'!$A:$AD,AQ$2,0)</f>
        <v>#N/A</v>
      </c>
      <c r="AR219" t="e">
        <f>VLOOKUP($AC219,'oddspedia-matches'!$A:$AD,AR$2,0)</f>
        <v>#N/A</v>
      </c>
      <c r="AS219" t="e">
        <f>VLOOKUP($AC219,'oddspedia-matches'!$A:$AD,AS$2,0)</f>
        <v>#N/A</v>
      </c>
      <c r="AT219" t="e">
        <f>VLOOKUP($AC219,'oddspedia-matches'!$A:$AD,AT$2,0)</f>
        <v>#N/A</v>
      </c>
    </row>
    <row r="220" spans="2:46" x14ac:dyDescent="0.25">
      <c r="B220" s="9" t="s">
        <v>668</v>
      </c>
      <c r="C220" s="7" t="s">
        <v>508</v>
      </c>
      <c r="D220" s="20">
        <v>0.625</v>
      </c>
      <c r="E220" s="7" t="s">
        <v>678</v>
      </c>
      <c r="F220" s="7" t="s">
        <v>317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s="7">
        <v>11.1</v>
      </c>
      <c r="Y220" s="7">
        <v>10</v>
      </c>
      <c r="Z220" s="21"/>
      <c r="AA220">
        <f>VLOOKUP(E220,'Transform table'!A:B,2,0)</f>
        <v>0</v>
      </c>
      <c r="AB220" t="e">
        <f>VLOOKUP(F220,'Transform table'!A:B,2,0)</f>
        <v>#N/A</v>
      </c>
      <c r="AC220" t="e">
        <f t="shared" si="3"/>
        <v>#N/A</v>
      </c>
      <c r="AD220" t="e">
        <f>VLOOKUP($AC220,'oddspedia-matches'!$A:$AD,AD$2,0)</f>
        <v>#N/A</v>
      </c>
      <c r="AE220" t="e">
        <f>VLOOKUP($AC220,'oddspedia-matches'!$A:$AD,AE$2,0)</f>
        <v>#N/A</v>
      </c>
      <c r="AF220" t="e">
        <f>VLOOKUP($AC220,'oddspedia-matches'!$A:$AD,AF$2,0)</f>
        <v>#N/A</v>
      </c>
      <c r="AG220" t="e">
        <f>VLOOKUP($AC220,'oddspedia-matches'!$A:$AD,AG$2,0)</f>
        <v>#N/A</v>
      </c>
      <c r="AH220" t="e">
        <f>VLOOKUP($AC220,'oddspedia-matches'!$A:$AD,AH$2,0)</f>
        <v>#N/A</v>
      </c>
      <c r="AI220" t="e">
        <f>VLOOKUP($AC220,'oddspedia-matches'!$A:$AD,AI$2,0)</f>
        <v>#N/A</v>
      </c>
      <c r="AJ220" t="e">
        <f>VLOOKUP($AC220,'oddspedia-matches'!$A:$AD,AJ$2,0)</f>
        <v>#N/A</v>
      </c>
      <c r="AK220" t="e">
        <f>VLOOKUP($AC220,'oddspedia-matches'!$A:$AD,AK$2,0)</f>
        <v>#N/A</v>
      </c>
      <c r="AL220" t="e">
        <f>VLOOKUP($AC220,'oddspedia-matches'!$A:$AD,AL$2,0)</f>
        <v>#N/A</v>
      </c>
      <c r="AM220" t="e">
        <f>VLOOKUP($AC220,'oddspedia-matches'!$A:$AD,AM$2,0)</f>
        <v>#N/A</v>
      </c>
      <c r="AN220" t="e">
        <f>VLOOKUP($AC220,'oddspedia-matches'!$A:$AD,AN$2,0)</f>
        <v>#N/A</v>
      </c>
      <c r="AO220" t="e">
        <f>VLOOKUP($AC220,'oddspedia-matches'!$A:$AD,AO$2,0)</f>
        <v>#N/A</v>
      </c>
      <c r="AP220" t="e">
        <f>VLOOKUP($AC220,'oddspedia-matches'!$A:$AD,AP$2,0)</f>
        <v>#N/A</v>
      </c>
      <c r="AQ220" t="e">
        <f>VLOOKUP($AC220,'oddspedia-matches'!$A:$AD,AQ$2,0)</f>
        <v>#N/A</v>
      </c>
      <c r="AR220" t="e">
        <f>VLOOKUP($AC220,'oddspedia-matches'!$A:$AD,AR$2,0)</f>
        <v>#N/A</v>
      </c>
      <c r="AS220" t="e">
        <f>VLOOKUP($AC220,'oddspedia-matches'!$A:$AD,AS$2,0)</f>
        <v>#N/A</v>
      </c>
      <c r="AT220" t="e">
        <f>VLOOKUP($AC220,'oddspedia-matches'!$A:$AD,AT$2,0)</f>
        <v>#N/A</v>
      </c>
    </row>
    <row r="221" spans="2:46" x14ac:dyDescent="0.25">
      <c r="B221" s="17" t="s">
        <v>668</v>
      </c>
      <c r="C221" s="8" t="s">
        <v>508</v>
      </c>
      <c r="D221" s="18">
        <v>0.625</v>
      </c>
      <c r="E221" s="8" t="s">
        <v>679</v>
      </c>
      <c r="F221" s="8" t="s">
        <v>680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s="8">
        <v>20</v>
      </c>
      <c r="Y221" s="8">
        <v>11.1</v>
      </c>
      <c r="Z221" s="19"/>
      <c r="AA221" t="str">
        <f>VLOOKUP(E221,'Transform table'!A:B,2,0)</f>
        <v>Fenerbahce</v>
      </c>
      <c r="AB221" t="e">
        <f>VLOOKUP(F221,'Transform table'!A:B,2,0)</f>
        <v>#N/A</v>
      </c>
      <c r="AC221" t="e">
        <f t="shared" si="3"/>
        <v>#N/A</v>
      </c>
      <c r="AD221" t="e">
        <f>VLOOKUP($AC221,'oddspedia-matches'!$A:$AD,AD$2,0)</f>
        <v>#N/A</v>
      </c>
      <c r="AE221" t="e">
        <f>VLOOKUP($AC221,'oddspedia-matches'!$A:$AD,AE$2,0)</f>
        <v>#N/A</v>
      </c>
      <c r="AF221" t="e">
        <f>VLOOKUP($AC221,'oddspedia-matches'!$A:$AD,AF$2,0)</f>
        <v>#N/A</v>
      </c>
      <c r="AG221" t="e">
        <f>VLOOKUP($AC221,'oddspedia-matches'!$A:$AD,AG$2,0)</f>
        <v>#N/A</v>
      </c>
      <c r="AH221" t="e">
        <f>VLOOKUP($AC221,'oddspedia-matches'!$A:$AD,AH$2,0)</f>
        <v>#N/A</v>
      </c>
      <c r="AI221" t="e">
        <f>VLOOKUP($AC221,'oddspedia-matches'!$A:$AD,AI$2,0)</f>
        <v>#N/A</v>
      </c>
      <c r="AJ221" t="e">
        <f>VLOOKUP($AC221,'oddspedia-matches'!$A:$AD,AJ$2,0)</f>
        <v>#N/A</v>
      </c>
      <c r="AK221" t="e">
        <f>VLOOKUP($AC221,'oddspedia-matches'!$A:$AD,AK$2,0)</f>
        <v>#N/A</v>
      </c>
      <c r="AL221" t="e">
        <f>VLOOKUP($AC221,'oddspedia-matches'!$A:$AD,AL$2,0)</f>
        <v>#N/A</v>
      </c>
      <c r="AM221" t="e">
        <f>VLOOKUP($AC221,'oddspedia-matches'!$A:$AD,AM$2,0)</f>
        <v>#N/A</v>
      </c>
      <c r="AN221" t="e">
        <f>VLOOKUP($AC221,'oddspedia-matches'!$A:$AD,AN$2,0)</f>
        <v>#N/A</v>
      </c>
      <c r="AO221" t="e">
        <f>VLOOKUP($AC221,'oddspedia-matches'!$A:$AD,AO$2,0)</f>
        <v>#N/A</v>
      </c>
      <c r="AP221" t="e">
        <f>VLOOKUP($AC221,'oddspedia-matches'!$A:$AD,AP$2,0)</f>
        <v>#N/A</v>
      </c>
      <c r="AQ221" t="e">
        <f>VLOOKUP($AC221,'oddspedia-matches'!$A:$AD,AQ$2,0)</f>
        <v>#N/A</v>
      </c>
      <c r="AR221" t="e">
        <f>VLOOKUP($AC221,'oddspedia-matches'!$A:$AD,AR$2,0)</f>
        <v>#N/A</v>
      </c>
      <c r="AS221" t="e">
        <f>VLOOKUP($AC221,'oddspedia-matches'!$A:$AD,AS$2,0)</f>
        <v>#N/A</v>
      </c>
      <c r="AT221" t="e">
        <f>VLOOKUP($AC221,'oddspedia-matches'!$A:$AD,AT$2,0)</f>
        <v>#N/A</v>
      </c>
    </row>
    <row r="222" spans="2:46" x14ac:dyDescent="0.25">
      <c r="B222" s="9" t="s">
        <v>668</v>
      </c>
      <c r="C222" s="7" t="s">
        <v>508</v>
      </c>
      <c r="D222" s="20">
        <v>0.625</v>
      </c>
      <c r="E222" s="7" t="s">
        <v>681</v>
      </c>
      <c r="F222" s="7" t="s">
        <v>682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s="7">
        <v>10</v>
      </c>
      <c r="Y222" s="7">
        <v>9.1</v>
      </c>
      <c r="Z222" s="21"/>
      <c r="AA222">
        <f>VLOOKUP(E222,'Transform table'!A:B,2,0)</f>
        <v>0</v>
      </c>
      <c r="AB222" t="e">
        <f>VLOOKUP(F222,'Transform table'!A:B,2,0)</f>
        <v>#N/A</v>
      </c>
      <c r="AC222" t="e">
        <f t="shared" si="3"/>
        <v>#N/A</v>
      </c>
      <c r="AD222" t="e">
        <f>VLOOKUP($AC222,'oddspedia-matches'!$A:$AD,AD$2,0)</f>
        <v>#N/A</v>
      </c>
      <c r="AE222" t="e">
        <f>VLOOKUP($AC222,'oddspedia-matches'!$A:$AD,AE$2,0)</f>
        <v>#N/A</v>
      </c>
      <c r="AF222" t="e">
        <f>VLOOKUP($AC222,'oddspedia-matches'!$A:$AD,AF$2,0)</f>
        <v>#N/A</v>
      </c>
      <c r="AG222" t="e">
        <f>VLOOKUP($AC222,'oddspedia-matches'!$A:$AD,AG$2,0)</f>
        <v>#N/A</v>
      </c>
      <c r="AH222" t="e">
        <f>VLOOKUP($AC222,'oddspedia-matches'!$A:$AD,AH$2,0)</f>
        <v>#N/A</v>
      </c>
      <c r="AI222" t="e">
        <f>VLOOKUP($AC222,'oddspedia-matches'!$A:$AD,AI$2,0)</f>
        <v>#N/A</v>
      </c>
      <c r="AJ222" t="e">
        <f>VLOOKUP($AC222,'oddspedia-matches'!$A:$AD,AJ$2,0)</f>
        <v>#N/A</v>
      </c>
      <c r="AK222" t="e">
        <f>VLOOKUP($AC222,'oddspedia-matches'!$A:$AD,AK$2,0)</f>
        <v>#N/A</v>
      </c>
      <c r="AL222" t="e">
        <f>VLOOKUP($AC222,'oddspedia-matches'!$A:$AD,AL$2,0)</f>
        <v>#N/A</v>
      </c>
      <c r="AM222" t="e">
        <f>VLOOKUP($AC222,'oddspedia-matches'!$A:$AD,AM$2,0)</f>
        <v>#N/A</v>
      </c>
      <c r="AN222" t="e">
        <f>VLOOKUP($AC222,'oddspedia-matches'!$A:$AD,AN$2,0)</f>
        <v>#N/A</v>
      </c>
      <c r="AO222" t="e">
        <f>VLOOKUP($AC222,'oddspedia-matches'!$A:$AD,AO$2,0)</f>
        <v>#N/A</v>
      </c>
      <c r="AP222" t="e">
        <f>VLOOKUP($AC222,'oddspedia-matches'!$A:$AD,AP$2,0)</f>
        <v>#N/A</v>
      </c>
      <c r="AQ222" t="e">
        <f>VLOOKUP($AC222,'oddspedia-matches'!$A:$AD,AQ$2,0)</f>
        <v>#N/A</v>
      </c>
      <c r="AR222" t="e">
        <f>VLOOKUP($AC222,'oddspedia-matches'!$A:$AD,AR$2,0)</f>
        <v>#N/A</v>
      </c>
      <c r="AS222" t="e">
        <f>VLOOKUP($AC222,'oddspedia-matches'!$A:$AD,AS$2,0)</f>
        <v>#N/A</v>
      </c>
      <c r="AT222" t="e">
        <f>VLOOKUP($AC222,'oddspedia-matches'!$A:$AD,AT$2,0)</f>
        <v>#N/A</v>
      </c>
    </row>
    <row r="223" spans="2:46" x14ac:dyDescent="0.25">
      <c r="B223" s="17" t="s">
        <v>668</v>
      </c>
      <c r="C223" s="8" t="s">
        <v>508</v>
      </c>
      <c r="D223" s="18">
        <v>0.625</v>
      </c>
      <c r="E223" s="8" t="s">
        <v>381</v>
      </c>
      <c r="F223" s="8" t="s">
        <v>683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s="8" t="s">
        <v>22</v>
      </c>
      <c r="Y223" s="8" t="s">
        <v>22</v>
      </c>
      <c r="Z223" s="19"/>
      <c r="AA223" t="str">
        <f>VLOOKUP(E223,'Transform table'!A:B,2,0)</f>
        <v>Juventud Unida San Miguel</v>
      </c>
      <c r="AB223" t="e">
        <f>VLOOKUP(F223,'Transform table'!A:B,2,0)</f>
        <v>#N/A</v>
      </c>
      <c r="AC223" t="e">
        <f t="shared" si="3"/>
        <v>#N/A</v>
      </c>
      <c r="AD223" t="e">
        <f>VLOOKUP($AC223,'oddspedia-matches'!$A:$AD,AD$2,0)</f>
        <v>#N/A</v>
      </c>
      <c r="AE223" t="e">
        <f>VLOOKUP($AC223,'oddspedia-matches'!$A:$AD,AE$2,0)</f>
        <v>#N/A</v>
      </c>
      <c r="AF223" t="e">
        <f>VLOOKUP($AC223,'oddspedia-matches'!$A:$AD,AF$2,0)</f>
        <v>#N/A</v>
      </c>
      <c r="AG223" t="e">
        <f>VLOOKUP($AC223,'oddspedia-matches'!$A:$AD,AG$2,0)</f>
        <v>#N/A</v>
      </c>
      <c r="AH223" t="e">
        <f>VLOOKUP($AC223,'oddspedia-matches'!$A:$AD,AH$2,0)</f>
        <v>#N/A</v>
      </c>
      <c r="AI223" t="e">
        <f>VLOOKUP($AC223,'oddspedia-matches'!$A:$AD,AI$2,0)</f>
        <v>#N/A</v>
      </c>
      <c r="AJ223" t="e">
        <f>VLOOKUP($AC223,'oddspedia-matches'!$A:$AD,AJ$2,0)</f>
        <v>#N/A</v>
      </c>
      <c r="AK223" t="e">
        <f>VLOOKUP($AC223,'oddspedia-matches'!$A:$AD,AK$2,0)</f>
        <v>#N/A</v>
      </c>
      <c r="AL223" t="e">
        <f>VLOOKUP($AC223,'oddspedia-matches'!$A:$AD,AL$2,0)</f>
        <v>#N/A</v>
      </c>
      <c r="AM223" t="e">
        <f>VLOOKUP($AC223,'oddspedia-matches'!$A:$AD,AM$2,0)</f>
        <v>#N/A</v>
      </c>
      <c r="AN223" t="e">
        <f>VLOOKUP($AC223,'oddspedia-matches'!$A:$AD,AN$2,0)</f>
        <v>#N/A</v>
      </c>
      <c r="AO223" t="e">
        <f>VLOOKUP($AC223,'oddspedia-matches'!$A:$AD,AO$2,0)</f>
        <v>#N/A</v>
      </c>
      <c r="AP223" t="e">
        <f>VLOOKUP($AC223,'oddspedia-matches'!$A:$AD,AP$2,0)</f>
        <v>#N/A</v>
      </c>
      <c r="AQ223" t="e">
        <f>VLOOKUP($AC223,'oddspedia-matches'!$A:$AD,AQ$2,0)</f>
        <v>#N/A</v>
      </c>
      <c r="AR223" t="e">
        <f>VLOOKUP($AC223,'oddspedia-matches'!$A:$AD,AR$2,0)</f>
        <v>#N/A</v>
      </c>
      <c r="AS223" t="e">
        <f>VLOOKUP($AC223,'oddspedia-matches'!$A:$AD,AS$2,0)</f>
        <v>#N/A</v>
      </c>
      <c r="AT223" t="e">
        <f>VLOOKUP($AC223,'oddspedia-matches'!$A:$AD,AT$2,0)</f>
        <v>#N/A</v>
      </c>
    </row>
    <row r="224" spans="2:46" x14ac:dyDescent="0.25">
      <c r="B224" s="9" t="s">
        <v>668</v>
      </c>
      <c r="C224" s="7" t="s">
        <v>508</v>
      </c>
      <c r="D224" s="20">
        <v>0.625</v>
      </c>
      <c r="E224" s="7" t="s">
        <v>318</v>
      </c>
      <c r="F224" s="7" t="s">
        <v>684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s="7">
        <v>30</v>
      </c>
      <c r="Y224" s="7">
        <v>22.2</v>
      </c>
      <c r="Z224" s="21"/>
      <c r="AA224" t="str">
        <f>VLOOKUP(E224,'Transform table'!A:B,2,0)</f>
        <v>Leones de Rosario</v>
      </c>
      <c r="AB224" t="e">
        <f>VLOOKUP(F224,'Transform table'!A:B,2,0)</f>
        <v>#N/A</v>
      </c>
      <c r="AC224" t="e">
        <f t="shared" si="3"/>
        <v>#N/A</v>
      </c>
      <c r="AD224" t="e">
        <f>VLOOKUP($AC224,'oddspedia-matches'!$A:$AD,AD$2,0)</f>
        <v>#N/A</v>
      </c>
      <c r="AE224" t="e">
        <f>VLOOKUP($AC224,'oddspedia-matches'!$A:$AD,AE$2,0)</f>
        <v>#N/A</v>
      </c>
      <c r="AF224" t="e">
        <f>VLOOKUP($AC224,'oddspedia-matches'!$A:$AD,AF$2,0)</f>
        <v>#N/A</v>
      </c>
      <c r="AG224" t="e">
        <f>VLOOKUP($AC224,'oddspedia-matches'!$A:$AD,AG$2,0)</f>
        <v>#N/A</v>
      </c>
      <c r="AH224" t="e">
        <f>VLOOKUP($AC224,'oddspedia-matches'!$A:$AD,AH$2,0)</f>
        <v>#N/A</v>
      </c>
      <c r="AI224" t="e">
        <f>VLOOKUP($AC224,'oddspedia-matches'!$A:$AD,AI$2,0)</f>
        <v>#N/A</v>
      </c>
      <c r="AJ224" t="e">
        <f>VLOOKUP($AC224,'oddspedia-matches'!$A:$AD,AJ$2,0)</f>
        <v>#N/A</v>
      </c>
      <c r="AK224" t="e">
        <f>VLOOKUP($AC224,'oddspedia-matches'!$A:$AD,AK$2,0)</f>
        <v>#N/A</v>
      </c>
      <c r="AL224" t="e">
        <f>VLOOKUP($AC224,'oddspedia-matches'!$A:$AD,AL$2,0)</f>
        <v>#N/A</v>
      </c>
      <c r="AM224" t="e">
        <f>VLOOKUP($AC224,'oddspedia-matches'!$A:$AD,AM$2,0)</f>
        <v>#N/A</v>
      </c>
      <c r="AN224" t="e">
        <f>VLOOKUP($AC224,'oddspedia-matches'!$A:$AD,AN$2,0)</f>
        <v>#N/A</v>
      </c>
      <c r="AO224" t="e">
        <f>VLOOKUP($AC224,'oddspedia-matches'!$A:$AD,AO$2,0)</f>
        <v>#N/A</v>
      </c>
      <c r="AP224" t="e">
        <f>VLOOKUP($AC224,'oddspedia-matches'!$A:$AD,AP$2,0)</f>
        <v>#N/A</v>
      </c>
      <c r="AQ224" t="e">
        <f>VLOOKUP($AC224,'oddspedia-matches'!$A:$AD,AQ$2,0)</f>
        <v>#N/A</v>
      </c>
      <c r="AR224" t="e">
        <f>VLOOKUP($AC224,'oddspedia-matches'!$A:$AD,AR$2,0)</f>
        <v>#N/A</v>
      </c>
      <c r="AS224" t="e">
        <f>VLOOKUP($AC224,'oddspedia-matches'!$A:$AD,AS$2,0)</f>
        <v>#N/A</v>
      </c>
      <c r="AT224" t="e">
        <f>VLOOKUP($AC224,'oddspedia-matches'!$A:$AD,AT$2,0)</f>
        <v>#N/A</v>
      </c>
    </row>
    <row r="225" spans="2:46" x14ac:dyDescent="0.25">
      <c r="B225" s="17" t="s">
        <v>668</v>
      </c>
      <c r="C225" s="8" t="s">
        <v>508</v>
      </c>
      <c r="D225" s="18">
        <v>0.625</v>
      </c>
      <c r="E225" s="8" t="s">
        <v>685</v>
      </c>
      <c r="F225" s="8" t="s">
        <v>319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s="8" t="s">
        <v>22</v>
      </c>
      <c r="Y225" s="8" t="s">
        <v>22</v>
      </c>
      <c r="Z225" s="19"/>
      <c r="AA225" t="str">
        <f>VLOOKUP(E225,'Transform table'!A:B,2,0)</f>
        <v>Lugano</v>
      </c>
      <c r="AB225" t="e">
        <f>VLOOKUP(F225,'Transform table'!A:B,2,0)</f>
        <v>#N/A</v>
      </c>
      <c r="AC225" t="e">
        <f t="shared" si="3"/>
        <v>#N/A</v>
      </c>
      <c r="AD225" t="e">
        <f>VLOOKUP($AC225,'oddspedia-matches'!$A:$AD,AD$2,0)</f>
        <v>#N/A</v>
      </c>
      <c r="AE225" t="e">
        <f>VLOOKUP($AC225,'oddspedia-matches'!$A:$AD,AE$2,0)</f>
        <v>#N/A</v>
      </c>
      <c r="AF225" t="e">
        <f>VLOOKUP($AC225,'oddspedia-matches'!$A:$AD,AF$2,0)</f>
        <v>#N/A</v>
      </c>
      <c r="AG225" t="e">
        <f>VLOOKUP($AC225,'oddspedia-matches'!$A:$AD,AG$2,0)</f>
        <v>#N/A</v>
      </c>
      <c r="AH225" t="e">
        <f>VLOOKUP($AC225,'oddspedia-matches'!$A:$AD,AH$2,0)</f>
        <v>#N/A</v>
      </c>
      <c r="AI225" t="e">
        <f>VLOOKUP($AC225,'oddspedia-matches'!$A:$AD,AI$2,0)</f>
        <v>#N/A</v>
      </c>
      <c r="AJ225" t="e">
        <f>VLOOKUP($AC225,'oddspedia-matches'!$A:$AD,AJ$2,0)</f>
        <v>#N/A</v>
      </c>
      <c r="AK225" t="e">
        <f>VLOOKUP($AC225,'oddspedia-matches'!$A:$AD,AK$2,0)</f>
        <v>#N/A</v>
      </c>
      <c r="AL225" t="e">
        <f>VLOOKUP($AC225,'oddspedia-matches'!$A:$AD,AL$2,0)</f>
        <v>#N/A</v>
      </c>
      <c r="AM225" t="e">
        <f>VLOOKUP($AC225,'oddspedia-matches'!$A:$AD,AM$2,0)</f>
        <v>#N/A</v>
      </c>
      <c r="AN225" t="e">
        <f>VLOOKUP($AC225,'oddspedia-matches'!$A:$AD,AN$2,0)</f>
        <v>#N/A</v>
      </c>
      <c r="AO225" t="e">
        <f>VLOOKUP($AC225,'oddspedia-matches'!$A:$AD,AO$2,0)</f>
        <v>#N/A</v>
      </c>
      <c r="AP225" t="e">
        <f>VLOOKUP($AC225,'oddspedia-matches'!$A:$AD,AP$2,0)</f>
        <v>#N/A</v>
      </c>
      <c r="AQ225" t="e">
        <f>VLOOKUP($AC225,'oddspedia-matches'!$A:$AD,AQ$2,0)</f>
        <v>#N/A</v>
      </c>
      <c r="AR225" t="e">
        <f>VLOOKUP($AC225,'oddspedia-matches'!$A:$AD,AR$2,0)</f>
        <v>#N/A</v>
      </c>
      <c r="AS225" t="e">
        <f>VLOOKUP($AC225,'oddspedia-matches'!$A:$AD,AS$2,0)</f>
        <v>#N/A</v>
      </c>
      <c r="AT225" t="e">
        <f>VLOOKUP($AC225,'oddspedia-matches'!$A:$AD,AT$2,0)</f>
        <v>#N/A</v>
      </c>
    </row>
    <row r="226" spans="2:46" x14ac:dyDescent="0.25">
      <c r="B226" s="9" t="s">
        <v>668</v>
      </c>
      <c r="C226" s="7" t="s">
        <v>508</v>
      </c>
      <c r="D226" s="20">
        <v>0.625</v>
      </c>
      <c r="E226" s="7" t="s">
        <v>686</v>
      </c>
      <c r="F226" s="7" t="s">
        <v>316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s="7">
        <v>20</v>
      </c>
      <c r="Y226" s="7">
        <v>44.4</v>
      </c>
      <c r="Z226" s="21"/>
      <c r="AA226">
        <f>VLOOKUP(E226,'Transform table'!A:B,2,0)</f>
        <v>0</v>
      </c>
      <c r="AB226" t="e">
        <f>VLOOKUP(F226,'Transform table'!A:B,2,0)</f>
        <v>#N/A</v>
      </c>
      <c r="AC226" t="e">
        <f t="shared" si="3"/>
        <v>#N/A</v>
      </c>
      <c r="AD226" t="e">
        <f>VLOOKUP($AC226,'oddspedia-matches'!$A:$AD,AD$2,0)</f>
        <v>#N/A</v>
      </c>
      <c r="AE226" t="e">
        <f>VLOOKUP($AC226,'oddspedia-matches'!$A:$AD,AE$2,0)</f>
        <v>#N/A</v>
      </c>
      <c r="AF226" t="e">
        <f>VLOOKUP($AC226,'oddspedia-matches'!$A:$AD,AF$2,0)</f>
        <v>#N/A</v>
      </c>
      <c r="AG226" t="e">
        <f>VLOOKUP($AC226,'oddspedia-matches'!$A:$AD,AG$2,0)</f>
        <v>#N/A</v>
      </c>
      <c r="AH226" t="e">
        <f>VLOOKUP($AC226,'oddspedia-matches'!$A:$AD,AH$2,0)</f>
        <v>#N/A</v>
      </c>
      <c r="AI226" t="e">
        <f>VLOOKUP($AC226,'oddspedia-matches'!$A:$AD,AI$2,0)</f>
        <v>#N/A</v>
      </c>
      <c r="AJ226" t="e">
        <f>VLOOKUP($AC226,'oddspedia-matches'!$A:$AD,AJ$2,0)</f>
        <v>#N/A</v>
      </c>
      <c r="AK226" t="e">
        <f>VLOOKUP($AC226,'oddspedia-matches'!$A:$AD,AK$2,0)</f>
        <v>#N/A</v>
      </c>
      <c r="AL226" t="e">
        <f>VLOOKUP($AC226,'oddspedia-matches'!$A:$AD,AL$2,0)</f>
        <v>#N/A</v>
      </c>
      <c r="AM226" t="e">
        <f>VLOOKUP($AC226,'oddspedia-matches'!$A:$AD,AM$2,0)</f>
        <v>#N/A</v>
      </c>
      <c r="AN226" t="e">
        <f>VLOOKUP($AC226,'oddspedia-matches'!$A:$AD,AN$2,0)</f>
        <v>#N/A</v>
      </c>
      <c r="AO226" t="e">
        <f>VLOOKUP($AC226,'oddspedia-matches'!$A:$AD,AO$2,0)</f>
        <v>#N/A</v>
      </c>
      <c r="AP226" t="e">
        <f>VLOOKUP($AC226,'oddspedia-matches'!$A:$AD,AP$2,0)</f>
        <v>#N/A</v>
      </c>
      <c r="AQ226" t="e">
        <f>VLOOKUP($AC226,'oddspedia-matches'!$A:$AD,AQ$2,0)</f>
        <v>#N/A</v>
      </c>
      <c r="AR226" t="e">
        <f>VLOOKUP($AC226,'oddspedia-matches'!$A:$AD,AR$2,0)</f>
        <v>#N/A</v>
      </c>
      <c r="AS226" t="e">
        <f>VLOOKUP($AC226,'oddspedia-matches'!$A:$AD,AS$2,0)</f>
        <v>#N/A</v>
      </c>
      <c r="AT226" t="e">
        <f>VLOOKUP($AC226,'oddspedia-matches'!$A:$AD,AT$2,0)</f>
        <v>#N/A</v>
      </c>
    </row>
    <row r="227" spans="2:46" x14ac:dyDescent="0.25">
      <c r="B227" s="17" t="s">
        <v>668</v>
      </c>
      <c r="C227" s="8" t="s">
        <v>508</v>
      </c>
      <c r="D227" s="18">
        <v>0.625</v>
      </c>
      <c r="E227" s="8" t="s">
        <v>320</v>
      </c>
      <c r="F227" s="8" t="s">
        <v>687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s="8" t="s">
        <v>22</v>
      </c>
      <c r="Y227" s="8" t="s">
        <v>22</v>
      </c>
      <c r="Z227" s="19"/>
      <c r="AA227" t="str">
        <f>VLOOKUP(E227,'Transform table'!A:B,2,0)</f>
        <v>Sacachispas</v>
      </c>
      <c r="AB227" t="e">
        <f>VLOOKUP(F227,'Transform table'!A:B,2,0)</f>
        <v>#N/A</v>
      </c>
      <c r="AC227" t="e">
        <f t="shared" si="3"/>
        <v>#N/A</v>
      </c>
      <c r="AD227" t="e">
        <f>VLOOKUP($AC227,'oddspedia-matches'!$A:$AD,AD$2,0)</f>
        <v>#N/A</v>
      </c>
      <c r="AE227" t="e">
        <f>VLOOKUP($AC227,'oddspedia-matches'!$A:$AD,AE$2,0)</f>
        <v>#N/A</v>
      </c>
      <c r="AF227" t="e">
        <f>VLOOKUP($AC227,'oddspedia-matches'!$A:$AD,AF$2,0)</f>
        <v>#N/A</v>
      </c>
      <c r="AG227" t="e">
        <f>VLOOKUP($AC227,'oddspedia-matches'!$A:$AD,AG$2,0)</f>
        <v>#N/A</v>
      </c>
      <c r="AH227" t="e">
        <f>VLOOKUP($AC227,'oddspedia-matches'!$A:$AD,AH$2,0)</f>
        <v>#N/A</v>
      </c>
      <c r="AI227" t="e">
        <f>VLOOKUP($AC227,'oddspedia-matches'!$A:$AD,AI$2,0)</f>
        <v>#N/A</v>
      </c>
      <c r="AJ227" t="e">
        <f>VLOOKUP($AC227,'oddspedia-matches'!$A:$AD,AJ$2,0)</f>
        <v>#N/A</v>
      </c>
      <c r="AK227" t="e">
        <f>VLOOKUP($AC227,'oddspedia-matches'!$A:$AD,AK$2,0)</f>
        <v>#N/A</v>
      </c>
      <c r="AL227" t="e">
        <f>VLOOKUP($AC227,'oddspedia-matches'!$A:$AD,AL$2,0)</f>
        <v>#N/A</v>
      </c>
      <c r="AM227" t="e">
        <f>VLOOKUP($AC227,'oddspedia-matches'!$A:$AD,AM$2,0)</f>
        <v>#N/A</v>
      </c>
      <c r="AN227" t="e">
        <f>VLOOKUP($AC227,'oddspedia-matches'!$A:$AD,AN$2,0)</f>
        <v>#N/A</v>
      </c>
      <c r="AO227" t="e">
        <f>VLOOKUP($AC227,'oddspedia-matches'!$A:$AD,AO$2,0)</f>
        <v>#N/A</v>
      </c>
      <c r="AP227" t="e">
        <f>VLOOKUP($AC227,'oddspedia-matches'!$A:$AD,AP$2,0)</f>
        <v>#N/A</v>
      </c>
      <c r="AQ227" t="e">
        <f>VLOOKUP($AC227,'oddspedia-matches'!$A:$AD,AQ$2,0)</f>
        <v>#N/A</v>
      </c>
      <c r="AR227" t="e">
        <f>VLOOKUP($AC227,'oddspedia-matches'!$A:$AD,AR$2,0)</f>
        <v>#N/A</v>
      </c>
      <c r="AS227" t="e">
        <f>VLOOKUP($AC227,'oddspedia-matches'!$A:$AD,AS$2,0)</f>
        <v>#N/A</v>
      </c>
      <c r="AT227" t="e">
        <f>VLOOKUP($AC227,'oddspedia-matches'!$A:$AD,AT$2,0)</f>
        <v>#N/A</v>
      </c>
    </row>
    <row r="228" spans="2:46" x14ac:dyDescent="0.25">
      <c r="B228" s="9" t="s">
        <v>668</v>
      </c>
      <c r="C228" s="7" t="s">
        <v>508</v>
      </c>
      <c r="D228" s="20">
        <v>0.625</v>
      </c>
      <c r="E228" s="7" t="s">
        <v>688</v>
      </c>
      <c r="F228" s="7" t="s">
        <v>689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s="7">
        <v>10</v>
      </c>
      <c r="Y228" s="7">
        <v>9.1</v>
      </c>
      <c r="Z228" s="21"/>
      <c r="AA228">
        <f>VLOOKUP(E228,'Transform table'!A:B,2,0)</f>
        <v>0</v>
      </c>
      <c r="AB228" t="e">
        <f>VLOOKUP(F228,'Transform table'!A:B,2,0)</f>
        <v>#N/A</v>
      </c>
      <c r="AC228" t="e">
        <f t="shared" si="3"/>
        <v>#N/A</v>
      </c>
      <c r="AD228" t="e">
        <f>VLOOKUP($AC228,'oddspedia-matches'!$A:$AD,AD$2,0)</f>
        <v>#N/A</v>
      </c>
      <c r="AE228" t="e">
        <f>VLOOKUP($AC228,'oddspedia-matches'!$A:$AD,AE$2,0)</f>
        <v>#N/A</v>
      </c>
      <c r="AF228" t="e">
        <f>VLOOKUP($AC228,'oddspedia-matches'!$A:$AD,AF$2,0)</f>
        <v>#N/A</v>
      </c>
      <c r="AG228" t="e">
        <f>VLOOKUP($AC228,'oddspedia-matches'!$A:$AD,AG$2,0)</f>
        <v>#N/A</v>
      </c>
      <c r="AH228" t="e">
        <f>VLOOKUP($AC228,'oddspedia-matches'!$A:$AD,AH$2,0)</f>
        <v>#N/A</v>
      </c>
      <c r="AI228" t="e">
        <f>VLOOKUP($AC228,'oddspedia-matches'!$A:$AD,AI$2,0)</f>
        <v>#N/A</v>
      </c>
      <c r="AJ228" t="e">
        <f>VLOOKUP($AC228,'oddspedia-matches'!$A:$AD,AJ$2,0)</f>
        <v>#N/A</v>
      </c>
      <c r="AK228" t="e">
        <f>VLOOKUP($AC228,'oddspedia-matches'!$A:$AD,AK$2,0)</f>
        <v>#N/A</v>
      </c>
      <c r="AL228" t="e">
        <f>VLOOKUP($AC228,'oddspedia-matches'!$A:$AD,AL$2,0)</f>
        <v>#N/A</v>
      </c>
      <c r="AM228" t="e">
        <f>VLOOKUP($AC228,'oddspedia-matches'!$A:$AD,AM$2,0)</f>
        <v>#N/A</v>
      </c>
      <c r="AN228" t="e">
        <f>VLOOKUP($AC228,'oddspedia-matches'!$A:$AD,AN$2,0)</f>
        <v>#N/A</v>
      </c>
      <c r="AO228" t="e">
        <f>VLOOKUP($AC228,'oddspedia-matches'!$A:$AD,AO$2,0)</f>
        <v>#N/A</v>
      </c>
      <c r="AP228" t="e">
        <f>VLOOKUP($AC228,'oddspedia-matches'!$A:$AD,AP$2,0)</f>
        <v>#N/A</v>
      </c>
      <c r="AQ228" t="e">
        <f>VLOOKUP($AC228,'oddspedia-matches'!$A:$AD,AQ$2,0)</f>
        <v>#N/A</v>
      </c>
      <c r="AR228" t="e">
        <f>VLOOKUP($AC228,'oddspedia-matches'!$A:$AD,AR$2,0)</f>
        <v>#N/A</v>
      </c>
      <c r="AS228" t="e">
        <f>VLOOKUP($AC228,'oddspedia-matches'!$A:$AD,AS$2,0)</f>
        <v>#N/A</v>
      </c>
      <c r="AT228" t="e">
        <f>VLOOKUP($AC228,'oddspedia-matches'!$A:$AD,AT$2,0)</f>
        <v>#N/A</v>
      </c>
    </row>
    <row r="229" spans="2:46" x14ac:dyDescent="0.25">
      <c r="B229" s="17" t="s">
        <v>656</v>
      </c>
      <c r="C229" s="8" t="s">
        <v>508</v>
      </c>
      <c r="D229" s="18">
        <v>0.625</v>
      </c>
      <c r="E229" s="8" t="s">
        <v>690</v>
      </c>
      <c r="F229" s="8" t="s">
        <v>691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s="8">
        <v>50</v>
      </c>
      <c r="Y229" s="8">
        <v>14.3</v>
      </c>
      <c r="Z229" s="19"/>
      <c r="AA229" t="str">
        <f>VLOOKUP(E229,'Transform table'!A:B,2,0)</f>
        <v>Hapoel Beer Sheva</v>
      </c>
      <c r="AB229" t="e">
        <f>VLOOKUP(F229,'Transform table'!A:B,2,0)</f>
        <v>#N/A</v>
      </c>
      <c r="AC229" t="e">
        <f t="shared" si="3"/>
        <v>#N/A</v>
      </c>
      <c r="AD229" t="e">
        <f>VLOOKUP($AC229,'oddspedia-matches'!$A:$AD,AD$2,0)</f>
        <v>#N/A</v>
      </c>
      <c r="AE229" t="e">
        <f>VLOOKUP($AC229,'oddspedia-matches'!$A:$AD,AE$2,0)</f>
        <v>#N/A</v>
      </c>
      <c r="AF229" t="e">
        <f>VLOOKUP($AC229,'oddspedia-matches'!$A:$AD,AF$2,0)</f>
        <v>#N/A</v>
      </c>
      <c r="AG229" t="e">
        <f>VLOOKUP($AC229,'oddspedia-matches'!$A:$AD,AG$2,0)</f>
        <v>#N/A</v>
      </c>
      <c r="AH229" t="e">
        <f>VLOOKUP($AC229,'oddspedia-matches'!$A:$AD,AH$2,0)</f>
        <v>#N/A</v>
      </c>
      <c r="AI229" t="e">
        <f>VLOOKUP($AC229,'oddspedia-matches'!$A:$AD,AI$2,0)</f>
        <v>#N/A</v>
      </c>
      <c r="AJ229" t="e">
        <f>VLOOKUP($AC229,'oddspedia-matches'!$A:$AD,AJ$2,0)</f>
        <v>#N/A</v>
      </c>
      <c r="AK229" t="e">
        <f>VLOOKUP($AC229,'oddspedia-matches'!$A:$AD,AK$2,0)</f>
        <v>#N/A</v>
      </c>
      <c r="AL229" t="e">
        <f>VLOOKUP($AC229,'oddspedia-matches'!$A:$AD,AL$2,0)</f>
        <v>#N/A</v>
      </c>
      <c r="AM229" t="e">
        <f>VLOOKUP($AC229,'oddspedia-matches'!$A:$AD,AM$2,0)</f>
        <v>#N/A</v>
      </c>
      <c r="AN229" t="e">
        <f>VLOOKUP($AC229,'oddspedia-matches'!$A:$AD,AN$2,0)</f>
        <v>#N/A</v>
      </c>
      <c r="AO229" t="e">
        <f>VLOOKUP($AC229,'oddspedia-matches'!$A:$AD,AO$2,0)</f>
        <v>#N/A</v>
      </c>
      <c r="AP229" t="e">
        <f>VLOOKUP($AC229,'oddspedia-matches'!$A:$AD,AP$2,0)</f>
        <v>#N/A</v>
      </c>
      <c r="AQ229" t="e">
        <f>VLOOKUP($AC229,'oddspedia-matches'!$A:$AD,AQ$2,0)</f>
        <v>#N/A</v>
      </c>
      <c r="AR229" t="e">
        <f>VLOOKUP($AC229,'oddspedia-matches'!$A:$AD,AR$2,0)</f>
        <v>#N/A</v>
      </c>
      <c r="AS229" t="e">
        <f>VLOOKUP($AC229,'oddspedia-matches'!$A:$AD,AS$2,0)</f>
        <v>#N/A</v>
      </c>
      <c r="AT229" t="e">
        <f>VLOOKUP($AC229,'oddspedia-matches'!$A:$AD,AT$2,0)</f>
        <v>#N/A</v>
      </c>
    </row>
    <row r="230" spans="2:46" x14ac:dyDescent="0.25">
      <c r="B230" s="9" t="s">
        <v>500</v>
      </c>
      <c r="C230" s="7" t="s">
        <v>508</v>
      </c>
      <c r="D230" s="20">
        <v>0.625</v>
      </c>
      <c r="E230" s="7" t="s">
        <v>692</v>
      </c>
      <c r="F230" s="7" t="s">
        <v>693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s="7">
        <v>25</v>
      </c>
      <c r="Y230" s="7">
        <v>22.2</v>
      </c>
      <c r="Z230" s="21"/>
      <c r="AA230" t="str">
        <f>VLOOKUP(E230,'Transform table'!A:B,2,0)</f>
        <v>Sporting Cristal</v>
      </c>
      <c r="AB230" t="e">
        <f>VLOOKUP(F230,'Transform table'!A:B,2,0)</f>
        <v>#N/A</v>
      </c>
      <c r="AC230" t="e">
        <f t="shared" si="3"/>
        <v>#N/A</v>
      </c>
      <c r="AD230" t="e">
        <f>VLOOKUP($AC230,'oddspedia-matches'!$A:$AD,AD$2,0)</f>
        <v>#N/A</v>
      </c>
      <c r="AE230" t="e">
        <f>VLOOKUP($AC230,'oddspedia-matches'!$A:$AD,AE$2,0)</f>
        <v>#N/A</v>
      </c>
      <c r="AF230" t="e">
        <f>VLOOKUP($AC230,'oddspedia-matches'!$A:$AD,AF$2,0)</f>
        <v>#N/A</v>
      </c>
      <c r="AG230" t="e">
        <f>VLOOKUP($AC230,'oddspedia-matches'!$A:$AD,AG$2,0)</f>
        <v>#N/A</v>
      </c>
      <c r="AH230" t="e">
        <f>VLOOKUP($AC230,'oddspedia-matches'!$A:$AD,AH$2,0)</f>
        <v>#N/A</v>
      </c>
      <c r="AI230" t="e">
        <f>VLOOKUP($AC230,'oddspedia-matches'!$A:$AD,AI$2,0)</f>
        <v>#N/A</v>
      </c>
      <c r="AJ230" t="e">
        <f>VLOOKUP($AC230,'oddspedia-matches'!$A:$AD,AJ$2,0)</f>
        <v>#N/A</v>
      </c>
      <c r="AK230" t="e">
        <f>VLOOKUP($AC230,'oddspedia-matches'!$A:$AD,AK$2,0)</f>
        <v>#N/A</v>
      </c>
      <c r="AL230" t="e">
        <f>VLOOKUP($AC230,'oddspedia-matches'!$A:$AD,AL$2,0)</f>
        <v>#N/A</v>
      </c>
      <c r="AM230" t="e">
        <f>VLOOKUP($AC230,'oddspedia-matches'!$A:$AD,AM$2,0)</f>
        <v>#N/A</v>
      </c>
      <c r="AN230" t="e">
        <f>VLOOKUP($AC230,'oddspedia-matches'!$A:$AD,AN$2,0)</f>
        <v>#N/A</v>
      </c>
      <c r="AO230" t="e">
        <f>VLOOKUP($AC230,'oddspedia-matches'!$A:$AD,AO$2,0)</f>
        <v>#N/A</v>
      </c>
      <c r="AP230" t="e">
        <f>VLOOKUP($AC230,'oddspedia-matches'!$A:$AD,AP$2,0)</f>
        <v>#N/A</v>
      </c>
      <c r="AQ230" t="e">
        <f>VLOOKUP($AC230,'oddspedia-matches'!$A:$AD,AQ$2,0)</f>
        <v>#N/A</v>
      </c>
      <c r="AR230" t="e">
        <f>VLOOKUP($AC230,'oddspedia-matches'!$A:$AD,AR$2,0)</f>
        <v>#N/A</v>
      </c>
      <c r="AS230" t="e">
        <f>VLOOKUP($AC230,'oddspedia-matches'!$A:$AD,AS$2,0)</f>
        <v>#N/A</v>
      </c>
      <c r="AT230" t="e">
        <f>VLOOKUP($AC230,'oddspedia-matches'!$A:$AD,AT$2,0)</f>
        <v>#N/A</v>
      </c>
    </row>
    <row r="231" spans="2:46" x14ac:dyDescent="0.25">
      <c r="B231" s="17" t="s">
        <v>504</v>
      </c>
      <c r="C231" s="8" t="s">
        <v>508</v>
      </c>
      <c r="D231" s="18">
        <v>0.625</v>
      </c>
      <c r="E231" s="8" t="s">
        <v>694</v>
      </c>
      <c r="F231" s="8" t="s">
        <v>695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s="8">
        <v>22.2</v>
      </c>
      <c r="Y231" s="8">
        <v>10</v>
      </c>
      <c r="Z231" s="19"/>
      <c r="AA231" t="str">
        <f>VLOOKUP(E231,'Transform table'!A:B,2,0)</f>
        <v>Defensor Sporting</v>
      </c>
      <c r="AB231" t="str">
        <f>VLOOKUP(F231,'Transform table'!A:B,2,0)</f>
        <v>Cerro</v>
      </c>
      <c r="AC231" t="str">
        <f t="shared" si="3"/>
        <v>25/07/2026Defensor SportingCerro</v>
      </c>
      <c r="AD231" t="e">
        <f>VLOOKUP($AC231,'oddspedia-matches'!$A:$AD,AD$2,0)</f>
        <v>#N/A</v>
      </c>
      <c r="AE231" t="e">
        <f>VLOOKUP($AC231,'oddspedia-matches'!$A:$AD,AE$2,0)</f>
        <v>#N/A</v>
      </c>
      <c r="AF231" t="e">
        <f>VLOOKUP($AC231,'oddspedia-matches'!$A:$AD,AF$2,0)</f>
        <v>#N/A</v>
      </c>
      <c r="AG231" t="e">
        <f>VLOOKUP($AC231,'oddspedia-matches'!$A:$AD,AG$2,0)</f>
        <v>#N/A</v>
      </c>
      <c r="AH231" t="e">
        <f>VLOOKUP($AC231,'oddspedia-matches'!$A:$AD,AH$2,0)</f>
        <v>#N/A</v>
      </c>
      <c r="AI231" t="e">
        <f>VLOOKUP($AC231,'oddspedia-matches'!$A:$AD,AI$2,0)</f>
        <v>#N/A</v>
      </c>
      <c r="AJ231" t="e">
        <f>VLOOKUP($AC231,'oddspedia-matches'!$A:$AD,AJ$2,0)</f>
        <v>#N/A</v>
      </c>
      <c r="AK231" t="e">
        <f>VLOOKUP($AC231,'oddspedia-matches'!$A:$AD,AK$2,0)</f>
        <v>#N/A</v>
      </c>
      <c r="AL231" t="e">
        <f>VLOOKUP($AC231,'oddspedia-matches'!$A:$AD,AL$2,0)</f>
        <v>#N/A</v>
      </c>
      <c r="AM231" t="e">
        <f>VLOOKUP($AC231,'oddspedia-matches'!$A:$AD,AM$2,0)</f>
        <v>#N/A</v>
      </c>
      <c r="AN231" t="e">
        <f>VLOOKUP($AC231,'oddspedia-matches'!$A:$AD,AN$2,0)</f>
        <v>#N/A</v>
      </c>
      <c r="AO231" t="e">
        <f>VLOOKUP($AC231,'oddspedia-matches'!$A:$AD,AO$2,0)</f>
        <v>#N/A</v>
      </c>
      <c r="AP231" t="e">
        <f>VLOOKUP($AC231,'oddspedia-matches'!$A:$AD,AP$2,0)</f>
        <v>#N/A</v>
      </c>
      <c r="AQ231" t="e">
        <f>VLOOKUP($AC231,'oddspedia-matches'!$A:$AD,AQ$2,0)</f>
        <v>#N/A</v>
      </c>
      <c r="AR231" t="e">
        <f>VLOOKUP($AC231,'oddspedia-matches'!$A:$AD,AR$2,0)</f>
        <v>#N/A</v>
      </c>
      <c r="AS231" t="e">
        <f>VLOOKUP($AC231,'oddspedia-matches'!$A:$AD,AS$2,0)</f>
        <v>#N/A</v>
      </c>
      <c r="AT231" t="e">
        <f>VLOOKUP($AC231,'oddspedia-matches'!$A:$AD,AT$2,0)</f>
        <v>#N/A</v>
      </c>
    </row>
    <row r="232" spans="2:46" x14ac:dyDescent="0.25">
      <c r="B232" s="9" t="s">
        <v>495</v>
      </c>
      <c r="C232" s="7" t="s">
        <v>508</v>
      </c>
      <c r="D232" s="20">
        <v>0.64583333333333337</v>
      </c>
      <c r="E232" s="7" t="s">
        <v>696</v>
      </c>
      <c r="F232" s="7" t="s">
        <v>697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s="7">
        <v>27.3</v>
      </c>
      <c r="Y232" s="7">
        <v>36.4</v>
      </c>
      <c r="Z232" s="21"/>
      <c r="AA232" t="str">
        <f>VLOOKUP(E232,'Transform table'!A:B,2,0)</f>
        <v>Loughgall FC</v>
      </c>
      <c r="AB232" t="e">
        <f>VLOOKUP(F232,'Transform table'!A:B,2,0)</f>
        <v>#N/A</v>
      </c>
      <c r="AC232" t="e">
        <f t="shared" si="3"/>
        <v>#N/A</v>
      </c>
      <c r="AD232" t="e">
        <f>VLOOKUP($AC232,'oddspedia-matches'!$A:$AD,AD$2,0)</f>
        <v>#N/A</v>
      </c>
      <c r="AE232" t="e">
        <f>VLOOKUP($AC232,'oddspedia-matches'!$A:$AD,AE$2,0)</f>
        <v>#N/A</v>
      </c>
      <c r="AF232" t="e">
        <f>VLOOKUP($AC232,'oddspedia-matches'!$A:$AD,AF$2,0)</f>
        <v>#N/A</v>
      </c>
      <c r="AG232" t="e">
        <f>VLOOKUP($AC232,'oddspedia-matches'!$A:$AD,AG$2,0)</f>
        <v>#N/A</v>
      </c>
      <c r="AH232" t="e">
        <f>VLOOKUP($AC232,'oddspedia-matches'!$A:$AD,AH$2,0)</f>
        <v>#N/A</v>
      </c>
      <c r="AI232" t="e">
        <f>VLOOKUP($AC232,'oddspedia-matches'!$A:$AD,AI$2,0)</f>
        <v>#N/A</v>
      </c>
      <c r="AJ232" t="e">
        <f>VLOOKUP($AC232,'oddspedia-matches'!$A:$AD,AJ$2,0)</f>
        <v>#N/A</v>
      </c>
      <c r="AK232" t="e">
        <f>VLOOKUP($AC232,'oddspedia-matches'!$A:$AD,AK$2,0)</f>
        <v>#N/A</v>
      </c>
      <c r="AL232" t="e">
        <f>VLOOKUP($AC232,'oddspedia-matches'!$A:$AD,AL$2,0)</f>
        <v>#N/A</v>
      </c>
      <c r="AM232" t="e">
        <f>VLOOKUP($AC232,'oddspedia-matches'!$A:$AD,AM$2,0)</f>
        <v>#N/A</v>
      </c>
      <c r="AN232" t="e">
        <f>VLOOKUP($AC232,'oddspedia-matches'!$A:$AD,AN$2,0)</f>
        <v>#N/A</v>
      </c>
      <c r="AO232" t="e">
        <f>VLOOKUP($AC232,'oddspedia-matches'!$A:$AD,AO$2,0)</f>
        <v>#N/A</v>
      </c>
      <c r="AP232" t="e">
        <f>VLOOKUP($AC232,'oddspedia-matches'!$A:$AD,AP$2,0)</f>
        <v>#N/A</v>
      </c>
      <c r="AQ232" t="e">
        <f>VLOOKUP($AC232,'oddspedia-matches'!$A:$AD,AQ$2,0)</f>
        <v>#N/A</v>
      </c>
      <c r="AR232" t="e">
        <f>VLOOKUP($AC232,'oddspedia-matches'!$A:$AD,AR$2,0)</f>
        <v>#N/A</v>
      </c>
      <c r="AS232" t="e">
        <f>VLOOKUP($AC232,'oddspedia-matches'!$A:$AD,AS$2,0)</f>
        <v>#N/A</v>
      </c>
      <c r="AT232" t="e">
        <f>VLOOKUP($AC232,'oddspedia-matches'!$A:$AD,AT$2,0)</f>
        <v>#N/A</v>
      </c>
    </row>
    <row r="233" spans="2:46" x14ac:dyDescent="0.25">
      <c r="B233" s="17" t="s">
        <v>496</v>
      </c>
      <c r="C233" s="8" t="s">
        <v>508</v>
      </c>
      <c r="D233" s="18">
        <v>0.65625</v>
      </c>
      <c r="E233" s="8" t="s">
        <v>698</v>
      </c>
      <c r="F233" s="8" t="s">
        <v>699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s="8">
        <v>25</v>
      </c>
      <c r="Y233" s="8">
        <v>25</v>
      </c>
      <c r="Z233" s="19"/>
      <c r="AA233" t="str">
        <f>VLOOKUP(E233,'Transform table'!A:B,2,0)</f>
        <v>Shelbourne</v>
      </c>
      <c r="AB233" t="e">
        <f>VLOOKUP(F233,'Transform table'!A:B,2,0)</f>
        <v>#N/A</v>
      </c>
      <c r="AC233" t="e">
        <f t="shared" si="3"/>
        <v>#N/A</v>
      </c>
      <c r="AD233" t="e">
        <f>VLOOKUP($AC233,'oddspedia-matches'!$A:$AD,AD$2,0)</f>
        <v>#N/A</v>
      </c>
      <c r="AE233" t="e">
        <f>VLOOKUP($AC233,'oddspedia-matches'!$A:$AD,AE$2,0)</f>
        <v>#N/A</v>
      </c>
      <c r="AF233" t="e">
        <f>VLOOKUP($AC233,'oddspedia-matches'!$A:$AD,AF$2,0)</f>
        <v>#N/A</v>
      </c>
      <c r="AG233" t="e">
        <f>VLOOKUP($AC233,'oddspedia-matches'!$A:$AD,AG$2,0)</f>
        <v>#N/A</v>
      </c>
      <c r="AH233" t="e">
        <f>VLOOKUP($AC233,'oddspedia-matches'!$A:$AD,AH$2,0)</f>
        <v>#N/A</v>
      </c>
      <c r="AI233" t="e">
        <f>VLOOKUP($AC233,'oddspedia-matches'!$A:$AD,AI$2,0)</f>
        <v>#N/A</v>
      </c>
      <c r="AJ233" t="e">
        <f>VLOOKUP($AC233,'oddspedia-matches'!$A:$AD,AJ$2,0)</f>
        <v>#N/A</v>
      </c>
      <c r="AK233" t="e">
        <f>VLOOKUP($AC233,'oddspedia-matches'!$A:$AD,AK$2,0)</f>
        <v>#N/A</v>
      </c>
      <c r="AL233" t="e">
        <f>VLOOKUP($AC233,'oddspedia-matches'!$A:$AD,AL$2,0)</f>
        <v>#N/A</v>
      </c>
      <c r="AM233" t="e">
        <f>VLOOKUP($AC233,'oddspedia-matches'!$A:$AD,AM$2,0)</f>
        <v>#N/A</v>
      </c>
      <c r="AN233" t="e">
        <f>VLOOKUP($AC233,'oddspedia-matches'!$A:$AD,AN$2,0)</f>
        <v>#N/A</v>
      </c>
      <c r="AO233" t="e">
        <f>VLOOKUP($AC233,'oddspedia-matches'!$A:$AD,AO$2,0)</f>
        <v>#N/A</v>
      </c>
      <c r="AP233" t="e">
        <f>VLOOKUP($AC233,'oddspedia-matches'!$A:$AD,AP$2,0)</f>
        <v>#N/A</v>
      </c>
      <c r="AQ233" t="e">
        <f>VLOOKUP($AC233,'oddspedia-matches'!$A:$AD,AQ$2,0)</f>
        <v>#N/A</v>
      </c>
      <c r="AR233" t="e">
        <f>VLOOKUP($AC233,'oddspedia-matches'!$A:$AD,AR$2,0)</f>
        <v>#N/A</v>
      </c>
      <c r="AS233" t="e">
        <f>VLOOKUP($AC233,'oddspedia-matches'!$A:$AD,AS$2,0)</f>
        <v>#N/A</v>
      </c>
      <c r="AT233" t="e">
        <f>VLOOKUP($AC233,'oddspedia-matches'!$A:$AD,AT$2,0)</f>
        <v>#N/A</v>
      </c>
    </row>
    <row r="234" spans="2:46" x14ac:dyDescent="0.25">
      <c r="B234" s="9" t="s">
        <v>665</v>
      </c>
      <c r="C234" s="7" t="s">
        <v>508</v>
      </c>
      <c r="D234" s="20">
        <v>0.66666666666666663</v>
      </c>
      <c r="E234" s="7" t="s">
        <v>700</v>
      </c>
      <c r="F234" s="7" t="s">
        <v>701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s="7" t="s">
        <v>22</v>
      </c>
      <c r="Y234" s="7" t="s">
        <v>22</v>
      </c>
      <c r="Z234" s="21"/>
      <c r="AA234" t="str">
        <f>VLOOKUP(E234,'Transform table'!A:B,2,0)</f>
        <v>Atletico Argentino</v>
      </c>
      <c r="AB234">
        <f>VLOOKUP(F234,'Transform table'!A:B,2,0)</f>
        <v>0</v>
      </c>
      <c r="AC234" t="str">
        <f t="shared" si="3"/>
        <v>25/07/2026Atletico Argentino0</v>
      </c>
      <c r="AD234" t="e">
        <f>VLOOKUP($AC234,'oddspedia-matches'!$A:$AD,AD$2,0)</f>
        <v>#N/A</v>
      </c>
      <c r="AE234" t="e">
        <f>VLOOKUP($AC234,'oddspedia-matches'!$A:$AD,AE$2,0)</f>
        <v>#N/A</v>
      </c>
      <c r="AF234" t="e">
        <f>VLOOKUP($AC234,'oddspedia-matches'!$A:$AD,AF$2,0)</f>
        <v>#N/A</v>
      </c>
      <c r="AG234" t="e">
        <f>VLOOKUP($AC234,'oddspedia-matches'!$A:$AD,AG$2,0)</f>
        <v>#N/A</v>
      </c>
      <c r="AH234" t="e">
        <f>VLOOKUP($AC234,'oddspedia-matches'!$A:$AD,AH$2,0)</f>
        <v>#N/A</v>
      </c>
      <c r="AI234" t="e">
        <f>VLOOKUP($AC234,'oddspedia-matches'!$A:$AD,AI$2,0)</f>
        <v>#N/A</v>
      </c>
      <c r="AJ234" t="e">
        <f>VLOOKUP($AC234,'oddspedia-matches'!$A:$AD,AJ$2,0)</f>
        <v>#N/A</v>
      </c>
      <c r="AK234" t="e">
        <f>VLOOKUP($AC234,'oddspedia-matches'!$A:$AD,AK$2,0)</f>
        <v>#N/A</v>
      </c>
      <c r="AL234" t="e">
        <f>VLOOKUP($AC234,'oddspedia-matches'!$A:$AD,AL$2,0)</f>
        <v>#N/A</v>
      </c>
      <c r="AM234" t="e">
        <f>VLOOKUP($AC234,'oddspedia-matches'!$A:$AD,AM$2,0)</f>
        <v>#N/A</v>
      </c>
      <c r="AN234" t="e">
        <f>VLOOKUP($AC234,'oddspedia-matches'!$A:$AD,AN$2,0)</f>
        <v>#N/A</v>
      </c>
      <c r="AO234" t="e">
        <f>VLOOKUP($AC234,'oddspedia-matches'!$A:$AD,AO$2,0)</f>
        <v>#N/A</v>
      </c>
      <c r="AP234" t="e">
        <f>VLOOKUP($AC234,'oddspedia-matches'!$A:$AD,AP$2,0)</f>
        <v>#N/A</v>
      </c>
      <c r="AQ234" t="e">
        <f>VLOOKUP($AC234,'oddspedia-matches'!$A:$AD,AQ$2,0)</f>
        <v>#N/A</v>
      </c>
      <c r="AR234" t="e">
        <f>VLOOKUP($AC234,'oddspedia-matches'!$A:$AD,AR$2,0)</f>
        <v>#N/A</v>
      </c>
      <c r="AS234" t="e">
        <f>VLOOKUP($AC234,'oddspedia-matches'!$A:$AD,AS$2,0)</f>
        <v>#N/A</v>
      </c>
      <c r="AT234" t="e">
        <f>VLOOKUP($AC234,'oddspedia-matches'!$A:$AD,AT$2,0)</f>
        <v>#N/A</v>
      </c>
    </row>
    <row r="235" spans="2:46" x14ac:dyDescent="0.25">
      <c r="B235" s="17" t="s">
        <v>475</v>
      </c>
      <c r="C235" s="8" t="s">
        <v>508</v>
      </c>
      <c r="D235" s="18">
        <v>0.66666666666666663</v>
      </c>
      <c r="E235" s="8" t="s">
        <v>702</v>
      </c>
      <c r="F235" s="8" t="s">
        <v>263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s="8">
        <v>0</v>
      </c>
      <c r="Y235" s="8">
        <v>0</v>
      </c>
      <c r="Z235" s="19"/>
      <c r="AA235">
        <f>VLOOKUP(E235,'Transform table'!A:B,2,0)</f>
        <v>0</v>
      </c>
      <c r="AB235" t="str">
        <f>VLOOKUP(F235,'Transform table'!A:B,2,0)</f>
        <v>SA Bulo Bulo</v>
      </c>
      <c r="AC235" t="str">
        <f t="shared" si="3"/>
        <v>25/07/20260SA Bulo Bulo</v>
      </c>
      <c r="AD235" t="e">
        <f>VLOOKUP($AC235,'oddspedia-matches'!$A:$AD,AD$2,0)</f>
        <v>#N/A</v>
      </c>
      <c r="AE235" t="e">
        <f>VLOOKUP($AC235,'oddspedia-matches'!$A:$AD,AE$2,0)</f>
        <v>#N/A</v>
      </c>
      <c r="AF235" t="e">
        <f>VLOOKUP($AC235,'oddspedia-matches'!$A:$AD,AF$2,0)</f>
        <v>#N/A</v>
      </c>
      <c r="AG235" t="e">
        <f>VLOOKUP($AC235,'oddspedia-matches'!$A:$AD,AG$2,0)</f>
        <v>#N/A</v>
      </c>
      <c r="AH235" t="e">
        <f>VLOOKUP($AC235,'oddspedia-matches'!$A:$AD,AH$2,0)</f>
        <v>#N/A</v>
      </c>
      <c r="AI235" t="e">
        <f>VLOOKUP($AC235,'oddspedia-matches'!$A:$AD,AI$2,0)</f>
        <v>#N/A</v>
      </c>
      <c r="AJ235" t="e">
        <f>VLOOKUP($AC235,'oddspedia-matches'!$A:$AD,AJ$2,0)</f>
        <v>#N/A</v>
      </c>
      <c r="AK235" t="e">
        <f>VLOOKUP($AC235,'oddspedia-matches'!$A:$AD,AK$2,0)</f>
        <v>#N/A</v>
      </c>
      <c r="AL235" t="e">
        <f>VLOOKUP($AC235,'oddspedia-matches'!$A:$AD,AL$2,0)</f>
        <v>#N/A</v>
      </c>
      <c r="AM235" t="e">
        <f>VLOOKUP($AC235,'oddspedia-matches'!$A:$AD,AM$2,0)</f>
        <v>#N/A</v>
      </c>
      <c r="AN235" t="e">
        <f>VLOOKUP($AC235,'oddspedia-matches'!$A:$AD,AN$2,0)</f>
        <v>#N/A</v>
      </c>
      <c r="AO235" t="e">
        <f>VLOOKUP($AC235,'oddspedia-matches'!$A:$AD,AO$2,0)</f>
        <v>#N/A</v>
      </c>
      <c r="AP235" t="e">
        <f>VLOOKUP($AC235,'oddspedia-matches'!$A:$AD,AP$2,0)</f>
        <v>#N/A</v>
      </c>
      <c r="AQ235" t="e">
        <f>VLOOKUP($AC235,'oddspedia-matches'!$A:$AD,AQ$2,0)</f>
        <v>#N/A</v>
      </c>
      <c r="AR235" t="e">
        <f>VLOOKUP($AC235,'oddspedia-matches'!$A:$AD,AR$2,0)</f>
        <v>#N/A</v>
      </c>
      <c r="AS235" t="e">
        <f>VLOOKUP($AC235,'oddspedia-matches'!$A:$AD,AS$2,0)</f>
        <v>#N/A</v>
      </c>
      <c r="AT235" t="e">
        <f>VLOOKUP($AC235,'oddspedia-matches'!$A:$AD,AT$2,0)</f>
        <v>#N/A</v>
      </c>
    </row>
    <row r="236" spans="2:46" x14ac:dyDescent="0.25">
      <c r="B236" s="9" t="s">
        <v>703</v>
      </c>
      <c r="C236" s="7" t="s">
        <v>508</v>
      </c>
      <c r="D236" s="20">
        <v>0.66666666666666663</v>
      </c>
      <c r="E236" s="7" t="s">
        <v>704</v>
      </c>
      <c r="F236" s="7" t="s">
        <v>705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s="7" t="s">
        <v>22</v>
      </c>
      <c r="Y236" s="7" t="s">
        <v>22</v>
      </c>
      <c r="Z236" s="21"/>
      <c r="AA236">
        <f>VLOOKUP(E236,'Transform table'!A:B,2,0)</f>
        <v>0</v>
      </c>
      <c r="AB236" t="e">
        <f>VLOOKUP(F236,'Transform table'!A:B,2,0)</f>
        <v>#N/A</v>
      </c>
      <c r="AC236" t="e">
        <f t="shared" si="3"/>
        <v>#N/A</v>
      </c>
      <c r="AD236" t="e">
        <f>VLOOKUP($AC236,'oddspedia-matches'!$A:$AD,AD$2,0)</f>
        <v>#N/A</v>
      </c>
      <c r="AE236" t="e">
        <f>VLOOKUP($AC236,'oddspedia-matches'!$A:$AD,AE$2,0)</f>
        <v>#N/A</v>
      </c>
      <c r="AF236" t="e">
        <f>VLOOKUP($AC236,'oddspedia-matches'!$A:$AD,AF$2,0)</f>
        <v>#N/A</v>
      </c>
      <c r="AG236" t="e">
        <f>VLOOKUP($AC236,'oddspedia-matches'!$A:$AD,AG$2,0)</f>
        <v>#N/A</v>
      </c>
      <c r="AH236" t="e">
        <f>VLOOKUP($AC236,'oddspedia-matches'!$A:$AD,AH$2,0)</f>
        <v>#N/A</v>
      </c>
      <c r="AI236" t="e">
        <f>VLOOKUP($AC236,'oddspedia-matches'!$A:$AD,AI$2,0)</f>
        <v>#N/A</v>
      </c>
      <c r="AJ236" t="e">
        <f>VLOOKUP($AC236,'oddspedia-matches'!$A:$AD,AJ$2,0)</f>
        <v>#N/A</v>
      </c>
      <c r="AK236" t="e">
        <f>VLOOKUP($AC236,'oddspedia-matches'!$A:$AD,AK$2,0)</f>
        <v>#N/A</v>
      </c>
      <c r="AL236" t="e">
        <f>VLOOKUP($AC236,'oddspedia-matches'!$A:$AD,AL$2,0)</f>
        <v>#N/A</v>
      </c>
      <c r="AM236" t="e">
        <f>VLOOKUP($AC236,'oddspedia-matches'!$A:$AD,AM$2,0)</f>
        <v>#N/A</v>
      </c>
      <c r="AN236" t="e">
        <f>VLOOKUP($AC236,'oddspedia-matches'!$A:$AD,AN$2,0)</f>
        <v>#N/A</v>
      </c>
      <c r="AO236" t="e">
        <f>VLOOKUP($AC236,'oddspedia-matches'!$A:$AD,AO$2,0)</f>
        <v>#N/A</v>
      </c>
      <c r="AP236" t="e">
        <f>VLOOKUP($AC236,'oddspedia-matches'!$A:$AD,AP$2,0)</f>
        <v>#N/A</v>
      </c>
      <c r="AQ236" t="e">
        <f>VLOOKUP($AC236,'oddspedia-matches'!$A:$AD,AQ$2,0)</f>
        <v>#N/A</v>
      </c>
      <c r="AR236" t="e">
        <f>VLOOKUP($AC236,'oddspedia-matches'!$A:$AD,AR$2,0)</f>
        <v>#N/A</v>
      </c>
      <c r="AS236" t="e">
        <f>VLOOKUP($AC236,'oddspedia-matches'!$A:$AD,AS$2,0)</f>
        <v>#N/A</v>
      </c>
      <c r="AT236" t="e">
        <f>VLOOKUP($AC236,'oddspedia-matches'!$A:$AD,AT$2,0)</f>
        <v>#N/A</v>
      </c>
    </row>
    <row r="237" spans="2:46" x14ac:dyDescent="0.25">
      <c r="B237" s="17" t="s">
        <v>703</v>
      </c>
      <c r="C237" s="8" t="s">
        <v>508</v>
      </c>
      <c r="D237" s="18">
        <v>0.66666666666666663</v>
      </c>
      <c r="E237" s="8" t="s">
        <v>706</v>
      </c>
      <c r="F237" s="8" t="s">
        <v>707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s="8" t="s">
        <v>22</v>
      </c>
      <c r="Y237" s="8" t="s">
        <v>22</v>
      </c>
      <c r="Z237" s="19"/>
      <c r="AA237" t="str">
        <f>VLOOKUP(E237,'Transform table'!A:B,2,0)</f>
        <v>Portuguesa RJ</v>
      </c>
      <c r="AB237" t="e">
        <f>VLOOKUP(F237,'Transform table'!A:B,2,0)</f>
        <v>#N/A</v>
      </c>
      <c r="AC237" t="e">
        <f t="shared" si="3"/>
        <v>#N/A</v>
      </c>
      <c r="AD237" t="e">
        <f>VLOOKUP($AC237,'oddspedia-matches'!$A:$AD,AD$2,0)</f>
        <v>#N/A</v>
      </c>
      <c r="AE237" t="e">
        <f>VLOOKUP($AC237,'oddspedia-matches'!$A:$AD,AE$2,0)</f>
        <v>#N/A</v>
      </c>
      <c r="AF237" t="e">
        <f>VLOOKUP($AC237,'oddspedia-matches'!$A:$AD,AF$2,0)</f>
        <v>#N/A</v>
      </c>
      <c r="AG237" t="e">
        <f>VLOOKUP($AC237,'oddspedia-matches'!$A:$AD,AG$2,0)</f>
        <v>#N/A</v>
      </c>
      <c r="AH237" t="e">
        <f>VLOOKUP($AC237,'oddspedia-matches'!$A:$AD,AH$2,0)</f>
        <v>#N/A</v>
      </c>
      <c r="AI237" t="e">
        <f>VLOOKUP($AC237,'oddspedia-matches'!$A:$AD,AI$2,0)</f>
        <v>#N/A</v>
      </c>
      <c r="AJ237" t="e">
        <f>VLOOKUP($AC237,'oddspedia-matches'!$A:$AD,AJ$2,0)</f>
        <v>#N/A</v>
      </c>
      <c r="AK237" t="e">
        <f>VLOOKUP($AC237,'oddspedia-matches'!$A:$AD,AK$2,0)</f>
        <v>#N/A</v>
      </c>
      <c r="AL237" t="e">
        <f>VLOOKUP($AC237,'oddspedia-matches'!$A:$AD,AL$2,0)</f>
        <v>#N/A</v>
      </c>
      <c r="AM237" t="e">
        <f>VLOOKUP($AC237,'oddspedia-matches'!$A:$AD,AM$2,0)</f>
        <v>#N/A</v>
      </c>
      <c r="AN237" t="e">
        <f>VLOOKUP($AC237,'oddspedia-matches'!$A:$AD,AN$2,0)</f>
        <v>#N/A</v>
      </c>
      <c r="AO237" t="e">
        <f>VLOOKUP($AC237,'oddspedia-matches'!$A:$AD,AO$2,0)</f>
        <v>#N/A</v>
      </c>
      <c r="AP237" t="e">
        <f>VLOOKUP($AC237,'oddspedia-matches'!$A:$AD,AP$2,0)</f>
        <v>#N/A</v>
      </c>
      <c r="AQ237" t="e">
        <f>VLOOKUP($AC237,'oddspedia-matches'!$A:$AD,AQ$2,0)</f>
        <v>#N/A</v>
      </c>
      <c r="AR237" t="e">
        <f>VLOOKUP($AC237,'oddspedia-matches'!$A:$AD,AR$2,0)</f>
        <v>#N/A</v>
      </c>
      <c r="AS237" t="e">
        <f>VLOOKUP($AC237,'oddspedia-matches'!$A:$AD,AS$2,0)</f>
        <v>#N/A</v>
      </c>
      <c r="AT237" t="e">
        <f>VLOOKUP($AC237,'oddspedia-matches'!$A:$AD,AT$2,0)</f>
        <v>#N/A</v>
      </c>
    </row>
    <row r="238" spans="2:46" x14ac:dyDescent="0.25">
      <c r="B238" s="9" t="s">
        <v>503</v>
      </c>
      <c r="C238" s="7" t="s">
        <v>508</v>
      </c>
      <c r="D238" s="20">
        <v>0.66666666666666663</v>
      </c>
      <c r="E238" s="7" t="s">
        <v>708</v>
      </c>
      <c r="F238" s="7" t="s">
        <v>709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s="7" t="s">
        <v>22</v>
      </c>
      <c r="Y238" s="7" t="s">
        <v>22</v>
      </c>
      <c r="Z238" s="21"/>
      <c r="AA238">
        <f>VLOOKUP(E238,'Transform table'!A:B,2,0)</f>
        <v>0</v>
      </c>
      <c r="AB238" t="e">
        <f>VLOOKUP(F238,'Transform table'!A:B,2,0)</f>
        <v>#N/A</v>
      </c>
      <c r="AC238" t="e">
        <f t="shared" si="3"/>
        <v>#N/A</v>
      </c>
      <c r="AD238" t="e">
        <f>VLOOKUP($AC238,'oddspedia-matches'!$A:$AD,AD$2,0)</f>
        <v>#N/A</v>
      </c>
      <c r="AE238" t="e">
        <f>VLOOKUP($AC238,'oddspedia-matches'!$A:$AD,AE$2,0)</f>
        <v>#N/A</v>
      </c>
      <c r="AF238" t="e">
        <f>VLOOKUP($AC238,'oddspedia-matches'!$A:$AD,AF$2,0)</f>
        <v>#N/A</v>
      </c>
      <c r="AG238" t="e">
        <f>VLOOKUP($AC238,'oddspedia-matches'!$A:$AD,AG$2,0)</f>
        <v>#N/A</v>
      </c>
      <c r="AH238" t="e">
        <f>VLOOKUP($AC238,'oddspedia-matches'!$A:$AD,AH$2,0)</f>
        <v>#N/A</v>
      </c>
      <c r="AI238" t="e">
        <f>VLOOKUP($AC238,'oddspedia-matches'!$A:$AD,AI$2,0)</f>
        <v>#N/A</v>
      </c>
      <c r="AJ238" t="e">
        <f>VLOOKUP($AC238,'oddspedia-matches'!$A:$AD,AJ$2,0)</f>
        <v>#N/A</v>
      </c>
      <c r="AK238" t="e">
        <f>VLOOKUP($AC238,'oddspedia-matches'!$A:$AD,AK$2,0)</f>
        <v>#N/A</v>
      </c>
      <c r="AL238" t="e">
        <f>VLOOKUP($AC238,'oddspedia-matches'!$A:$AD,AL$2,0)</f>
        <v>#N/A</v>
      </c>
      <c r="AM238" t="e">
        <f>VLOOKUP($AC238,'oddspedia-matches'!$A:$AD,AM$2,0)</f>
        <v>#N/A</v>
      </c>
      <c r="AN238" t="e">
        <f>VLOOKUP($AC238,'oddspedia-matches'!$A:$AD,AN$2,0)</f>
        <v>#N/A</v>
      </c>
      <c r="AO238" t="e">
        <f>VLOOKUP($AC238,'oddspedia-matches'!$A:$AD,AO$2,0)</f>
        <v>#N/A</v>
      </c>
      <c r="AP238" t="e">
        <f>VLOOKUP($AC238,'oddspedia-matches'!$A:$AD,AP$2,0)</f>
        <v>#N/A</v>
      </c>
      <c r="AQ238" t="e">
        <f>VLOOKUP($AC238,'oddspedia-matches'!$A:$AD,AQ$2,0)</f>
        <v>#N/A</v>
      </c>
      <c r="AR238" t="e">
        <f>VLOOKUP($AC238,'oddspedia-matches'!$A:$AD,AR$2,0)</f>
        <v>#N/A</v>
      </c>
      <c r="AS238" t="e">
        <f>VLOOKUP($AC238,'oddspedia-matches'!$A:$AD,AS$2,0)</f>
        <v>#N/A</v>
      </c>
      <c r="AT238" t="e">
        <f>VLOOKUP($AC238,'oddspedia-matches'!$A:$AD,AT$2,0)</f>
        <v>#N/A</v>
      </c>
    </row>
    <row r="239" spans="2:46" x14ac:dyDescent="0.25">
      <c r="B239" s="17" t="s">
        <v>506</v>
      </c>
      <c r="C239" s="8" t="s">
        <v>508</v>
      </c>
      <c r="D239" s="18">
        <v>0.66666666666666663</v>
      </c>
      <c r="E239" s="8" t="s">
        <v>710</v>
      </c>
      <c r="F239" s="8" t="s">
        <v>711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s="8">
        <v>14.3</v>
      </c>
      <c r="Y239" s="8">
        <v>14.3</v>
      </c>
      <c r="Z239" s="19"/>
      <c r="AA239">
        <f>VLOOKUP(E239,'Transform table'!A:B,2,0)</f>
        <v>0</v>
      </c>
      <c r="AB239" t="e">
        <f>VLOOKUP(F239,'Transform table'!A:B,2,0)</f>
        <v>#N/A</v>
      </c>
      <c r="AC239" t="e">
        <f t="shared" si="3"/>
        <v>#N/A</v>
      </c>
      <c r="AD239" t="e">
        <f>VLOOKUP($AC239,'oddspedia-matches'!$A:$AD,AD$2,0)</f>
        <v>#N/A</v>
      </c>
      <c r="AE239" t="e">
        <f>VLOOKUP($AC239,'oddspedia-matches'!$A:$AD,AE$2,0)</f>
        <v>#N/A</v>
      </c>
      <c r="AF239" t="e">
        <f>VLOOKUP($AC239,'oddspedia-matches'!$A:$AD,AF$2,0)</f>
        <v>#N/A</v>
      </c>
      <c r="AG239" t="e">
        <f>VLOOKUP($AC239,'oddspedia-matches'!$A:$AD,AG$2,0)</f>
        <v>#N/A</v>
      </c>
      <c r="AH239" t="e">
        <f>VLOOKUP($AC239,'oddspedia-matches'!$A:$AD,AH$2,0)</f>
        <v>#N/A</v>
      </c>
      <c r="AI239" t="e">
        <f>VLOOKUP($AC239,'oddspedia-matches'!$A:$AD,AI$2,0)</f>
        <v>#N/A</v>
      </c>
      <c r="AJ239" t="e">
        <f>VLOOKUP($AC239,'oddspedia-matches'!$A:$AD,AJ$2,0)</f>
        <v>#N/A</v>
      </c>
      <c r="AK239" t="e">
        <f>VLOOKUP($AC239,'oddspedia-matches'!$A:$AD,AK$2,0)</f>
        <v>#N/A</v>
      </c>
      <c r="AL239" t="e">
        <f>VLOOKUP($AC239,'oddspedia-matches'!$A:$AD,AL$2,0)</f>
        <v>#N/A</v>
      </c>
      <c r="AM239" t="e">
        <f>VLOOKUP($AC239,'oddspedia-matches'!$A:$AD,AM$2,0)</f>
        <v>#N/A</v>
      </c>
      <c r="AN239" t="e">
        <f>VLOOKUP($AC239,'oddspedia-matches'!$A:$AD,AN$2,0)</f>
        <v>#N/A</v>
      </c>
      <c r="AO239" t="e">
        <f>VLOOKUP($AC239,'oddspedia-matches'!$A:$AD,AO$2,0)</f>
        <v>#N/A</v>
      </c>
      <c r="AP239" t="e">
        <f>VLOOKUP($AC239,'oddspedia-matches'!$A:$AD,AP$2,0)</f>
        <v>#N/A</v>
      </c>
      <c r="AQ239" t="e">
        <f>VLOOKUP($AC239,'oddspedia-matches'!$A:$AD,AQ$2,0)</f>
        <v>#N/A</v>
      </c>
      <c r="AR239" t="e">
        <f>VLOOKUP($AC239,'oddspedia-matches'!$A:$AD,AR$2,0)</f>
        <v>#N/A</v>
      </c>
      <c r="AS239" t="e">
        <f>VLOOKUP($AC239,'oddspedia-matches'!$A:$AD,AS$2,0)</f>
        <v>#N/A</v>
      </c>
      <c r="AT239" t="e">
        <f>VLOOKUP($AC239,'oddspedia-matches'!$A:$AD,AT$2,0)</f>
        <v>#N/A</v>
      </c>
    </row>
    <row r="240" spans="2:46" x14ac:dyDescent="0.25">
      <c r="B240" s="9" t="s">
        <v>497</v>
      </c>
      <c r="C240" s="7" t="s">
        <v>508</v>
      </c>
      <c r="D240" s="20">
        <v>0.66666666666666663</v>
      </c>
      <c r="E240" s="7" t="s">
        <v>712</v>
      </c>
      <c r="F240" s="7" t="s">
        <v>713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s="7">
        <v>9.1</v>
      </c>
      <c r="Y240" s="7">
        <v>0</v>
      </c>
      <c r="Z240" s="21"/>
      <c r="AA240">
        <f>VLOOKUP(E240,'Transform table'!A:B,2,0)</f>
        <v>0</v>
      </c>
      <c r="AB240" t="e">
        <f>VLOOKUP(F240,'Transform table'!A:B,2,0)</f>
        <v>#N/A</v>
      </c>
      <c r="AC240" t="e">
        <f t="shared" si="3"/>
        <v>#N/A</v>
      </c>
      <c r="AD240" t="e">
        <f>VLOOKUP($AC240,'oddspedia-matches'!$A:$AD,AD$2,0)</f>
        <v>#N/A</v>
      </c>
      <c r="AE240" t="e">
        <f>VLOOKUP($AC240,'oddspedia-matches'!$A:$AD,AE$2,0)</f>
        <v>#N/A</v>
      </c>
      <c r="AF240" t="e">
        <f>VLOOKUP($AC240,'oddspedia-matches'!$A:$AD,AF$2,0)</f>
        <v>#N/A</v>
      </c>
      <c r="AG240" t="e">
        <f>VLOOKUP($AC240,'oddspedia-matches'!$A:$AD,AG$2,0)</f>
        <v>#N/A</v>
      </c>
      <c r="AH240" t="e">
        <f>VLOOKUP($AC240,'oddspedia-matches'!$A:$AD,AH$2,0)</f>
        <v>#N/A</v>
      </c>
      <c r="AI240" t="e">
        <f>VLOOKUP($AC240,'oddspedia-matches'!$A:$AD,AI$2,0)</f>
        <v>#N/A</v>
      </c>
      <c r="AJ240" t="e">
        <f>VLOOKUP($AC240,'oddspedia-matches'!$A:$AD,AJ$2,0)</f>
        <v>#N/A</v>
      </c>
      <c r="AK240" t="e">
        <f>VLOOKUP($AC240,'oddspedia-matches'!$A:$AD,AK$2,0)</f>
        <v>#N/A</v>
      </c>
      <c r="AL240" t="e">
        <f>VLOOKUP($AC240,'oddspedia-matches'!$A:$AD,AL$2,0)</f>
        <v>#N/A</v>
      </c>
      <c r="AM240" t="e">
        <f>VLOOKUP($AC240,'oddspedia-matches'!$A:$AD,AM$2,0)</f>
        <v>#N/A</v>
      </c>
      <c r="AN240" t="e">
        <f>VLOOKUP($AC240,'oddspedia-matches'!$A:$AD,AN$2,0)</f>
        <v>#N/A</v>
      </c>
      <c r="AO240" t="e">
        <f>VLOOKUP($AC240,'oddspedia-matches'!$A:$AD,AO$2,0)</f>
        <v>#N/A</v>
      </c>
      <c r="AP240" t="e">
        <f>VLOOKUP($AC240,'oddspedia-matches'!$A:$AD,AP$2,0)</f>
        <v>#N/A</v>
      </c>
      <c r="AQ240" t="e">
        <f>VLOOKUP($AC240,'oddspedia-matches'!$A:$AD,AQ$2,0)</f>
        <v>#N/A</v>
      </c>
      <c r="AR240" t="e">
        <f>VLOOKUP($AC240,'oddspedia-matches'!$A:$AD,AR$2,0)</f>
        <v>#N/A</v>
      </c>
      <c r="AS240" t="e">
        <f>VLOOKUP($AC240,'oddspedia-matches'!$A:$AD,AS$2,0)</f>
        <v>#N/A</v>
      </c>
      <c r="AT240" t="e">
        <f>VLOOKUP($AC240,'oddspedia-matches'!$A:$AD,AT$2,0)</f>
        <v>#N/A</v>
      </c>
    </row>
    <row r="241" spans="2:46" x14ac:dyDescent="0.25">
      <c r="B241" s="17" t="s">
        <v>488</v>
      </c>
      <c r="C241" s="8" t="s">
        <v>508</v>
      </c>
      <c r="D241" s="18">
        <v>0.70833333333333337</v>
      </c>
      <c r="E241" s="8" t="s">
        <v>714</v>
      </c>
      <c r="F241" s="8" t="s">
        <v>715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s="8">
        <v>0</v>
      </c>
      <c r="Y241" s="8">
        <v>0</v>
      </c>
      <c r="Z241" s="19"/>
      <c r="AA241" t="str">
        <f>VLOOKUP(E241,'Transform table'!A:B,2,0)</f>
        <v>Newell's Old Boys Women</v>
      </c>
      <c r="AB241" t="e">
        <f>VLOOKUP(F241,'Transform table'!A:B,2,0)</f>
        <v>#N/A</v>
      </c>
      <c r="AC241" t="e">
        <f t="shared" si="3"/>
        <v>#N/A</v>
      </c>
      <c r="AD241" t="e">
        <f>VLOOKUP($AC241,'oddspedia-matches'!$A:$AD,AD$2,0)</f>
        <v>#N/A</v>
      </c>
      <c r="AE241" t="e">
        <f>VLOOKUP($AC241,'oddspedia-matches'!$A:$AD,AE$2,0)</f>
        <v>#N/A</v>
      </c>
      <c r="AF241" t="e">
        <f>VLOOKUP($AC241,'oddspedia-matches'!$A:$AD,AF$2,0)</f>
        <v>#N/A</v>
      </c>
      <c r="AG241" t="e">
        <f>VLOOKUP($AC241,'oddspedia-matches'!$A:$AD,AG$2,0)</f>
        <v>#N/A</v>
      </c>
      <c r="AH241" t="e">
        <f>VLOOKUP($AC241,'oddspedia-matches'!$A:$AD,AH$2,0)</f>
        <v>#N/A</v>
      </c>
      <c r="AI241" t="e">
        <f>VLOOKUP($AC241,'oddspedia-matches'!$A:$AD,AI$2,0)</f>
        <v>#N/A</v>
      </c>
      <c r="AJ241" t="e">
        <f>VLOOKUP($AC241,'oddspedia-matches'!$A:$AD,AJ$2,0)</f>
        <v>#N/A</v>
      </c>
      <c r="AK241" t="e">
        <f>VLOOKUP($AC241,'oddspedia-matches'!$A:$AD,AK$2,0)</f>
        <v>#N/A</v>
      </c>
      <c r="AL241" t="e">
        <f>VLOOKUP($AC241,'oddspedia-matches'!$A:$AD,AL$2,0)</f>
        <v>#N/A</v>
      </c>
      <c r="AM241" t="e">
        <f>VLOOKUP($AC241,'oddspedia-matches'!$A:$AD,AM$2,0)</f>
        <v>#N/A</v>
      </c>
      <c r="AN241" t="e">
        <f>VLOOKUP($AC241,'oddspedia-matches'!$A:$AD,AN$2,0)</f>
        <v>#N/A</v>
      </c>
      <c r="AO241" t="e">
        <f>VLOOKUP($AC241,'oddspedia-matches'!$A:$AD,AO$2,0)</f>
        <v>#N/A</v>
      </c>
      <c r="AP241" t="e">
        <f>VLOOKUP($AC241,'oddspedia-matches'!$A:$AD,AP$2,0)</f>
        <v>#N/A</v>
      </c>
      <c r="AQ241" t="e">
        <f>VLOOKUP($AC241,'oddspedia-matches'!$A:$AD,AQ$2,0)</f>
        <v>#N/A</v>
      </c>
      <c r="AR241" t="e">
        <f>VLOOKUP($AC241,'oddspedia-matches'!$A:$AD,AR$2,0)</f>
        <v>#N/A</v>
      </c>
      <c r="AS241" t="e">
        <f>VLOOKUP($AC241,'oddspedia-matches'!$A:$AD,AS$2,0)</f>
        <v>#N/A</v>
      </c>
      <c r="AT241" t="e">
        <f>VLOOKUP($AC241,'oddspedia-matches'!$A:$AD,AT$2,0)</f>
        <v>#N/A</v>
      </c>
    </row>
    <row r="242" spans="2:46" x14ac:dyDescent="0.25">
      <c r="B242" s="9" t="s">
        <v>665</v>
      </c>
      <c r="C242" s="7" t="s">
        <v>508</v>
      </c>
      <c r="D242" s="20">
        <v>0.70833333333333337</v>
      </c>
      <c r="E242" s="7" t="s">
        <v>716</v>
      </c>
      <c r="F242" s="7" t="s">
        <v>717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s="7">
        <v>22.2</v>
      </c>
      <c r="Y242" s="7">
        <v>27.3</v>
      </c>
      <c r="Z242" s="21"/>
      <c r="AA242" t="str">
        <f>VLOOKUP(E242,'Transform table'!A:B,2,0)</f>
        <v>Club Atletico Acassuso</v>
      </c>
      <c r="AB242" t="str">
        <f>VLOOKUP(F242,'Transform table'!A:B,2,0)</f>
        <v>Colon de Santa Fe</v>
      </c>
      <c r="AC242" t="str">
        <f t="shared" si="3"/>
        <v>25/07/2026Club Atletico AcassusoColon de Santa Fe</v>
      </c>
      <c r="AD242" t="e">
        <f>VLOOKUP($AC242,'oddspedia-matches'!$A:$AD,AD$2,0)</f>
        <v>#N/A</v>
      </c>
      <c r="AE242" t="e">
        <f>VLOOKUP($AC242,'oddspedia-matches'!$A:$AD,AE$2,0)</f>
        <v>#N/A</v>
      </c>
      <c r="AF242" t="e">
        <f>VLOOKUP($AC242,'oddspedia-matches'!$A:$AD,AF$2,0)</f>
        <v>#N/A</v>
      </c>
      <c r="AG242" t="e">
        <f>VLOOKUP($AC242,'oddspedia-matches'!$A:$AD,AG$2,0)</f>
        <v>#N/A</v>
      </c>
      <c r="AH242" t="e">
        <f>VLOOKUP($AC242,'oddspedia-matches'!$A:$AD,AH$2,0)</f>
        <v>#N/A</v>
      </c>
      <c r="AI242" t="e">
        <f>VLOOKUP($AC242,'oddspedia-matches'!$A:$AD,AI$2,0)</f>
        <v>#N/A</v>
      </c>
      <c r="AJ242" t="e">
        <f>VLOOKUP($AC242,'oddspedia-matches'!$A:$AD,AJ$2,0)</f>
        <v>#N/A</v>
      </c>
      <c r="AK242" t="e">
        <f>VLOOKUP($AC242,'oddspedia-matches'!$A:$AD,AK$2,0)</f>
        <v>#N/A</v>
      </c>
      <c r="AL242" t="e">
        <f>VLOOKUP($AC242,'oddspedia-matches'!$A:$AD,AL$2,0)</f>
        <v>#N/A</v>
      </c>
      <c r="AM242" t="e">
        <f>VLOOKUP($AC242,'oddspedia-matches'!$A:$AD,AM$2,0)</f>
        <v>#N/A</v>
      </c>
      <c r="AN242" t="e">
        <f>VLOOKUP($AC242,'oddspedia-matches'!$A:$AD,AN$2,0)</f>
        <v>#N/A</v>
      </c>
      <c r="AO242" t="e">
        <f>VLOOKUP($AC242,'oddspedia-matches'!$A:$AD,AO$2,0)</f>
        <v>#N/A</v>
      </c>
      <c r="AP242" t="e">
        <f>VLOOKUP($AC242,'oddspedia-matches'!$A:$AD,AP$2,0)</f>
        <v>#N/A</v>
      </c>
      <c r="AQ242" t="e">
        <f>VLOOKUP($AC242,'oddspedia-matches'!$A:$AD,AQ$2,0)</f>
        <v>#N/A</v>
      </c>
      <c r="AR242" t="e">
        <f>VLOOKUP($AC242,'oddspedia-matches'!$A:$AD,AR$2,0)</f>
        <v>#N/A</v>
      </c>
      <c r="AS242" t="e">
        <f>VLOOKUP($AC242,'oddspedia-matches'!$A:$AD,AS$2,0)</f>
        <v>#N/A</v>
      </c>
      <c r="AT242" t="e">
        <f>VLOOKUP($AC242,'oddspedia-matches'!$A:$AD,AT$2,0)</f>
        <v>#N/A</v>
      </c>
    </row>
    <row r="243" spans="2:46" x14ac:dyDescent="0.25">
      <c r="B243" s="17" t="s">
        <v>665</v>
      </c>
      <c r="C243" s="8" t="s">
        <v>508</v>
      </c>
      <c r="D243" s="18">
        <v>0.70833333333333337</v>
      </c>
      <c r="E243" s="8" t="s">
        <v>718</v>
      </c>
      <c r="F243" s="8" t="s">
        <v>719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s="8">
        <v>10</v>
      </c>
      <c r="Y243" s="8">
        <v>0</v>
      </c>
      <c r="Z243" s="19"/>
      <c r="AA243" t="str">
        <f>VLOOKUP(E243,'Transform table'!A:B,2,0)</f>
        <v>Club Almagro</v>
      </c>
      <c r="AB243" t="str">
        <f>VLOOKUP(F243,'Transform table'!A:B,2,0)</f>
        <v>Ferrocarril Midland</v>
      </c>
      <c r="AC243" t="str">
        <f t="shared" si="3"/>
        <v>25/07/2026Club AlmagroFerrocarril Midland</v>
      </c>
      <c r="AD243" t="e">
        <f>VLOOKUP($AC243,'oddspedia-matches'!$A:$AD,AD$2,0)</f>
        <v>#N/A</v>
      </c>
      <c r="AE243" t="e">
        <f>VLOOKUP($AC243,'oddspedia-matches'!$A:$AD,AE$2,0)</f>
        <v>#N/A</v>
      </c>
      <c r="AF243" t="e">
        <f>VLOOKUP($AC243,'oddspedia-matches'!$A:$AD,AF$2,0)</f>
        <v>#N/A</v>
      </c>
      <c r="AG243" t="e">
        <f>VLOOKUP($AC243,'oddspedia-matches'!$A:$AD,AG$2,0)</f>
        <v>#N/A</v>
      </c>
      <c r="AH243" t="e">
        <f>VLOOKUP($AC243,'oddspedia-matches'!$A:$AD,AH$2,0)</f>
        <v>#N/A</v>
      </c>
      <c r="AI243" t="e">
        <f>VLOOKUP($AC243,'oddspedia-matches'!$A:$AD,AI$2,0)</f>
        <v>#N/A</v>
      </c>
      <c r="AJ243" t="e">
        <f>VLOOKUP($AC243,'oddspedia-matches'!$A:$AD,AJ$2,0)</f>
        <v>#N/A</v>
      </c>
      <c r="AK243" t="e">
        <f>VLOOKUP($AC243,'oddspedia-matches'!$A:$AD,AK$2,0)</f>
        <v>#N/A</v>
      </c>
      <c r="AL243" t="e">
        <f>VLOOKUP($AC243,'oddspedia-matches'!$A:$AD,AL$2,0)</f>
        <v>#N/A</v>
      </c>
      <c r="AM243" t="e">
        <f>VLOOKUP($AC243,'oddspedia-matches'!$A:$AD,AM$2,0)</f>
        <v>#N/A</v>
      </c>
      <c r="AN243" t="e">
        <f>VLOOKUP($AC243,'oddspedia-matches'!$A:$AD,AN$2,0)</f>
        <v>#N/A</v>
      </c>
      <c r="AO243" t="e">
        <f>VLOOKUP($AC243,'oddspedia-matches'!$A:$AD,AO$2,0)</f>
        <v>#N/A</v>
      </c>
      <c r="AP243" t="e">
        <f>VLOOKUP($AC243,'oddspedia-matches'!$A:$AD,AP$2,0)</f>
        <v>#N/A</v>
      </c>
      <c r="AQ243" t="e">
        <f>VLOOKUP($AC243,'oddspedia-matches'!$A:$AD,AQ$2,0)</f>
        <v>#N/A</v>
      </c>
      <c r="AR243" t="e">
        <f>VLOOKUP($AC243,'oddspedia-matches'!$A:$AD,AR$2,0)</f>
        <v>#N/A</v>
      </c>
      <c r="AS243" t="e">
        <f>VLOOKUP($AC243,'oddspedia-matches'!$A:$AD,AS$2,0)</f>
        <v>#N/A</v>
      </c>
      <c r="AT243" t="e">
        <f>VLOOKUP($AC243,'oddspedia-matches'!$A:$AD,AT$2,0)</f>
        <v>#N/A</v>
      </c>
    </row>
    <row r="244" spans="2:46" x14ac:dyDescent="0.25">
      <c r="B244" s="9" t="s">
        <v>665</v>
      </c>
      <c r="C244" s="7" t="s">
        <v>508</v>
      </c>
      <c r="D244" s="20">
        <v>0.70833333333333337</v>
      </c>
      <c r="E244" s="7" t="s">
        <v>720</v>
      </c>
      <c r="F244" s="7" t="s">
        <v>718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s="7">
        <v>0</v>
      </c>
      <c r="Y244" s="7">
        <v>0</v>
      </c>
      <c r="Z244" s="21"/>
      <c r="AA244" t="str">
        <f>VLOOKUP(E244,'Transform table'!A:B,2,0)</f>
        <v>CA Atlanta</v>
      </c>
      <c r="AB244" t="str">
        <f>VLOOKUP(F244,'Transform table'!A:B,2,0)</f>
        <v>Club Almagro</v>
      </c>
      <c r="AC244" t="str">
        <f t="shared" si="3"/>
        <v>25/07/2026CA AtlantaClub Almagro</v>
      </c>
      <c r="AD244" t="e">
        <f>VLOOKUP($AC244,'oddspedia-matches'!$A:$AD,AD$2,0)</f>
        <v>#N/A</v>
      </c>
      <c r="AE244" t="e">
        <f>VLOOKUP($AC244,'oddspedia-matches'!$A:$AD,AE$2,0)</f>
        <v>#N/A</v>
      </c>
      <c r="AF244" t="e">
        <f>VLOOKUP($AC244,'oddspedia-matches'!$A:$AD,AF$2,0)</f>
        <v>#N/A</v>
      </c>
      <c r="AG244" t="e">
        <f>VLOOKUP($AC244,'oddspedia-matches'!$A:$AD,AG$2,0)</f>
        <v>#N/A</v>
      </c>
      <c r="AH244" t="e">
        <f>VLOOKUP($AC244,'oddspedia-matches'!$A:$AD,AH$2,0)</f>
        <v>#N/A</v>
      </c>
      <c r="AI244" t="e">
        <f>VLOOKUP($AC244,'oddspedia-matches'!$A:$AD,AI$2,0)</f>
        <v>#N/A</v>
      </c>
      <c r="AJ244" t="e">
        <f>VLOOKUP($AC244,'oddspedia-matches'!$A:$AD,AJ$2,0)</f>
        <v>#N/A</v>
      </c>
      <c r="AK244" t="e">
        <f>VLOOKUP($AC244,'oddspedia-matches'!$A:$AD,AK$2,0)</f>
        <v>#N/A</v>
      </c>
      <c r="AL244" t="e">
        <f>VLOOKUP($AC244,'oddspedia-matches'!$A:$AD,AL$2,0)</f>
        <v>#N/A</v>
      </c>
      <c r="AM244" t="e">
        <f>VLOOKUP($AC244,'oddspedia-matches'!$A:$AD,AM$2,0)</f>
        <v>#N/A</v>
      </c>
      <c r="AN244" t="e">
        <f>VLOOKUP($AC244,'oddspedia-matches'!$A:$AD,AN$2,0)</f>
        <v>#N/A</v>
      </c>
      <c r="AO244" t="e">
        <f>VLOOKUP($AC244,'oddspedia-matches'!$A:$AD,AO$2,0)</f>
        <v>#N/A</v>
      </c>
      <c r="AP244" t="e">
        <f>VLOOKUP($AC244,'oddspedia-matches'!$A:$AD,AP$2,0)</f>
        <v>#N/A</v>
      </c>
      <c r="AQ244" t="e">
        <f>VLOOKUP($AC244,'oddspedia-matches'!$A:$AD,AQ$2,0)</f>
        <v>#N/A</v>
      </c>
      <c r="AR244" t="e">
        <f>VLOOKUP($AC244,'oddspedia-matches'!$A:$AD,AR$2,0)</f>
        <v>#N/A</v>
      </c>
      <c r="AS244" t="e">
        <f>VLOOKUP($AC244,'oddspedia-matches'!$A:$AD,AS$2,0)</f>
        <v>#N/A</v>
      </c>
      <c r="AT244" t="e">
        <f>VLOOKUP($AC244,'oddspedia-matches'!$A:$AD,AT$2,0)</f>
        <v>#N/A</v>
      </c>
    </row>
    <row r="245" spans="2:46" x14ac:dyDescent="0.25">
      <c r="B245" s="17" t="s">
        <v>665</v>
      </c>
      <c r="C245" s="8" t="s">
        <v>508</v>
      </c>
      <c r="D245" s="18">
        <v>0.70833333333333337</v>
      </c>
      <c r="E245" s="8" t="s">
        <v>701</v>
      </c>
      <c r="F245" s="8" t="s">
        <v>721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s="8" t="s">
        <v>22</v>
      </c>
      <c r="Y245" s="8" t="s">
        <v>22</v>
      </c>
      <c r="Z245" s="19"/>
      <c r="AA245">
        <f>VLOOKUP(E245,'Transform table'!A:B,2,0)</f>
        <v>0</v>
      </c>
      <c r="AB245" t="str">
        <f>VLOOKUP(F245,'Transform table'!A:B,2,0)</f>
        <v>San Martin de Tucuman</v>
      </c>
      <c r="AC245" t="str">
        <f t="shared" si="3"/>
        <v>25/07/20260San Martin de Tucuman</v>
      </c>
      <c r="AD245" t="e">
        <f>VLOOKUP($AC245,'oddspedia-matches'!$A:$AD,AD$2,0)</f>
        <v>#N/A</v>
      </c>
      <c r="AE245" t="e">
        <f>VLOOKUP($AC245,'oddspedia-matches'!$A:$AD,AE$2,0)</f>
        <v>#N/A</v>
      </c>
      <c r="AF245" t="e">
        <f>VLOOKUP($AC245,'oddspedia-matches'!$A:$AD,AF$2,0)</f>
        <v>#N/A</v>
      </c>
      <c r="AG245" t="e">
        <f>VLOOKUP($AC245,'oddspedia-matches'!$A:$AD,AG$2,0)</f>
        <v>#N/A</v>
      </c>
      <c r="AH245" t="e">
        <f>VLOOKUP($AC245,'oddspedia-matches'!$A:$AD,AH$2,0)</f>
        <v>#N/A</v>
      </c>
      <c r="AI245" t="e">
        <f>VLOOKUP($AC245,'oddspedia-matches'!$A:$AD,AI$2,0)</f>
        <v>#N/A</v>
      </c>
      <c r="AJ245" t="e">
        <f>VLOOKUP($AC245,'oddspedia-matches'!$A:$AD,AJ$2,0)</f>
        <v>#N/A</v>
      </c>
      <c r="AK245" t="e">
        <f>VLOOKUP($AC245,'oddspedia-matches'!$A:$AD,AK$2,0)</f>
        <v>#N/A</v>
      </c>
      <c r="AL245" t="e">
        <f>VLOOKUP($AC245,'oddspedia-matches'!$A:$AD,AL$2,0)</f>
        <v>#N/A</v>
      </c>
      <c r="AM245" t="e">
        <f>VLOOKUP($AC245,'oddspedia-matches'!$A:$AD,AM$2,0)</f>
        <v>#N/A</v>
      </c>
      <c r="AN245" t="e">
        <f>VLOOKUP($AC245,'oddspedia-matches'!$A:$AD,AN$2,0)</f>
        <v>#N/A</v>
      </c>
      <c r="AO245" t="e">
        <f>VLOOKUP($AC245,'oddspedia-matches'!$A:$AD,AO$2,0)</f>
        <v>#N/A</v>
      </c>
      <c r="AP245" t="e">
        <f>VLOOKUP($AC245,'oddspedia-matches'!$A:$AD,AP$2,0)</f>
        <v>#N/A</v>
      </c>
      <c r="AQ245" t="e">
        <f>VLOOKUP($AC245,'oddspedia-matches'!$A:$AD,AQ$2,0)</f>
        <v>#N/A</v>
      </c>
      <c r="AR245" t="e">
        <f>VLOOKUP($AC245,'oddspedia-matches'!$A:$AD,AR$2,0)</f>
        <v>#N/A</v>
      </c>
      <c r="AS245" t="e">
        <f>VLOOKUP($AC245,'oddspedia-matches'!$A:$AD,AS$2,0)</f>
        <v>#N/A</v>
      </c>
      <c r="AT245" t="e">
        <f>VLOOKUP($AC245,'oddspedia-matches'!$A:$AD,AT$2,0)</f>
        <v>#N/A</v>
      </c>
    </row>
    <row r="246" spans="2:46" x14ac:dyDescent="0.25">
      <c r="B246" s="9" t="s">
        <v>665</v>
      </c>
      <c r="C246" s="7" t="s">
        <v>508</v>
      </c>
      <c r="D246" s="20">
        <v>0.70833333333333337</v>
      </c>
      <c r="E246" s="7" t="s">
        <v>722</v>
      </c>
      <c r="F246" s="7" t="s">
        <v>700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s="7">
        <v>22.2</v>
      </c>
      <c r="Y246" s="7">
        <v>18.2</v>
      </c>
      <c r="Z246" s="21"/>
      <c r="AA246" t="str">
        <f>VLOOKUP(E246,'Transform table'!A:B,2,0)</f>
        <v>San Martin de San Juan</v>
      </c>
      <c r="AB246" t="str">
        <f>VLOOKUP(F246,'Transform table'!A:B,2,0)</f>
        <v>Atletico Argentino</v>
      </c>
      <c r="AC246" t="str">
        <f t="shared" si="3"/>
        <v>25/07/2026San Martin de San JuanAtletico Argentino</v>
      </c>
      <c r="AD246" t="e">
        <f>VLOOKUP($AC246,'oddspedia-matches'!$A:$AD,AD$2,0)</f>
        <v>#N/A</v>
      </c>
      <c r="AE246" t="e">
        <f>VLOOKUP($AC246,'oddspedia-matches'!$A:$AD,AE$2,0)</f>
        <v>#N/A</v>
      </c>
      <c r="AF246" t="e">
        <f>VLOOKUP($AC246,'oddspedia-matches'!$A:$AD,AF$2,0)</f>
        <v>#N/A</v>
      </c>
      <c r="AG246" t="e">
        <f>VLOOKUP($AC246,'oddspedia-matches'!$A:$AD,AG$2,0)</f>
        <v>#N/A</v>
      </c>
      <c r="AH246" t="e">
        <f>VLOOKUP($AC246,'oddspedia-matches'!$A:$AD,AH$2,0)</f>
        <v>#N/A</v>
      </c>
      <c r="AI246" t="e">
        <f>VLOOKUP($AC246,'oddspedia-matches'!$A:$AD,AI$2,0)</f>
        <v>#N/A</v>
      </c>
      <c r="AJ246" t="e">
        <f>VLOOKUP($AC246,'oddspedia-matches'!$A:$AD,AJ$2,0)</f>
        <v>#N/A</v>
      </c>
      <c r="AK246" t="e">
        <f>VLOOKUP($AC246,'oddspedia-matches'!$A:$AD,AK$2,0)</f>
        <v>#N/A</v>
      </c>
      <c r="AL246" t="e">
        <f>VLOOKUP($AC246,'oddspedia-matches'!$A:$AD,AL$2,0)</f>
        <v>#N/A</v>
      </c>
      <c r="AM246" t="e">
        <f>VLOOKUP($AC246,'oddspedia-matches'!$A:$AD,AM$2,0)</f>
        <v>#N/A</v>
      </c>
      <c r="AN246" t="e">
        <f>VLOOKUP($AC246,'oddspedia-matches'!$A:$AD,AN$2,0)</f>
        <v>#N/A</v>
      </c>
      <c r="AO246" t="e">
        <f>VLOOKUP($AC246,'oddspedia-matches'!$A:$AD,AO$2,0)</f>
        <v>#N/A</v>
      </c>
      <c r="AP246" t="e">
        <f>VLOOKUP($AC246,'oddspedia-matches'!$A:$AD,AP$2,0)</f>
        <v>#N/A</v>
      </c>
      <c r="AQ246" t="e">
        <f>VLOOKUP($AC246,'oddspedia-matches'!$A:$AD,AQ$2,0)</f>
        <v>#N/A</v>
      </c>
      <c r="AR246" t="e">
        <f>VLOOKUP($AC246,'oddspedia-matches'!$A:$AD,AR$2,0)</f>
        <v>#N/A</v>
      </c>
      <c r="AS246" t="e">
        <f>VLOOKUP($AC246,'oddspedia-matches'!$A:$AD,AS$2,0)</f>
        <v>#N/A</v>
      </c>
      <c r="AT246" t="e">
        <f>VLOOKUP($AC246,'oddspedia-matches'!$A:$AD,AT$2,0)</f>
        <v>#N/A</v>
      </c>
    </row>
    <row r="247" spans="2:46" x14ac:dyDescent="0.25">
      <c r="B247" s="17" t="s">
        <v>723</v>
      </c>
      <c r="C247" s="8" t="s">
        <v>508</v>
      </c>
      <c r="D247" s="18">
        <v>0.70833333333333337</v>
      </c>
      <c r="E247" s="8" t="s">
        <v>724</v>
      </c>
      <c r="F247" s="8" t="s">
        <v>725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s="8">
        <v>0</v>
      </c>
      <c r="Y247" s="8">
        <v>23.1</v>
      </c>
      <c r="Z247" s="19"/>
      <c r="AA247">
        <f>VLOOKUP(E247,'Transform table'!A:B,2,0)</f>
        <v>0</v>
      </c>
      <c r="AB247" t="e">
        <f>VLOOKUP(F247,'Transform table'!A:B,2,0)</f>
        <v>#N/A</v>
      </c>
      <c r="AC247" t="e">
        <f t="shared" si="3"/>
        <v>#N/A</v>
      </c>
      <c r="AD247" t="e">
        <f>VLOOKUP($AC247,'oddspedia-matches'!$A:$AD,AD$2,0)</f>
        <v>#N/A</v>
      </c>
      <c r="AE247" t="e">
        <f>VLOOKUP($AC247,'oddspedia-matches'!$A:$AD,AE$2,0)</f>
        <v>#N/A</v>
      </c>
      <c r="AF247" t="e">
        <f>VLOOKUP($AC247,'oddspedia-matches'!$A:$AD,AF$2,0)</f>
        <v>#N/A</v>
      </c>
      <c r="AG247" t="e">
        <f>VLOOKUP($AC247,'oddspedia-matches'!$A:$AD,AG$2,0)</f>
        <v>#N/A</v>
      </c>
      <c r="AH247" t="e">
        <f>VLOOKUP($AC247,'oddspedia-matches'!$A:$AD,AH$2,0)</f>
        <v>#N/A</v>
      </c>
      <c r="AI247" t="e">
        <f>VLOOKUP($AC247,'oddspedia-matches'!$A:$AD,AI$2,0)</f>
        <v>#N/A</v>
      </c>
      <c r="AJ247" t="e">
        <f>VLOOKUP($AC247,'oddspedia-matches'!$A:$AD,AJ$2,0)</f>
        <v>#N/A</v>
      </c>
      <c r="AK247" t="e">
        <f>VLOOKUP($AC247,'oddspedia-matches'!$A:$AD,AK$2,0)</f>
        <v>#N/A</v>
      </c>
      <c r="AL247" t="e">
        <f>VLOOKUP($AC247,'oddspedia-matches'!$A:$AD,AL$2,0)</f>
        <v>#N/A</v>
      </c>
      <c r="AM247" t="e">
        <f>VLOOKUP($AC247,'oddspedia-matches'!$A:$AD,AM$2,0)</f>
        <v>#N/A</v>
      </c>
      <c r="AN247" t="e">
        <f>VLOOKUP($AC247,'oddspedia-matches'!$A:$AD,AN$2,0)</f>
        <v>#N/A</v>
      </c>
      <c r="AO247" t="e">
        <f>VLOOKUP($AC247,'oddspedia-matches'!$A:$AD,AO$2,0)</f>
        <v>#N/A</v>
      </c>
      <c r="AP247" t="e">
        <f>VLOOKUP($AC247,'oddspedia-matches'!$A:$AD,AP$2,0)</f>
        <v>#N/A</v>
      </c>
      <c r="AQ247" t="e">
        <f>VLOOKUP($AC247,'oddspedia-matches'!$A:$AD,AQ$2,0)</f>
        <v>#N/A</v>
      </c>
      <c r="AR247" t="e">
        <f>VLOOKUP($AC247,'oddspedia-matches'!$A:$AD,AR$2,0)</f>
        <v>#N/A</v>
      </c>
      <c r="AS247" t="e">
        <f>VLOOKUP($AC247,'oddspedia-matches'!$A:$AD,AS$2,0)</f>
        <v>#N/A</v>
      </c>
      <c r="AT247" t="e">
        <f>VLOOKUP($AC247,'oddspedia-matches'!$A:$AD,AT$2,0)</f>
        <v>#N/A</v>
      </c>
    </row>
    <row r="248" spans="2:46" x14ac:dyDescent="0.25">
      <c r="B248" s="9" t="s">
        <v>723</v>
      </c>
      <c r="C248" s="7" t="s">
        <v>508</v>
      </c>
      <c r="D248" s="20">
        <v>0.70833333333333337</v>
      </c>
      <c r="E248" s="7" t="s">
        <v>726</v>
      </c>
      <c r="F248" s="7" t="s">
        <v>727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s="7" t="s">
        <v>22</v>
      </c>
      <c r="Y248" s="7" t="s">
        <v>22</v>
      </c>
      <c r="Z248" s="21"/>
      <c r="AA248">
        <f>VLOOKUP(E248,'Transform table'!A:B,2,0)</f>
        <v>0</v>
      </c>
      <c r="AB248" t="e">
        <f>VLOOKUP(F248,'Transform table'!A:B,2,0)</f>
        <v>#N/A</v>
      </c>
      <c r="AC248" t="e">
        <f t="shared" si="3"/>
        <v>#N/A</v>
      </c>
      <c r="AD248" t="e">
        <f>VLOOKUP($AC248,'oddspedia-matches'!$A:$AD,AD$2,0)</f>
        <v>#N/A</v>
      </c>
      <c r="AE248" t="e">
        <f>VLOOKUP($AC248,'oddspedia-matches'!$A:$AD,AE$2,0)</f>
        <v>#N/A</v>
      </c>
      <c r="AF248" t="e">
        <f>VLOOKUP($AC248,'oddspedia-matches'!$A:$AD,AF$2,0)</f>
        <v>#N/A</v>
      </c>
      <c r="AG248" t="e">
        <f>VLOOKUP($AC248,'oddspedia-matches'!$A:$AD,AG$2,0)</f>
        <v>#N/A</v>
      </c>
      <c r="AH248" t="e">
        <f>VLOOKUP($AC248,'oddspedia-matches'!$A:$AD,AH$2,0)</f>
        <v>#N/A</v>
      </c>
      <c r="AI248" t="e">
        <f>VLOOKUP($AC248,'oddspedia-matches'!$A:$AD,AI$2,0)</f>
        <v>#N/A</v>
      </c>
      <c r="AJ248" t="e">
        <f>VLOOKUP($AC248,'oddspedia-matches'!$A:$AD,AJ$2,0)</f>
        <v>#N/A</v>
      </c>
      <c r="AK248" t="e">
        <f>VLOOKUP($AC248,'oddspedia-matches'!$A:$AD,AK$2,0)</f>
        <v>#N/A</v>
      </c>
      <c r="AL248" t="e">
        <f>VLOOKUP($AC248,'oddspedia-matches'!$A:$AD,AL$2,0)</f>
        <v>#N/A</v>
      </c>
      <c r="AM248" t="e">
        <f>VLOOKUP($AC248,'oddspedia-matches'!$A:$AD,AM$2,0)</f>
        <v>#N/A</v>
      </c>
      <c r="AN248" t="e">
        <f>VLOOKUP($AC248,'oddspedia-matches'!$A:$AD,AN$2,0)</f>
        <v>#N/A</v>
      </c>
      <c r="AO248" t="e">
        <f>VLOOKUP($AC248,'oddspedia-matches'!$A:$AD,AO$2,0)</f>
        <v>#N/A</v>
      </c>
      <c r="AP248" t="e">
        <f>VLOOKUP($AC248,'oddspedia-matches'!$A:$AD,AP$2,0)</f>
        <v>#N/A</v>
      </c>
      <c r="AQ248" t="e">
        <f>VLOOKUP($AC248,'oddspedia-matches'!$A:$AD,AQ$2,0)</f>
        <v>#N/A</v>
      </c>
      <c r="AR248" t="e">
        <f>VLOOKUP($AC248,'oddspedia-matches'!$A:$AD,AR$2,0)</f>
        <v>#N/A</v>
      </c>
      <c r="AS248" t="e">
        <f>VLOOKUP($AC248,'oddspedia-matches'!$A:$AD,AS$2,0)</f>
        <v>#N/A</v>
      </c>
      <c r="AT248" t="e">
        <f>VLOOKUP($AC248,'oddspedia-matches'!$A:$AD,AT$2,0)</f>
        <v>#N/A</v>
      </c>
    </row>
    <row r="249" spans="2:46" x14ac:dyDescent="0.25">
      <c r="B249" s="17" t="s">
        <v>723</v>
      </c>
      <c r="C249" s="8" t="s">
        <v>508</v>
      </c>
      <c r="D249" s="18">
        <v>0.70833333333333337</v>
      </c>
      <c r="E249" s="8" t="s">
        <v>728</v>
      </c>
      <c r="F249" s="8" t="s">
        <v>729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s="8">
        <v>15.4</v>
      </c>
      <c r="Y249" s="8">
        <v>23.1</v>
      </c>
      <c r="Z249" s="19"/>
      <c r="AA249">
        <f>VLOOKUP(E249,'Transform table'!A:B,2,0)</f>
        <v>0</v>
      </c>
      <c r="AB249" t="e">
        <f>VLOOKUP(F249,'Transform table'!A:B,2,0)</f>
        <v>#N/A</v>
      </c>
      <c r="AC249" t="e">
        <f t="shared" si="3"/>
        <v>#N/A</v>
      </c>
      <c r="AD249" t="e">
        <f>VLOOKUP($AC249,'oddspedia-matches'!$A:$AD,AD$2,0)</f>
        <v>#N/A</v>
      </c>
      <c r="AE249" t="e">
        <f>VLOOKUP($AC249,'oddspedia-matches'!$A:$AD,AE$2,0)</f>
        <v>#N/A</v>
      </c>
      <c r="AF249" t="e">
        <f>VLOOKUP($AC249,'oddspedia-matches'!$A:$AD,AF$2,0)</f>
        <v>#N/A</v>
      </c>
      <c r="AG249" t="e">
        <f>VLOOKUP($AC249,'oddspedia-matches'!$A:$AD,AG$2,0)</f>
        <v>#N/A</v>
      </c>
      <c r="AH249" t="e">
        <f>VLOOKUP($AC249,'oddspedia-matches'!$A:$AD,AH$2,0)</f>
        <v>#N/A</v>
      </c>
      <c r="AI249" t="e">
        <f>VLOOKUP($AC249,'oddspedia-matches'!$A:$AD,AI$2,0)</f>
        <v>#N/A</v>
      </c>
      <c r="AJ249" t="e">
        <f>VLOOKUP($AC249,'oddspedia-matches'!$A:$AD,AJ$2,0)</f>
        <v>#N/A</v>
      </c>
      <c r="AK249" t="e">
        <f>VLOOKUP($AC249,'oddspedia-matches'!$A:$AD,AK$2,0)</f>
        <v>#N/A</v>
      </c>
      <c r="AL249" t="e">
        <f>VLOOKUP($AC249,'oddspedia-matches'!$A:$AD,AL$2,0)</f>
        <v>#N/A</v>
      </c>
      <c r="AM249" t="e">
        <f>VLOOKUP($AC249,'oddspedia-matches'!$A:$AD,AM$2,0)</f>
        <v>#N/A</v>
      </c>
      <c r="AN249" t="e">
        <f>VLOOKUP($AC249,'oddspedia-matches'!$A:$AD,AN$2,0)</f>
        <v>#N/A</v>
      </c>
      <c r="AO249" t="e">
        <f>VLOOKUP($AC249,'oddspedia-matches'!$A:$AD,AO$2,0)</f>
        <v>#N/A</v>
      </c>
      <c r="AP249" t="e">
        <f>VLOOKUP($AC249,'oddspedia-matches'!$A:$AD,AP$2,0)</f>
        <v>#N/A</v>
      </c>
      <c r="AQ249" t="e">
        <f>VLOOKUP($AC249,'oddspedia-matches'!$A:$AD,AQ$2,0)</f>
        <v>#N/A</v>
      </c>
      <c r="AR249" t="e">
        <f>VLOOKUP($AC249,'oddspedia-matches'!$A:$AD,AR$2,0)</f>
        <v>#N/A</v>
      </c>
      <c r="AS249" t="e">
        <f>VLOOKUP($AC249,'oddspedia-matches'!$A:$AD,AS$2,0)</f>
        <v>#N/A</v>
      </c>
      <c r="AT249" t="e">
        <f>VLOOKUP($AC249,'oddspedia-matches'!$A:$AD,AT$2,0)</f>
        <v>#N/A</v>
      </c>
    </row>
    <row r="250" spans="2:46" x14ac:dyDescent="0.25">
      <c r="B250" s="9" t="s">
        <v>723</v>
      </c>
      <c r="C250" s="7" t="s">
        <v>508</v>
      </c>
      <c r="D250" s="20">
        <v>0.70833333333333337</v>
      </c>
      <c r="E250" s="7" t="s">
        <v>730</v>
      </c>
      <c r="F250" s="7" t="s">
        <v>731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s="7">
        <v>15.4</v>
      </c>
      <c r="Y250" s="7">
        <v>7.7</v>
      </c>
      <c r="Z250" s="21"/>
      <c r="AA250">
        <f>VLOOKUP(E250,'Transform table'!A:B,2,0)</f>
        <v>0</v>
      </c>
      <c r="AB250" t="e">
        <f>VLOOKUP(F250,'Transform table'!A:B,2,0)</f>
        <v>#N/A</v>
      </c>
      <c r="AC250" t="e">
        <f t="shared" si="3"/>
        <v>#N/A</v>
      </c>
      <c r="AD250" t="e">
        <f>VLOOKUP($AC250,'oddspedia-matches'!$A:$AD,AD$2,0)</f>
        <v>#N/A</v>
      </c>
      <c r="AE250" t="e">
        <f>VLOOKUP($AC250,'oddspedia-matches'!$A:$AD,AE$2,0)</f>
        <v>#N/A</v>
      </c>
      <c r="AF250" t="e">
        <f>VLOOKUP($AC250,'oddspedia-matches'!$A:$AD,AF$2,0)</f>
        <v>#N/A</v>
      </c>
      <c r="AG250" t="e">
        <f>VLOOKUP($AC250,'oddspedia-matches'!$A:$AD,AG$2,0)</f>
        <v>#N/A</v>
      </c>
      <c r="AH250" t="e">
        <f>VLOOKUP($AC250,'oddspedia-matches'!$A:$AD,AH$2,0)</f>
        <v>#N/A</v>
      </c>
      <c r="AI250" t="e">
        <f>VLOOKUP($AC250,'oddspedia-matches'!$A:$AD,AI$2,0)</f>
        <v>#N/A</v>
      </c>
      <c r="AJ250" t="e">
        <f>VLOOKUP($AC250,'oddspedia-matches'!$A:$AD,AJ$2,0)</f>
        <v>#N/A</v>
      </c>
      <c r="AK250" t="e">
        <f>VLOOKUP($AC250,'oddspedia-matches'!$A:$AD,AK$2,0)</f>
        <v>#N/A</v>
      </c>
      <c r="AL250" t="e">
        <f>VLOOKUP($AC250,'oddspedia-matches'!$A:$AD,AL$2,0)</f>
        <v>#N/A</v>
      </c>
      <c r="AM250" t="e">
        <f>VLOOKUP($AC250,'oddspedia-matches'!$A:$AD,AM$2,0)</f>
        <v>#N/A</v>
      </c>
      <c r="AN250" t="e">
        <f>VLOOKUP($AC250,'oddspedia-matches'!$A:$AD,AN$2,0)</f>
        <v>#N/A</v>
      </c>
      <c r="AO250" t="e">
        <f>VLOOKUP($AC250,'oddspedia-matches'!$A:$AD,AO$2,0)</f>
        <v>#N/A</v>
      </c>
      <c r="AP250" t="e">
        <f>VLOOKUP($AC250,'oddspedia-matches'!$A:$AD,AP$2,0)</f>
        <v>#N/A</v>
      </c>
      <c r="AQ250" t="e">
        <f>VLOOKUP($AC250,'oddspedia-matches'!$A:$AD,AQ$2,0)</f>
        <v>#N/A</v>
      </c>
      <c r="AR250" t="e">
        <f>VLOOKUP($AC250,'oddspedia-matches'!$A:$AD,AR$2,0)</f>
        <v>#N/A</v>
      </c>
      <c r="AS250" t="e">
        <f>VLOOKUP($AC250,'oddspedia-matches'!$A:$AD,AS$2,0)</f>
        <v>#N/A</v>
      </c>
      <c r="AT250" t="e">
        <f>VLOOKUP($AC250,'oddspedia-matches'!$A:$AD,AT$2,0)</f>
        <v>#N/A</v>
      </c>
    </row>
    <row r="251" spans="2:46" x14ac:dyDescent="0.25">
      <c r="B251" s="17" t="s">
        <v>723</v>
      </c>
      <c r="C251" s="8" t="s">
        <v>508</v>
      </c>
      <c r="D251" s="18">
        <v>0.70833333333333337</v>
      </c>
      <c r="E251" s="8" t="s">
        <v>732</v>
      </c>
      <c r="F251" s="8" t="s">
        <v>733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s="8">
        <v>23.1</v>
      </c>
      <c r="Y251" s="8">
        <v>0</v>
      </c>
      <c r="Z251" s="19"/>
      <c r="AA251">
        <f>VLOOKUP(E251,'Transform table'!A:B,2,0)</f>
        <v>0</v>
      </c>
      <c r="AB251" t="e">
        <f>VLOOKUP(F251,'Transform table'!A:B,2,0)</f>
        <v>#N/A</v>
      </c>
      <c r="AC251" t="e">
        <f t="shared" si="3"/>
        <v>#N/A</v>
      </c>
      <c r="AD251" t="e">
        <f>VLOOKUP($AC251,'oddspedia-matches'!$A:$AD,AD$2,0)</f>
        <v>#N/A</v>
      </c>
      <c r="AE251" t="e">
        <f>VLOOKUP($AC251,'oddspedia-matches'!$A:$AD,AE$2,0)</f>
        <v>#N/A</v>
      </c>
      <c r="AF251" t="e">
        <f>VLOOKUP($AC251,'oddspedia-matches'!$A:$AD,AF$2,0)</f>
        <v>#N/A</v>
      </c>
      <c r="AG251" t="e">
        <f>VLOOKUP($AC251,'oddspedia-matches'!$A:$AD,AG$2,0)</f>
        <v>#N/A</v>
      </c>
      <c r="AH251" t="e">
        <f>VLOOKUP($AC251,'oddspedia-matches'!$A:$AD,AH$2,0)</f>
        <v>#N/A</v>
      </c>
      <c r="AI251" t="e">
        <f>VLOOKUP($AC251,'oddspedia-matches'!$A:$AD,AI$2,0)</f>
        <v>#N/A</v>
      </c>
      <c r="AJ251" t="e">
        <f>VLOOKUP($AC251,'oddspedia-matches'!$A:$AD,AJ$2,0)</f>
        <v>#N/A</v>
      </c>
      <c r="AK251" t="e">
        <f>VLOOKUP($AC251,'oddspedia-matches'!$A:$AD,AK$2,0)</f>
        <v>#N/A</v>
      </c>
      <c r="AL251" t="e">
        <f>VLOOKUP($AC251,'oddspedia-matches'!$A:$AD,AL$2,0)</f>
        <v>#N/A</v>
      </c>
      <c r="AM251" t="e">
        <f>VLOOKUP($AC251,'oddspedia-matches'!$A:$AD,AM$2,0)</f>
        <v>#N/A</v>
      </c>
      <c r="AN251" t="e">
        <f>VLOOKUP($AC251,'oddspedia-matches'!$A:$AD,AN$2,0)</f>
        <v>#N/A</v>
      </c>
      <c r="AO251" t="e">
        <f>VLOOKUP($AC251,'oddspedia-matches'!$A:$AD,AO$2,0)</f>
        <v>#N/A</v>
      </c>
      <c r="AP251" t="e">
        <f>VLOOKUP($AC251,'oddspedia-matches'!$A:$AD,AP$2,0)</f>
        <v>#N/A</v>
      </c>
      <c r="AQ251" t="e">
        <f>VLOOKUP($AC251,'oddspedia-matches'!$A:$AD,AQ$2,0)</f>
        <v>#N/A</v>
      </c>
      <c r="AR251" t="e">
        <f>VLOOKUP($AC251,'oddspedia-matches'!$A:$AD,AR$2,0)</f>
        <v>#N/A</v>
      </c>
      <c r="AS251" t="e">
        <f>VLOOKUP($AC251,'oddspedia-matches'!$A:$AD,AS$2,0)</f>
        <v>#N/A</v>
      </c>
      <c r="AT251" t="e">
        <f>VLOOKUP($AC251,'oddspedia-matches'!$A:$AD,AT$2,0)</f>
        <v>#N/A</v>
      </c>
    </row>
    <row r="252" spans="2:46" x14ac:dyDescent="0.25">
      <c r="B252" s="9" t="s">
        <v>723</v>
      </c>
      <c r="C252" s="7" t="s">
        <v>508</v>
      </c>
      <c r="D252" s="20">
        <v>0.70833333333333337</v>
      </c>
      <c r="E252" s="7" t="s">
        <v>734</v>
      </c>
      <c r="F252" s="7" t="s">
        <v>735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s="7">
        <v>15.4</v>
      </c>
      <c r="Y252" s="7">
        <v>15.4</v>
      </c>
      <c r="Z252" s="21"/>
      <c r="AA252">
        <f>VLOOKUP(E252,'Transform table'!A:B,2,0)</f>
        <v>0</v>
      </c>
      <c r="AB252" t="e">
        <f>VLOOKUP(F252,'Transform table'!A:B,2,0)</f>
        <v>#N/A</v>
      </c>
      <c r="AC252" t="e">
        <f t="shared" si="3"/>
        <v>#N/A</v>
      </c>
      <c r="AD252" t="e">
        <f>VLOOKUP($AC252,'oddspedia-matches'!$A:$AD,AD$2,0)</f>
        <v>#N/A</v>
      </c>
      <c r="AE252" t="e">
        <f>VLOOKUP($AC252,'oddspedia-matches'!$A:$AD,AE$2,0)</f>
        <v>#N/A</v>
      </c>
      <c r="AF252" t="e">
        <f>VLOOKUP($AC252,'oddspedia-matches'!$A:$AD,AF$2,0)</f>
        <v>#N/A</v>
      </c>
      <c r="AG252" t="e">
        <f>VLOOKUP($AC252,'oddspedia-matches'!$A:$AD,AG$2,0)</f>
        <v>#N/A</v>
      </c>
      <c r="AH252" t="e">
        <f>VLOOKUP($AC252,'oddspedia-matches'!$A:$AD,AH$2,0)</f>
        <v>#N/A</v>
      </c>
      <c r="AI252" t="e">
        <f>VLOOKUP($AC252,'oddspedia-matches'!$A:$AD,AI$2,0)</f>
        <v>#N/A</v>
      </c>
      <c r="AJ252" t="e">
        <f>VLOOKUP($AC252,'oddspedia-matches'!$A:$AD,AJ$2,0)</f>
        <v>#N/A</v>
      </c>
      <c r="AK252" t="e">
        <f>VLOOKUP($AC252,'oddspedia-matches'!$A:$AD,AK$2,0)</f>
        <v>#N/A</v>
      </c>
      <c r="AL252" t="e">
        <f>VLOOKUP($AC252,'oddspedia-matches'!$A:$AD,AL$2,0)</f>
        <v>#N/A</v>
      </c>
      <c r="AM252" t="e">
        <f>VLOOKUP($AC252,'oddspedia-matches'!$A:$AD,AM$2,0)</f>
        <v>#N/A</v>
      </c>
      <c r="AN252" t="e">
        <f>VLOOKUP($AC252,'oddspedia-matches'!$A:$AD,AN$2,0)</f>
        <v>#N/A</v>
      </c>
      <c r="AO252" t="e">
        <f>VLOOKUP($AC252,'oddspedia-matches'!$A:$AD,AO$2,0)</f>
        <v>#N/A</v>
      </c>
      <c r="AP252" t="e">
        <f>VLOOKUP($AC252,'oddspedia-matches'!$A:$AD,AP$2,0)</f>
        <v>#N/A</v>
      </c>
      <c r="AQ252" t="e">
        <f>VLOOKUP($AC252,'oddspedia-matches'!$A:$AD,AQ$2,0)</f>
        <v>#N/A</v>
      </c>
      <c r="AR252" t="e">
        <f>VLOOKUP($AC252,'oddspedia-matches'!$A:$AD,AR$2,0)</f>
        <v>#N/A</v>
      </c>
      <c r="AS252" t="e">
        <f>VLOOKUP($AC252,'oddspedia-matches'!$A:$AD,AS$2,0)</f>
        <v>#N/A</v>
      </c>
      <c r="AT252" t="e">
        <f>VLOOKUP($AC252,'oddspedia-matches'!$A:$AD,AT$2,0)</f>
        <v>#N/A</v>
      </c>
    </row>
    <row r="253" spans="2:46" x14ac:dyDescent="0.25">
      <c r="B253" s="17" t="s">
        <v>723</v>
      </c>
      <c r="C253" s="8" t="s">
        <v>508</v>
      </c>
      <c r="D253" s="18">
        <v>0.70833333333333337</v>
      </c>
      <c r="E253" s="8" t="s">
        <v>736</v>
      </c>
      <c r="F253" s="8" t="s">
        <v>737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s="8">
        <v>23.1</v>
      </c>
      <c r="Y253" s="8">
        <v>23.1</v>
      </c>
      <c r="Z253" s="19"/>
      <c r="AA253">
        <f>VLOOKUP(E253,'Transform table'!A:B,2,0)</f>
        <v>0</v>
      </c>
      <c r="AB253" t="e">
        <f>VLOOKUP(F253,'Transform table'!A:B,2,0)</f>
        <v>#N/A</v>
      </c>
      <c r="AC253" t="e">
        <f t="shared" si="3"/>
        <v>#N/A</v>
      </c>
      <c r="AD253" t="e">
        <f>VLOOKUP($AC253,'oddspedia-matches'!$A:$AD,AD$2,0)</f>
        <v>#N/A</v>
      </c>
      <c r="AE253" t="e">
        <f>VLOOKUP($AC253,'oddspedia-matches'!$A:$AD,AE$2,0)</f>
        <v>#N/A</v>
      </c>
      <c r="AF253" t="e">
        <f>VLOOKUP($AC253,'oddspedia-matches'!$A:$AD,AF$2,0)</f>
        <v>#N/A</v>
      </c>
      <c r="AG253" t="e">
        <f>VLOOKUP($AC253,'oddspedia-matches'!$A:$AD,AG$2,0)</f>
        <v>#N/A</v>
      </c>
      <c r="AH253" t="e">
        <f>VLOOKUP($AC253,'oddspedia-matches'!$A:$AD,AH$2,0)</f>
        <v>#N/A</v>
      </c>
      <c r="AI253" t="e">
        <f>VLOOKUP($AC253,'oddspedia-matches'!$A:$AD,AI$2,0)</f>
        <v>#N/A</v>
      </c>
      <c r="AJ253" t="e">
        <f>VLOOKUP($AC253,'oddspedia-matches'!$A:$AD,AJ$2,0)</f>
        <v>#N/A</v>
      </c>
      <c r="AK253" t="e">
        <f>VLOOKUP($AC253,'oddspedia-matches'!$A:$AD,AK$2,0)</f>
        <v>#N/A</v>
      </c>
      <c r="AL253" t="e">
        <f>VLOOKUP($AC253,'oddspedia-matches'!$A:$AD,AL$2,0)</f>
        <v>#N/A</v>
      </c>
      <c r="AM253" t="e">
        <f>VLOOKUP($AC253,'oddspedia-matches'!$A:$AD,AM$2,0)</f>
        <v>#N/A</v>
      </c>
      <c r="AN253" t="e">
        <f>VLOOKUP($AC253,'oddspedia-matches'!$A:$AD,AN$2,0)</f>
        <v>#N/A</v>
      </c>
      <c r="AO253" t="e">
        <f>VLOOKUP($AC253,'oddspedia-matches'!$A:$AD,AO$2,0)</f>
        <v>#N/A</v>
      </c>
      <c r="AP253" t="e">
        <f>VLOOKUP($AC253,'oddspedia-matches'!$A:$AD,AP$2,0)</f>
        <v>#N/A</v>
      </c>
      <c r="AQ253" t="e">
        <f>VLOOKUP($AC253,'oddspedia-matches'!$A:$AD,AQ$2,0)</f>
        <v>#N/A</v>
      </c>
      <c r="AR253" t="e">
        <f>VLOOKUP($AC253,'oddspedia-matches'!$A:$AD,AR$2,0)</f>
        <v>#N/A</v>
      </c>
      <c r="AS253" t="e">
        <f>VLOOKUP($AC253,'oddspedia-matches'!$A:$AD,AS$2,0)</f>
        <v>#N/A</v>
      </c>
      <c r="AT253" t="e">
        <f>VLOOKUP($AC253,'oddspedia-matches'!$A:$AD,AT$2,0)</f>
        <v>#N/A</v>
      </c>
    </row>
    <row r="254" spans="2:46" x14ac:dyDescent="0.25">
      <c r="B254" s="9" t="s">
        <v>723</v>
      </c>
      <c r="C254" s="7" t="s">
        <v>508</v>
      </c>
      <c r="D254" s="20">
        <v>0.70833333333333337</v>
      </c>
      <c r="E254" s="7" t="s">
        <v>738</v>
      </c>
      <c r="F254" s="7" t="s">
        <v>739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s="7">
        <v>15.4</v>
      </c>
      <c r="Y254" s="7">
        <v>15.4</v>
      </c>
      <c r="Z254" s="21"/>
      <c r="AA254">
        <f>VLOOKUP(E254,'Transform table'!A:B,2,0)</f>
        <v>0</v>
      </c>
      <c r="AB254" t="e">
        <f>VLOOKUP(F254,'Transform table'!A:B,2,0)</f>
        <v>#N/A</v>
      </c>
      <c r="AC254" t="e">
        <f t="shared" si="3"/>
        <v>#N/A</v>
      </c>
      <c r="AD254" t="e">
        <f>VLOOKUP($AC254,'oddspedia-matches'!$A:$AD,AD$2,0)</f>
        <v>#N/A</v>
      </c>
      <c r="AE254" t="e">
        <f>VLOOKUP($AC254,'oddspedia-matches'!$A:$AD,AE$2,0)</f>
        <v>#N/A</v>
      </c>
      <c r="AF254" t="e">
        <f>VLOOKUP($AC254,'oddspedia-matches'!$A:$AD,AF$2,0)</f>
        <v>#N/A</v>
      </c>
      <c r="AG254" t="e">
        <f>VLOOKUP($AC254,'oddspedia-matches'!$A:$AD,AG$2,0)</f>
        <v>#N/A</v>
      </c>
      <c r="AH254" t="e">
        <f>VLOOKUP($AC254,'oddspedia-matches'!$A:$AD,AH$2,0)</f>
        <v>#N/A</v>
      </c>
      <c r="AI254" t="e">
        <f>VLOOKUP($AC254,'oddspedia-matches'!$A:$AD,AI$2,0)</f>
        <v>#N/A</v>
      </c>
      <c r="AJ254" t="e">
        <f>VLOOKUP($AC254,'oddspedia-matches'!$A:$AD,AJ$2,0)</f>
        <v>#N/A</v>
      </c>
      <c r="AK254" t="e">
        <f>VLOOKUP($AC254,'oddspedia-matches'!$A:$AD,AK$2,0)</f>
        <v>#N/A</v>
      </c>
      <c r="AL254" t="e">
        <f>VLOOKUP($AC254,'oddspedia-matches'!$A:$AD,AL$2,0)</f>
        <v>#N/A</v>
      </c>
      <c r="AM254" t="e">
        <f>VLOOKUP($AC254,'oddspedia-matches'!$A:$AD,AM$2,0)</f>
        <v>#N/A</v>
      </c>
      <c r="AN254" t="e">
        <f>VLOOKUP($AC254,'oddspedia-matches'!$A:$AD,AN$2,0)</f>
        <v>#N/A</v>
      </c>
      <c r="AO254" t="e">
        <f>VLOOKUP($AC254,'oddspedia-matches'!$A:$AD,AO$2,0)</f>
        <v>#N/A</v>
      </c>
      <c r="AP254" t="e">
        <f>VLOOKUP($AC254,'oddspedia-matches'!$A:$AD,AP$2,0)</f>
        <v>#N/A</v>
      </c>
      <c r="AQ254" t="e">
        <f>VLOOKUP($AC254,'oddspedia-matches'!$A:$AD,AQ$2,0)</f>
        <v>#N/A</v>
      </c>
      <c r="AR254" t="e">
        <f>VLOOKUP($AC254,'oddspedia-matches'!$A:$AD,AR$2,0)</f>
        <v>#N/A</v>
      </c>
      <c r="AS254" t="e">
        <f>VLOOKUP($AC254,'oddspedia-matches'!$A:$AD,AS$2,0)</f>
        <v>#N/A</v>
      </c>
      <c r="AT254" t="e">
        <f>VLOOKUP($AC254,'oddspedia-matches'!$A:$AD,AT$2,0)</f>
        <v>#N/A</v>
      </c>
    </row>
    <row r="255" spans="2:46" x14ac:dyDescent="0.25">
      <c r="B255" s="17" t="s">
        <v>723</v>
      </c>
      <c r="C255" s="8" t="s">
        <v>508</v>
      </c>
      <c r="D255" s="18">
        <v>0.70833333333333337</v>
      </c>
      <c r="E255" s="8" t="s">
        <v>740</v>
      </c>
      <c r="F255" s="8" t="s">
        <v>741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s="8" t="s">
        <v>22</v>
      </c>
      <c r="Y255" s="8" t="s">
        <v>22</v>
      </c>
      <c r="Z255" s="19"/>
      <c r="AA255">
        <f>VLOOKUP(E255,'Transform table'!A:B,2,0)</f>
        <v>0</v>
      </c>
      <c r="AB255" t="e">
        <f>VLOOKUP(F255,'Transform table'!A:B,2,0)</f>
        <v>#N/A</v>
      </c>
      <c r="AC255" t="e">
        <f t="shared" si="3"/>
        <v>#N/A</v>
      </c>
      <c r="AD255" t="e">
        <f>VLOOKUP($AC255,'oddspedia-matches'!$A:$AD,AD$2,0)</f>
        <v>#N/A</v>
      </c>
      <c r="AE255" t="e">
        <f>VLOOKUP($AC255,'oddspedia-matches'!$A:$AD,AE$2,0)</f>
        <v>#N/A</v>
      </c>
      <c r="AF255" t="e">
        <f>VLOOKUP($AC255,'oddspedia-matches'!$A:$AD,AF$2,0)</f>
        <v>#N/A</v>
      </c>
      <c r="AG255" t="e">
        <f>VLOOKUP($AC255,'oddspedia-matches'!$A:$AD,AG$2,0)</f>
        <v>#N/A</v>
      </c>
      <c r="AH255" t="e">
        <f>VLOOKUP($AC255,'oddspedia-matches'!$A:$AD,AH$2,0)</f>
        <v>#N/A</v>
      </c>
      <c r="AI255" t="e">
        <f>VLOOKUP($AC255,'oddspedia-matches'!$A:$AD,AI$2,0)</f>
        <v>#N/A</v>
      </c>
      <c r="AJ255" t="e">
        <f>VLOOKUP($AC255,'oddspedia-matches'!$A:$AD,AJ$2,0)</f>
        <v>#N/A</v>
      </c>
      <c r="AK255" t="e">
        <f>VLOOKUP($AC255,'oddspedia-matches'!$A:$AD,AK$2,0)</f>
        <v>#N/A</v>
      </c>
      <c r="AL255" t="e">
        <f>VLOOKUP($AC255,'oddspedia-matches'!$A:$AD,AL$2,0)</f>
        <v>#N/A</v>
      </c>
      <c r="AM255" t="e">
        <f>VLOOKUP($AC255,'oddspedia-matches'!$A:$AD,AM$2,0)</f>
        <v>#N/A</v>
      </c>
      <c r="AN255" t="e">
        <f>VLOOKUP($AC255,'oddspedia-matches'!$A:$AD,AN$2,0)</f>
        <v>#N/A</v>
      </c>
      <c r="AO255" t="e">
        <f>VLOOKUP($AC255,'oddspedia-matches'!$A:$AD,AO$2,0)</f>
        <v>#N/A</v>
      </c>
      <c r="AP255" t="e">
        <f>VLOOKUP($AC255,'oddspedia-matches'!$A:$AD,AP$2,0)</f>
        <v>#N/A</v>
      </c>
      <c r="AQ255" t="e">
        <f>VLOOKUP($AC255,'oddspedia-matches'!$A:$AD,AQ$2,0)</f>
        <v>#N/A</v>
      </c>
      <c r="AR255" t="e">
        <f>VLOOKUP($AC255,'oddspedia-matches'!$A:$AD,AR$2,0)</f>
        <v>#N/A</v>
      </c>
      <c r="AS255" t="e">
        <f>VLOOKUP($AC255,'oddspedia-matches'!$A:$AD,AS$2,0)</f>
        <v>#N/A</v>
      </c>
      <c r="AT255" t="e">
        <f>VLOOKUP($AC255,'oddspedia-matches'!$A:$AD,AT$2,0)</f>
        <v>#N/A</v>
      </c>
    </row>
    <row r="256" spans="2:46" x14ac:dyDescent="0.25">
      <c r="B256" s="9" t="s">
        <v>723</v>
      </c>
      <c r="C256" s="7" t="s">
        <v>508</v>
      </c>
      <c r="D256" s="20">
        <v>0.70833333333333337</v>
      </c>
      <c r="E256" s="7" t="s">
        <v>742</v>
      </c>
      <c r="F256" s="7" t="s">
        <v>743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s="7">
        <v>30.8</v>
      </c>
      <c r="Y256" s="7">
        <v>15.4</v>
      </c>
      <c r="Z256" s="21"/>
      <c r="AA256">
        <f>VLOOKUP(E256,'Transform table'!A:B,2,0)</f>
        <v>0</v>
      </c>
      <c r="AB256" t="e">
        <f>VLOOKUP(F256,'Transform table'!A:B,2,0)</f>
        <v>#N/A</v>
      </c>
      <c r="AC256" t="e">
        <f t="shared" si="3"/>
        <v>#N/A</v>
      </c>
      <c r="AD256" t="e">
        <f>VLOOKUP($AC256,'oddspedia-matches'!$A:$AD,AD$2,0)</f>
        <v>#N/A</v>
      </c>
      <c r="AE256" t="e">
        <f>VLOOKUP($AC256,'oddspedia-matches'!$A:$AD,AE$2,0)</f>
        <v>#N/A</v>
      </c>
      <c r="AF256" t="e">
        <f>VLOOKUP($AC256,'oddspedia-matches'!$A:$AD,AF$2,0)</f>
        <v>#N/A</v>
      </c>
      <c r="AG256" t="e">
        <f>VLOOKUP($AC256,'oddspedia-matches'!$A:$AD,AG$2,0)</f>
        <v>#N/A</v>
      </c>
      <c r="AH256" t="e">
        <f>VLOOKUP($AC256,'oddspedia-matches'!$A:$AD,AH$2,0)</f>
        <v>#N/A</v>
      </c>
      <c r="AI256" t="e">
        <f>VLOOKUP($AC256,'oddspedia-matches'!$A:$AD,AI$2,0)</f>
        <v>#N/A</v>
      </c>
      <c r="AJ256" t="e">
        <f>VLOOKUP($AC256,'oddspedia-matches'!$A:$AD,AJ$2,0)</f>
        <v>#N/A</v>
      </c>
      <c r="AK256" t="e">
        <f>VLOOKUP($AC256,'oddspedia-matches'!$A:$AD,AK$2,0)</f>
        <v>#N/A</v>
      </c>
      <c r="AL256" t="e">
        <f>VLOOKUP($AC256,'oddspedia-matches'!$A:$AD,AL$2,0)</f>
        <v>#N/A</v>
      </c>
      <c r="AM256" t="e">
        <f>VLOOKUP($AC256,'oddspedia-matches'!$A:$AD,AM$2,0)</f>
        <v>#N/A</v>
      </c>
      <c r="AN256" t="e">
        <f>VLOOKUP($AC256,'oddspedia-matches'!$A:$AD,AN$2,0)</f>
        <v>#N/A</v>
      </c>
      <c r="AO256" t="e">
        <f>VLOOKUP($AC256,'oddspedia-matches'!$A:$AD,AO$2,0)</f>
        <v>#N/A</v>
      </c>
      <c r="AP256" t="e">
        <f>VLOOKUP($AC256,'oddspedia-matches'!$A:$AD,AP$2,0)</f>
        <v>#N/A</v>
      </c>
      <c r="AQ256" t="e">
        <f>VLOOKUP($AC256,'oddspedia-matches'!$A:$AD,AQ$2,0)</f>
        <v>#N/A</v>
      </c>
      <c r="AR256" t="e">
        <f>VLOOKUP($AC256,'oddspedia-matches'!$A:$AD,AR$2,0)</f>
        <v>#N/A</v>
      </c>
      <c r="AS256" t="e">
        <f>VLOOKUP($AC256,'oddspedia-matches'!$A:$AD,AS$2,0)</f>
        <v>#N/A</v>
      </c>
      <c r="AT256" t="e">
        <f>VLOOKUP($AC256,'oddspedia-matches'!$A:$AD,AT$2,0)</f>
        <v>#N/A</v>
      </c>
    </row>
    <row r="257" spans="2:46" x14ac:dyDescent="0.25">
      <c r="B257" s="17" t="s">
        <v>723</v>
      </c>
      <c r="C257" s="8" t="s">
        <v>508</v>
      </c>
      <c r="D257" s="18">
        <v>0.70833333333333337</v>
      </c>
      <c r="E257" s="8" t="s">
        <v>744</v>
      </c>
      <c r="F257" s="8" t="s">
        <v>745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s="8">
        <v>23.1</v>
      </c>
      <c r="Y257" s="8">
        <v>7.7</v>
      </c>
      <c r="Z257" s="19"/>
      <c r="AA257">
        <f>VLOOKUP(E257,'Transform table'!A:B,2,0)</f>
        <v>0</v>
      </c>
      <c r="AB257" t="e">
        <f>VLOOKUP(F257,'Transform table'!A:B,2,0)</f>
        <v>#N/A</v>
      </c>
      <c r="AC257" t="e">
        <f t="shared" si="3"/>
        <v>#N/A</v>
      </c>
      <c r="AD257" t="e">
        <f>VLOOKUP($AC257,'oddspedia-matches'!$A:$AD,AD$2,0)</f>
        <v>#N/A</v>
      </c>
      <c r="AE257" t="e">
        <f>VLOOKUP($AC257,'oddspedia-matches'!$A:$AD,AE$2,0)</f>
        <v>#N/A</v>
      </c>
      <c r="AF257" t="e">
        <f>VLOOKUP($AC257,'oddspedia-matches'!$A:$AD,AF$2,0)</f>
        <v>#N/A</v>
      </c>
      <c r="AG257" t="e">
        <f>VLOOKUP($AC257,'oddspedia-matches'!$A:$AD,AG$2,0)</f>
        <v>#N/A</v>
      </c>
      <c r="AH257" t="e">
        <f>VLOOKUP($AC257,'oddspedia-matches'!$A:$AD,AH$2,0)</f>
        <v>#N/A</v>
      </c>
      <c r="AI257" t="e">
        <f>VLOOKUP($AC257,'oddspedia-matches'!$A:$AD,AI$2,0)</f>
        <v>#N/A</v>
      </c>
      <c r="AJ257" t="e">
        <f>VLOOKUP($AC257,'oddspedia-matches'!$A:$AD,AJ$2,0)</f>
        <v>#N/A</v>
      </c>
      <c r="AK257" t="e">
        <f>VLOOKUP($AC257,'oddspedia-matches'!$A:$AD,AK$2,0)</f>
        <v>#N/A</v>
      </c>
      <c r="AL257" t="e">
        <f>VLOOKUP($AC257,'oddspedia-matches'!$A:$AD,AL$2,0)</f>
        <v>#N/A</v>
      </c>
      <c r="AM257" t="e">
        <f>VLOOKUP($AC257,'oddspedia-matches'!$A:$AD,AM$2,0)</f>
        <v>#N/A</v>
      </c>
      <c r="AN257" t="e">
        <f>VLOOKUP($AC257,'oddspedia-matches'!$A:$AD,AN$2,0)</f>
        <v>#N/A</v>
      </c>
      <c r="AO257" t="e">
        <f>VLOOKUP($AC257,'oddspedia-matches'!$A:$AD,AO$2,0)</f>
        <v>#N/A</v>
      </c>
      <c r="AP257" t="e">
        <f>VLOOKUP($AC257,'oddspedia-matches'!$A:$AD,AP$2,0)</f>
        <v>#N/A</v>
      </c>
      <c r="AQ257" t="e">
        <f>VLOOKUP($AC257,'oddspedia-matches'!$A:$AD,AQ$2,0)</f>
        <v>#N/A</v>
      </c>
      <c r="AR257" t="e">
        <f>VLOOKUP($AC257,'oddspedia-matches'!$A:$AD,AR$2,0)</f>
        <v>#N/A</v>
      </c>
      <c r="AS257" t="e">
        <f>VLOOKUP($AC257,'oddspedia-matches'!$A:$AD,AS$2,0)</f>
        <v>#N/A</v>
      </c>
      <c r="AT257" t="e">
        <f>VLOOKUP($AC257,'oddspedia-matches'!$A:$AD,AT$2,0)</f>
        <v>#N/A</v>
      </c>
    </row>
    <row r="258" spans="2:46" x14ac:dyDescent="0.25">
      <c r="B258" s="9" t="s">
        <v>746</v>
      </c>
      <c r="C258" s="7" t="s">
        <v>508</v>
      </c>
      <c r="D258" s="20">
        <v>0.70833333333333337</v>
      </c>
      <c r="E258" s="7" t="s">
        <v>747</v>
      </c>
      <c r="F258" s="7" t="s">
        <v>748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s="7">
        <v>0</v>
      </c>
      <c r="Y258" s="7">
        <v>14.3</v>
      </c>
      <c r="Z258" s="21"/>
      <c r="AA258" t="str">
        <f>VLOOKUP(E258,'Transform table'!A:B,2,0)</f>
        <v>Ferrocarril Midland</v>
      </c>
      <c r="AB258" t="e">
        <f>VLOOKUP(F258,'Transform table'!A:B,2,0)</f>
        <v>#N/A</v>
      </c>
      <c r="AC258" t="e">
        <f t="shared" si="3"/>
        <v>#N/A</v>
      </c>
      <c r="AD258" t="e">
        <f>VLOOKUP($AC258,'oddspedia-matches'!$A:$AD,AD$2,0)</f>
        <v>#N/A</v>
      </c>
      <c r="AE258" t="e">
        <f>VLOOKUP($AC258,'oddspedia-matches'!$A:$AD,AE$2,0)</f>
        <v>#N/A</v>
      </c>
      <c r="AF258" t="e">
        <f>VLOOKUP($AC258,'oddspedia-matches'!$A:$AD,AF$2,0)</f>
        <v>#N/A</v>
      </c>
      <c r="AG258" t="e">
        <f>VLOOKUP($AC258,'oddspedia-matches'!$A:$AD,AG$2,0)</f>
        <v>#N/A</v>
      </c>
      <c r="AH258" t="e">
        <f>VLOOKUP($AC258,'oddspedia-matches'!$A:$AD,AH$2,0)</f>
        <v>#N/A</v>
      </c>
      <c r="AI258" t="e">
        <f>VLOOKUP($AC258,'oddspedia-matches'!$A:$AD,AI$2,0)</f>
        <v>#N/A</v>
      </c>
      <c r="AJ258" t="e">
        <f>VLOOKUP($AC258,'oddspedia-matches'!$A:$AD,AJ$2,0)</f>
        <v>#N/A</v>
      </c>
      <c r="AK258" t="e">
        <f>VLOOKUP($AC258,'oddspedia-matches'!$A:$AD,AK$2,0)</f>
        <v>#N/A</v>
      </c>
      <c r="AL258" t="e">
        <f>VLOOKUP($AC258,'oddspedia-matches'!$A:$AD,AL$2,0)</f>
        <v>#N/A</v>
      </c>
      <c r="AM258" t="e">
        <f>VLOOKUP($AC258,'oddspedia-matches'!$A:$AD,AM$2,0)</f>
        <v>#N/A</v>
      </c>
      <c r="AN258" t="e">
        <f>VLOOKUP($AC258,'oddspedia-matches'!$A:$AD,AN$2,0)</f>
        <v>#N/A</v>
      </c>
      <c r="AO258" t="e">
        <f>VLOOKUP($AC258,'oddspedia-matches'!$A:$AD,AO$2,0)</f>
        <v>#N/A</v>
      </c>
      <c r="AP258" t="e">
        <f>VLOOKUP($AC258,'oddspedia-matches'!$A:$AD,AP$2,0)</f>
        <v>#N/A</v>
      </c>
      <c r="AQ258" t="e">
        <f>VLOOKUP($AC258,'oddspedia-matches'!$A:$AD,AQ$2,0)</f>
        <v>#N/A</v>
      </c>
      <c r="AR258" t="e">
        <f>VLOOKUP($AC258,'oddspedia-matches'!$A:$AD,AR$2,0)</f>
        <v>#N/A</v>
      </c>
      <c r="AS258" t="e">
        <f>VLOOKUP($AC258,'oddspedia-matches'!$A:$AD,AS$2,0)</f>
        <v>#N/A</v>
      </c>
      <c r="AT258" t="e">
        <f>VLOOKUP($AC258,'oddspedia-matches'!$A:$AD,AT$2,0)</f>
        <v>#N/A</v>
      </c>
    </row>
    <row r="259" spans="2:46" x14ac:dyDescent="0.25">
      <c r="B259" s="17" t="s">
        <v>746</v>
      </c>
      <c r="C259" s="8" t="s">
        <v>508</v>
      </c>
      <c r="D259" s="18">
        <v>0.70833333333333337</v>
      </c>
      <c r="E259" s="8" t="s">
        <v>749</v>
      </c>
      <c r="F259" s="8" t="s">
        <v>750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s="8">
        <v>20</v>
      </c>
      <c r="Y259" s="8">
        <v>0</v>
      </c>
      <c r="Z259" s="19"/>
      <c r="AA259">
        <f>VLOOKUP(E259,'Transform table'!A:B,2,0)</f>
        <v>0</v>
      </c>
      <c r="AB259" t="e">
        <f>VLOOKUP(F259,'Transform table'!A:B,2,0)</f>
        <v>#N/A</v>
      </c>
      <c r="AC259" t="e">
        <f t="shared" si="3"/>
        <v>#N/A</v>
      </c>
      <c r="AD259" t="e">
        <f>VLOOKUP($AC259,'oddspedia-matches'!$A:$AD,AD$2,0)</f>
        <v>#N/A</v>
      </c>
      <c r="AE259" t="e">
        <f>VLOOKUP($AC259,'oddspedia-matches'!$A:$AD,AE$2,0)</f>
        <v>#N/A</v>
      </c>
      <c r="AF259" t="e">
        <f>VLOOKUP($AC259,'oddspedia-matches'!$A:$AD,AF$2,0)</f>
        <v>#N/A</v>
      </c>
      <c r="AG259" t="e">
        <f>VLOOKUP($AC259,'oddspedia-matches'!$A:$AD,AG$2,0)</f>
        <v>#N/A</v>
      </c>
      <c r="AH259" t="e">
        <f>VLOOKUP($AC259,'oddspedia-matches'!$A:$AD,AH$2,0)</f>
        <v>#N/A</v>
      </c>
      <c r="AI259" t="e">
        <f>VLOOKUP($AC259,'oddspedia-matches'!$A:$AD,AI$2,0)</f>
        <v>#N/A</v>
      </c>
      <c r="AJ259" t="e">
        <f>VLOOKUP($AC259,'oddspedia-matches'!$A:$AD,AJ$2,0)</f>
        <v>#N/A</v>
      </c>
      <c r="AK259" t="e">
        <f>VLOOKUP($AC259,'oddspedia-matches'!$A:$AD,AK$2,0)</f>
        <v>#N/A</v>
      </c>
      <c r="AL259" t="e">
        <f>VLOOKUP($AC259,'oddspedia-matches'!$A:$AD,AL$2,0)</f>
        <v>#N/A</v>
      </c>
      <c r="AM259" t="e">
        <f>VLOOKUP($AC259,'oddspedia-matches'!$A:$AD,AM$2,0)</f>
        <v>#N/A</v>
      </c>
      <c r="AN259" t="e">
        <f>VLOOKUP($AC259,'oddspedia-matches'!$A:$AD,AN$2,0)</f>
        <v>#N/A</v>
      </c>
      <c r="AO259" t="e">
        <f>VLOOKUP($AC259,'oddspedia-matches'!$A:$AD,AO$2,0)</f>
        <v>#N/A</v>
      </c>
      <c r="AP259" t="e">
        <f>VLOOKUP($AC259,'oddspedia-matches'!$A:$AD,AP$2,0)</f>
        <v>#N/A</v>
      </c>
      <c r="AQ259" t="e">
        <f>VLOOKUP($AC259,'oddspedia-matches'!$A:$AD,AQ$2,0)</f>
        <v>#N/A</v>
      </c>
      <c r="AR259" t="e">
        <f>VLOOKUP($AC259,'oddspedia-matches'!$A:$AD,AR$2,0)</f>
        <v>#N/A</v>
      </c>
      <c r="AS259" t="e">
        <f>VLOOKUP($AC259,'oddspedia-matches'!$A:$AD,AS$2,0)</f>
        <v>#N/A</v>
      </c>
      <c r="AT259" t="e">
        <f>VLOOKUP($AC259,'oddspedia-matches'!$A:$AD,AT$2,0)</f>
        <v>#N/A</v>
      </c>
    </row>
    <row r="260" spans="2:46" x14ac:dyDescent="0.25">
      <c r="B260" s="9" t="s">
        <v>500</v>
      </c>
      <c r="C260" s="7" t="s">
        <v>508</v>
      </c>
      <c r="D260" s="20">
        <v>0.71875</v>
      </c>
      <c r="E260" s="7" t="s">
        <v>751</v>
      </c>
      <c r="F260" s="7" t="s">
        <v>752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s="7">
        <v>22.2</v>
      </c>
      <c r="Y260" s="7">
        <v>0</v>
      </c>
      <c r="Z260" s="21"/>
      <c r="AA260">
        <f>VLOOKUP(E260,'Transform table'!A:B,2,0)</f>
        <v>0</v>
      </c>
      <c r="AB260" t="e">
        <f>VLOOKUP(F260,'Transform table'!A:B,2,0)</f>
        <v>#N/A</v>
      </c>
      <c r="AC260" t="e">
        <f t="shared" si="3"/>
        <v>#N/A</v>
      </c>
      <c r="AD260" t="e">
        <f>VLOOKUP($AC260,'oddspedia-matches'!$A:$AD,AD$2,0)</f>
        <v>#N/A</v>
      </c>
      <c r="AE260" t="e">
        <f>VLOOKUP($AC260,'oddspedia-matches'!$A:$AD,AE$2,0)</f>
        <v>#N/A</v>
      </c>
      <c r="AF260" t="e">
        <f>VLOOKUP($AC260,'oddspedia-matches'!$A:$AD,AF$2,0)</f>
        <v>#N/A</v>
      </c>
      <c r="AG260" t="e">
        <f>VLOOKUP($AC260,'oddspedia-matches'!$A:$AD,AG$2,0)</f>
        <v>#N/A</v>
      </c>
      <c r="AH260" t="e">
        <f>VLOOKUP($AC260,'oddspedia-matches'!$A:$AD,AH$2,0)</f>
        <v>#N/A</v>
      </c>
      <c r="AI260" t="e">
        <f>VLOOKUP($AC260,'oddspedia-matches'!$A:$AD,AI$2,0)</f>
        <v>#N/A</v>
      </c>
      <c r="AJ260" t="e">
        <f>VLOOKUP($AC260,'oddspedia-matches'!$A:$AD,AJ$2,0)</f>
        <v>#N/A</v>
      </c>
      <c r="AK260" t="e">
        <f>VLOOKUP($AC260,'oddspedia-matches'!$A:$AD,AK$2,0)</f>
        <v>#N/A</v>
      </c>
      <c r="AL260" t="e">
        <f>VLOOKUP($AC260,'oddspedia-matches'!$A:$AD,AL$2,0)</f>
        <v>#N/A</v>
      </c>
      <c r="AM260" t="e">
        <f>VLOOKUP($AC260,'oddspedia-matches'!$A:$AD,AM$2,0)</f>
        <v>#N/A</v>
      </c>
      <c r="AN260" t="e">
        <f>VLOOKUP($AC260,'oddspedia-matches'!$A:$AD,AN$2,0)</f>
        <v>#N/A</v>
      </c>
      <c r="AO260" t="e">
        <f>VLOOKUP($AC260,'oddspedia-matches'!$A:$AD,AO$2,0)</f>
        <v>#N/A</v>
      </c>
      <c r="AP260" t="e">
        <f>VLOOKUP($AC260,'oddspedia-matches'!$A:$AD,AP$2,0)</f>
        <v>#N/A</v>
      </c>
      <c r="AQ260" t="e">
        <f>VLOOKUP($AC260,'oddspedia-matches'!$A:$AD,AQ$2,0)</f>
        <v>#N/A</v>
      </c>
      <c r="AR260" t="e">
        <f>VLOOKUP($AC260,'oddspedia-matches'!$A:$AD,AR$2,0)</f>
        <v>#N/A</v>
      </c>
      <c r="AS260" t="e">
        <f>VLOOKUP($AC260,'oddspedia-matches'!$A:$AD,AS$2,0)</f>
        <v>#N/A</v>
      </c>
      <c r="AT260" t="e">
        <f>VLOOKUP($AC260,'oddspedia-matches'!$A:$AD,AT$2,0)</f>
        <v>#N/A</v>
      </c>
    </row>
    <row r="261" spans="2:46" x14ac:dyDescent="0.25">
      <c r="B261" s="17" t="s">
        <v>505</v>
      </c>
      <c r="C261" s="8" t="s">
        <v>508</v>
      </c>
      <c r="D261" s="18">
        <v>0.75</v>
      </c>
      <c r="E261" s="8" t="s">
        <v>753</v>
      </c>
      <c r="F261" s="8" t="s">
        <v>754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s="8" t="s">
        <v>22</v>
      </c>
      <c r="Y261" s="8" t="s">
        <v>22</v>
      </c>
      <c r="Z261" s="19"/>
      <c r="AA261" t="str">
        <f>VLOOKUP(E261,'Transform table'!A:B,2,0)</f>
        <v>Boca Juniors</v>
      </c>
      <c r="AB261" t="e">
        <f>VLOOKUP(F261,'Transform table'!A:B,2,0)</f>
        <v>#N/A</v>
      </c>
      <c r="AC261" t="e">
        <f t="shared" ref="AC261:AC324" si="4">C261&amp;AA261&amp;AB261</f>
        <v>#N/A</v>
      </c>
      <c r="AD261" t="e">
        <f>VLOOKUP($AC261,'oddspedia-matches'!$A:$AD,AD$2,0)</f>
        <v>#N/A</v>
      </c>
      <c r="AE261" t="e">
        <f>VLOOKUP($AC261,'oddspedia-matches'!$A:$AD,AE$2,0)</f>
        <v>#N/A</v>
      </c>
      <c r="AF261" t="e">
        <f>VLOOKUP($AC261,'oddspedia-matches'!$A:$AD,AF$2,0)</f>
        <v>#N/A</v>
      </c>
      <c r="AG261" t="e">
        <f>VLOOKUP($AC261,'oddspedia-matches'!$A:$AD,AG$2,0)</f>
        <v>#N/A</v>
      </c>
      <c r="AH261" t="e">
        <f>VLOOKUP($AC261,'oddspedia-matches'!$A:$AD,AH$2,0)</f>
        <v>#N/A</v>
      </c>
      <c r="AI261" t="e">
        <f>VLOOKUP($AC261,'oddspedia-matches'!$A:$AD,AI$2,0)</f>
        <v>#N/A</v>
      </c>
      <c r="AJ261" t="e">
        <f>VLOOKUP($AC261,'oddspedia-matches'!$A:$AD,AJ$2,0)</f>
        <v>#N/A</v>
      </c>
      <c r="AK261" t="e">
        <f>VLOOKUP($AC261,'oddspedia-matches'!$A:$AD,AK$2,0)</f>
        <v>#N/A</v>
      </c>
      <c r="AL261" t="e">
        <f>VLOOKUP($AC261,'oddspedia-matches'!$A:$AD,AL$2,0)</f>
        <v>#N/A</v>
      </c>
      <c r="AM261" t="e">
        <f>VLOOKUP($AC261,'oddspedia-matches'!$A:$AD,AM$2,0)</f>
        <v>#N/A</v>
      </c>
      <c r="AN261" t="e">
        <f>VLOOKUP($AC261,'oddspedia-matches'!$A:$AD,AN$2,0)</f>
        <v>#N/A</v>
      </c>
      <c r="AO261" t="e">
        <f>VLOOKUP($AC261,'oddspedia-matches'!$A:$AD,AO$2,0)</f>
        <v>#N/A</v>
      </c>
      <c r="AP261" t="e">
        <f>VLOOKUP($AC261,'oddspedia-matches'!$A:$AD,AP$2,0)</f>
        <v>#N/A</v>
      </c>
      <c r="AQ261" t="e">
        <f>VLOOKUP($AC261,'oddspedia-matches'!$A:$AD,AQ$2,0)</f>
        <v>#N/A</v>
      </c>
      <c r="AR261" t="e">
        <f>VLOOKUP($AC261,'oddspedia-matches'!$A:$AD,AR$2,0)</f>
        <v>#N/A</v>
      </c>
      <c r="AS261" t="e">
        <f>VLOOKUP($AC261,'oddspedia-matches'!$A:$AD,AS$2,0)</f>
        <v>#N/A</v>
      </c>
      <c r="AT261" t="e">
        <f>VLOOKUP($AC261,'oddspedia-matches'!$A:$AD,AT$2,0)</f>
        <v>#N/A</v>
      </c>
    </row>
    <row r="262" spans="2:46" x14ac:dyDescent="0.25">
      <c r="B262" s="9" t="s">
        <v>501</v>
      </c>
      <c r="C262" s="7" t="s">
        <v>508</v>
      </c>
      <c r="D262" s="20">
        <v>0.75</v>
      </c>
      <c r="E262" s="7" t="s">
        <v>755</v>
      </c>
      <c r="F262" s="7" t="s">
        <v>756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s="7">
        <v>40</v>
      </c>
      <c r="Y262" s="7">
        <v>10</v>
      </c>
      <c r="Z262" s="21"/>
      <c r="AA262" t="str">
        <f>VLOOKUP(E262,'Transform table'!A:B,2,0)</f>
        <v>Bogota</v>
      </c>
      <c r="AB262" t="e">
        <f>VLOOKUP(F262,'Transform table'!A:B,2,0)</f>
        <v>#N/A</v>
      </c>
      <c r="AC262" t="e">
        <f t="shared" si="4"/>
        <v>#N/A</v>
      </c>
      <c r="AD262" t="e">
        <f>VLOOKUP($AC262,'oddspedia-matches'!$A:$AD,AD$2,0)</f>
        <v>#N/A</v>
      </c>
      <c r="AE262" t="e">
        <f>VLOOKUP($AC262,'oddspedia-matches'!$A:$AD,AE$2,0)</f>
        <v>#N/A</v>
      </c>
      <c r="AF262" t="e">
        <f>VLOOKUP($AC262,'oddspedia-matches'!$A:$AD,AF$2,0)</f>
        <v>#N/A</v>
      </c>
      <c r="AG262" t="e">
        <f>VLOOKUP($AC262,'oddspedia-matches'!$A:$AD,AG$2,0)</f>
        <v>#N/A</v>
      </c>
      <c r="AH262" t="e">
        <f>VLOOKUP($AC262,'oddspedia-matches'!$A:$AD,AH$2,0)</f>
        <v>#N/A</v>
      </c>
      <c r="AI262" t="e">
        <f>VLOOKUP($AC262,'oddspedia-matches'!$A:$AD,AI$2,0)</f>
        <v>#N/A</v>
      </c>
      <c r="AJ262" t="e">
        <f>VLOOKUP($AC262,'oddspedia-matches'!$A:$AD,AJ$2,0)</f>
        <v>#N/A</v>
      </c>
      <c r="AK262" t="e">
        <f>VLOOKUP($AC262,'oddspedia-matches'!$A:$AD,AK$2,0)</f>
        <v>#N/A</v>
      </c>
      <c r="AL262" t="e">
        <f>VLOOKUP($AC262,'oddspedia-matches'!$A:$AD,AL$2,0)</f>
        <v>#N/A</v>
      </c>
      <c r="AM262" t="e">
        <f>VLOOKUP($AC262,'oddspedia-matches'!$A:$AD,AM$2,0)</f>
        <v>#N/A</v>
      </c>
      <c r="AN262" t="e">
        <f>VLOOKUP($AC262,'oddspedia-matches'!$A:$AD,AN$2,0)</f>
        <v>#N/A</v>
      </c>
      <c r="AO262" t="e">
        <f>VLOOKUP($AC262,'oddspedia-matches'!$A:$AD,AO$2,0)</f>
        <v>#N/A</v>
      </c>
      <c r="AP262" t="e">
        <f>VLOOKUP($AC262,'oddspedia-matches'!$A:$AD,AP$2,0)</f>
        <v>#N/A</v>
      </c>
      <c r="AQ262" t="e">
        <f>VLOOKUP($AC262,'oddspedia-matches'!$A:$AD,AQ$2,0)</f>
        <v>#N/A</v>
      </c>
      <c r="AR262" t="e">
        <f>VLOOKUP($AC262,'oddspedia-matches'!$A:$AD,AR$2,0)</f>
        <v>#N/A</v>
      </c>
      <c r="AS262" t="e">
        <f>VLOOKUP($AC262,'oddspedia-matches'!$A:$AD,AS$2,0)</f>
        <v>#N/A</v>
      </c>
      <c r="AT262" t="e">
        <f>VLOOKUP($AC262,'oddspedia-matches'!$A:$AD,AT$2,0)</f>
        <v>#N/A</v>
      </c>
    </row>
    <row r="263" spans="2:46" x14ac:dyDescent="0.25">
      <c r="B263" s="17" t="s">
        <v>484</v>
      </c>
      <c r="C263" s="8" t="s">
        <v>508</v>
      </c>
      <c r="D263" s="18">
        <v>0.75</v>
      </c>
      <c r="E263" s="8" t="s">
        <v>48</v>
      </c>
      <c r="F263" s="8" t="s">
        <v>757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s="8" t="s">
        <v>22</v>
      </c>
      <c r="Y263" s="8" t="s">
        <v>22</v>
      </c>
      <c r="Z263" s="19"/>
      <c r="AA263" t="str">
        <f>VLOOKUP(E263,'Transform table'!A:B,2,0)</f>
        <v>Inter Miami II</v>
      </c>
      <c r="AB263" t="e">
        <f>VLOOKUP(F263,'Transform table'!A:B,2,0)</f>
        <v>#N/A</v>
      </c>
      <c r="AC263" t="e">
        <f t="shared" si="4"/>
        <v>#N/A</v>
      </c>
      <c r="AD263" t="e">
        <f>VLOOKUP($AC263,'oddspedia-matches'!$A:$AD,AD$2,0)</f>
        <v>#N/A</v>
      </c>
      <c r="AE263" t="e">
        <f>VLOOKUP($AC263,'oddspedia-matches'!$A:$AD,AE$2,0)</f>
        <v>#N/A</v>
      </c>
      <c r="AF263" t="e">
        <f>VLOOKUP($AC263,'oddspedia-matches'!$A:$AD,AF$2,0)</f>
        <v>#N/A</v>
      </c>
      <c r="AG263" t="e">
        <f>VLOOKUP($AC263,'oddspedia-matches'!$A:$AD,AG$2,0)</f>
        <v>#N/A</v>
      </c>
      <c r="AH263" t="e">
        <f>VLOOKUP($AC263,'oddspedia-matches'!$A:$AD,AH$2,0)</f>
        <v>#N/A</v>
      </c>
      <c r="AI263" t="e">
        <f>VLOOKUP($AC263,'oddspedia-matches'!$A:$AD,AI$2,0)</f>
        <v>#N/A</v>
      </c>
      <c r="AJ263" t="e">
        <f>VLOOKUP($AC263,'oddspedia-matches'!$A:$AD,AJ$2,0)</f>
        <v>#N/A</v>
      </c>
      <c r="AK263" t="e">
        <f>VLOOKUP($AC263,'oddspedia-matches'!$A:$AD,AK$2,0)</f>
        <v>#N/A</v>
      </c>
      <c r="AL263" t="e">
        <f>VLOOKUP($AC263,'oddspedia-matches'!$A:$AD,AL$2,0)</f>
        <v>#N/A</v>
      </c>
      <c r="AM263" t="e">
        <f>VLOOKUP($AC263,'oddspedia-matches'!$A:$AD,AM$2,0)</f>
        <v>#N/A</v>
      </c>
      <c r="AN263" t="e">
        <f>VLOOKUP($AC263,'oddspedia-matches'!$A:$AD,AN$2,0)</f>
        <v>#N/A</v>
      </c>
      <c r="AO263" t="e">
        <f>VLOOKUP($AC263,'oddspedia-matches'!$A:$AD,AO$2,0)</f>
        <v>#N/A</v>
      </c>
      <c r="AP263" t="e">
        <f>VLOOKUP($AC263,'oddspedia-matches'!$A:$AD,AP$2,0)</f>
        <v>#N/A</v>
      </c>
      <c r="AQ263" t="e">
        <f>VLOOKUP($AC263,'oddspedia-matches'!$A:$AD,AQ$2,0)</f>
        <v>#N/A</v>
      </c>
      <c r="AR263" t="e">
        <f>VLOOKUP($AC263,'oddspedia-matches'!$A:$AD,AR$2,0)</f>
        <v>#N/A</v>
      </c>
      <c r="AS263" t="e">
        <f>VLOOKUP($AC263,'oddspedia-matches'!$A:$AD,AS$2,0)</f>
        <v>#N/A</v>
      </c>
      <c r="AT263" t="e">
        <f>VLOOKUP($AC263,'oddspedia-matches'!$A:$AD,AT$2,0)</f>
        <v>#N/A</v>
      </c>
    </row>
    <row r="264" spans="2:46" x14ac:dyDescent="0.25">
      <c r="B264" s="9" t="s">
        <v>504</v>
      </c>
      <c r="C264" s="7" t="s">
        <v>508</v>
      </c>
      <c r="D264" s="20">
        <v>0.75</v>
      </c>
      <c r="E264" s="7" t="s">
        <v>758</v>
      </c>
      <c r="F264" s="7" t="s">
        <v>759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s="7">
        <v>20</v>
      </c>
      <c r="Y264" s="7">
        <v>0</v>
      </c>
      <c r="Z264" s="21"/>
      <c r="AA264" t="str">
        <f>VLOOKUP(E264,'Transform table'!A:B,2,0)</f>
        <v>Danubio</v>
      </c>
      <c r="AB264" t="e">
        <f>VLOOKUP(F264,'Transform table'!A:B,2,0)</f>
        <v>#N/A</v>
      </c>
      <c r="AC264" t="e">
        <f t="shared" si="4"/>
        <v>#N/A</v>
      </c>
      <c r="AD264" t="e">
        <f>VLOOKUP($AC264,'oddspedia-matches'!$A:$AD,AD$2,0)</f>
        <v>#N/A</v>
      </c>
      <c r="AE264" t="e">
        <f>VLOOKUP($AC264,'oddspedia-matches'!$A:$AD,AE$2,0)</f>
        <v>#N/A</v>
      </c>
      <c r="AF264" t="e">
        <f>VLOOKUP($AC264,'oddspedia-matches'!$A:$AD,AF$2,0)</f>
        <v>#N/A</v>
      </c>
      <c r="AG264" t="e">
        <f>VLOOKUP($AC264,'oddspedia-matches'!$A:$AD,AG$2,0)</f>
        <v>#N/A</v>
      </c>
      <c r="AH264" t="e">
        <f>VLOOKUP($AC264,'oddspedia-matches'!$A:$AD,AH$2,0)</f>
        <v>#N/A</v>
      </c>
      <c r="AI264" t="e">
        <f>VLOOKUP($AC264,'oddspedia-matches'!$A:$AD,AI$2,0)</f>
        <v>#N/A</v>
      </c>
      <c r="AJ264" t="e">
        <f>VLOOKUP($AC264,'oddspedia-matches'!$A:$AD,AJ$2,0)</f>
        <v>#N/A</v>
      </c>
      <c r="AK264" t="e">
        <f>VLOOKUP($AC264,'oddspedia-matches'!$A:$AD,AK$2,0)</f>
        <v>#N/A</v>
      </c>
      <c r="AL264" t="e">
        <f>VLOOKUP($AC264,'oddspedia-matches'!$A:$AD,AL$2,0)</f>
        <v>#N/A</v>
      </c>
      <c r="AM264" t="e">
        <f>VLOOKUP($AC264,'oddspedia-matches'!$A:$AD,AM$2,0)</f>
        <v>#N/A</v>
      </c>
      <c r="AN264" t="e">
        <f>VLOOKUP($AC264,'oddspedia-matches'!$A:$AD,AN$2,0)</f>
        <v>#N/A</v>
      </c>
      <c r="AO264" t="e">
        <f>VLOOKUP($AC264,'oddspedia-matches'!$A:$AD,AO$2,0)</f>
        <v>#N/A</v>
      </c>
      <c r="AP264" t="e">
        <f>VLOOKUP($AC264,'oddspedia-matches'!$A:$AD,AP$2,0)</f>
        <v>#N/A</v>
      </c>
      <c r="AQ264" t="e">
        <f>VLOOKUP($AC264,'oddspedia-matches'!$A:$AD,AQ$2,0)</f>
        <v>#N/A</v>
      </c>
      <c r="AR264" t="e">
        <f>VLOOKUP($AC264,'oddspedia-matches'!$A:$AD,AR$2,0)</f>
        <v>#N/A</v>
      </c>
      <c r="AS264" t="e">
        <f>VLOOKUP($AC264,'oddspedia-matches'!$A:$AD,AS$2,0)</f>
        <v>#N/A</v>
      </c>
      <c r="AT264" t="e">
        <f>VLOOKUP($AC264,'oddspedia-matches'!$A:$AD,AT$2,0)</f>
        <v>#N/A</v>
      </c>
    </row>
    <row r="265" spans="2:46" x14ac:dyDescent="0.25">
      <c r="B265" s="17" t="s">
        <v>505</v>
      </c>
      <c r="C265" s="8" t="s">
        <v>508</v>
      </c>
      <c r="D265" s="18">
        <v>0.75347222222222221</v>
      </c>
      <c r="E265" s="8" t="s">
        <v>760</v>
      </c>
      <c r="F265" s="8" t="s">
        <v>425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s="8">
        <v>30</v>
      </c>
      <c r="Y265" s="8">
        <v>11.1</v>
      </c>
      <c r="Z265" s="19"/>
      <c r="AA265" t="str">
        <f>VLOOKUP(E265,'Transform table'!A:B,2,0)</f>
        <v>Independiente Medellin</v>
      </c>
      <c r="AB265" t="e">
        <f>VLOOKUP(F265,'Transform table'!A:B,2,0)</f>
        <v>#N/A</v>
      </c>
      <c r="AC265" t="e">
        <f t="shared" si="4"/>
        <v>#N/A</v>
      </c>
      <c r="AD265" t="e">
        <f>VLOOKUP($AC265,'oddspedia-matches'!$A:$AD,AD$2,0)</f>
        <v>#N/A</v>
      </c>
      <c r="AE265" t="e">
        <f>VLOOKUP($AC265,'oddspedia-matches'!$A:$AD,AE$2,0)</f>
        <v>#N/A</v>
      </c>
      <c r="AF265" t="e">
        <f>VLOOKUP($AC265,'oddspedia-matches'!$A:$AD,AF$2,0)</f>
        <v>#N/A</v>
      </c>
      <c r="AG265" t="e">
        <f>VLOOKUP($AC265,'oddspedia-matches'!$A:$AD,AG$2,0)</f>
        <v>#N/A</v>
      </c>
      <c r="AH265" t="e">
        <f>VLOOKUP($AC265,'oddspedia-matches'!$A:$AD,AH$2,0)</f>
        <v>#N/A</v>
      </c>
      <c r="AI265" t="e">
        <f>VLOOKUP($AC265,'oddspedia-matches'!$A:$AD,AI$2,0)</f>
        <v>#N/A</v>
      </c>
      <c r="AJ265" t="e">
        <f>VLOOKUP($AC265,'oddspedia-matches'!$A:$AD,AJ$2,0)</f>
        <v>#N/A</v>
      </c>
      <c r="AK265" t="e">
        <f>VLOOKUP($AC265,'oddspedia-matches'!$A:$AD,AK$2,0)</f>
        <v>#N/A</v>
      </c>
      <c r="AL265" t="e">
        <f>VLOOKUP($AC265,'oddspedia-matches'!$A:$AD,AL$2,0)</f>
        <v>#N/A</v>
      </c>
      <c r="AM265" t="e">
        <f>VLOOKUP($AC265,'oddspedia-matches'!$A:$AD,AM$2,0)</f>
        <v>#N/A</v>
      </c>
      <c r="AN265" t="e">
        <f>VLOOKUP($AC265,'oddspedia-matches'!$A:$AD,AN$2,0)</f>
        <v>#N/A</v>
      </c>
      <c r="AO265" t="e">
        <f>VLOOKUP($AC265,'oddspedia-matches'!$A:$AD,AO$2,0)</f>
        <v>#N/A</v>
      </c>
      <c r="AP265" t="e">
        <f>VLOOKUP($AC265,'oddspedia-matches'!$A:$AD,AP$2,0)</f>
        <v>#N/A</v>
      </c>
      <c r="AQ265" t="e">
        <f>VLOOKUP($AC265,'oddspedia-matches'!$A:$AD,AQ$2,0)</f>
        <v>#N/A</v>
      </c>
      <c r="AR265" t="e">
        <f>VLOOKUP($AC265,'oddspedia-matches'!$A:$AD,AR$2,0)</f>
        <v>#N/A</v>
      </c>
      <c r="AS265" t="e">
        <f>VLOOKUP($AC265,'oddspedia-matches'!$A:$AD,AS$2,0)</f>
        <v>#N/A</v>
      </c>
      <c r="AT265" t="e">
        <f>VLOOKUP($AC265,'oddspedia-matches'!$A:$AD,AT$2,0)</f>
        <v>#N/A</v>
      </c>
    </row>
    <row r="266" spans="2:46" x14ac:dyDescent="0.25">
      <c r="B266" s="9" t="s">
        <v>475</v>
      </c>
      <c r="C266" s="7" t="s">
        <v>508</v>
      </c>
      <c r="D266" s="20">
        <v>0.76041666666666663</v>
      </c>
      <c r="E266" s="7" t="s">
        <v>761</v>
      </c>
      <c r="F266" s="7" t="s">
        <v>269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s="7">
        <v>25</v>
      </c>
      <c r="Y266" s="7">
        <v>20</v>
      </c>
      <c r="Z266" s="21"/>
      <c r="AA266">
        <f>VLOOKUP(E266,'Transform table'!A:B,2,0)</f>
        <v>0</v>
      </c>
      <c r="AB266" t="str">
        <f>VLOOKUP(F266,'Transform table'!A:B,2,0)</f>
        <v>Real Oruro</v>
      </c>
      <c r="AC266" t="str">
        <f t="shared" si="4"/>
        <v>25/07/20260Real Oruro</v>
      </c>
      <c r="AD266" t="e">
        <f>VLOOKUP($AC266,'oddspedia-matches'!$A:$AD,AD$2,0)</f>
        <v>#N/A</v>
      </c>
      <c r="AE266" t="e">
        <f>VLOOKUP($AC266,'oddspedia-matches'!$A:$AD,AE$2,0)</f>
        <v>#N/A</v>
      </c>
      <c r="AF266" t="e">
        <f>VLOOKUP($AC266,'oddspedia-matches'!$A:$AD,AF$2,0)</f>
        <v>#N/A</v>
      </c>
      <c r="AG266" t="e">
        <f>VLOOKUP($AC266,'oddspedia-matches'!$A:$AD,AG$2,0)</f>
        <v>#N/A</v>
      </c>
      <c r="AH266" t="e">
        <f>VLOOKUP($AC266,'oddspedia-matches'!$A:$AD,AH$2,0)</f>
        <v>#N/A</v>
      </c>
      <c r="AI266" t="e">
        <f>VLOOKUP($AC266,'oddspedia-matches'!$A:$AD,AI$2,0)</f>
        <v>#N/A</v>
      </c>
      <c r="AJ266" t="e">
        <f>VLOOKUP($AC266,'oddspedia-matches'!$A:$AD,AJ$2,0)</f>
        <v>#N/A</v>
      </c>
      <c r="AK266" t="e">
        <f>VLOOKUP($AC266,'oddspedia-matches'!$A:$AD,AK$2,0)</f>
        <v>#N/A</v>
      </c>
      <c r="AL266" t="e">
        <f>VLOOKUP($AC266,'oddspedia-matches'!$A:$AD,AL$2,0)</f>
        <v>#N/A</v>
      </c>
      <c r="AM266" t="e">
        <f>VLOOKUP($AC266,'oddspedia-matches'!$A:$AD,AM$2,0)</f>
        <v>#N/A</v>
      </c>
      <c r="AN266" t="e">
        <f>VLOOKUP($AC266,'oddspedia-matches'!$A:$AD,AN$2,0)</f>
        <v>#N/A</v>
      </c>
      <c r="AO266" t="e">
        <f>VLOOKUP($AC266,'oddspedia-matches'!$A:$AD,AO$2,0)</f>
        <v>#N/A</v>
      </c>
      <c r="AP266" t="e">
        <f>VLOOKUP($AC266,'oddspedia-matches'!$A:$AD,AP$2,0)</f>
        <v>#N/A</v>
      </c>
      <c r="AQ266" t="e">
        <f>VLOOKUP($AC266,'oddspedia-matches'!$A:$AD,AQ$2,0)</f>
        <v>#N/A</v>
      </c>
      <c r="AR266" t="e">
        <f>VLOOKUP($AC266,'oddspedia-matches'!$A:$AD,AR$2,0)</f>
        <v>#N/A</v>
      </c>
      <c r="AS266" t="e">
        <f>VLOOKUP($AC266,'oddspedia-matches'!$A:$AD,AS$2,0)</f>
        <v>#N/A</v>
      </c>
      <c r="AT266" t="e">
        <f>VLOOKUP($AC266,'oddspedia-matches'!$A:$AD,AT$2,0)</f>
        <v>#N/A</v>
      </c>
    </row>
    <row r="267" spans="2:46" x14ac:dyDescent="0.25">
      <c r="B267" s="17" t="s">
        <v>472</v>
      </c>
      <c r="C267" s="8" t="s">
        <v>508</v>
      </c>
      <c r="D267" s="18">
        <v>0.77083333333333337</v>
      </c>
      <c r="E267" s="8" t="s">
        <v>72</v>
      </c>
      <c r="F267" s="8" t="s">
        <v>69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s="8" t="s">
        <v>22</v>
      </c>
      <c r="Y267" s="8" t="s">
        <v>22</v>
      </c>
      <c r="Z267" s="19"/>
      <c r="AA267" t="str">
        <f>VLOOKUP(E267,'Transform table'!A:B,2,0)</f>
        <v>Athletico Paranaense</v>
      </c>
      <c r="AB267" t="str">
        <f>VLOOKUP(F267,'Transform table'!A:B,2,0)</f>
        <v>Internacional</v>
      </c>
      <c r="AC267" t="str">
        <f t="shared" si="4"/>
        <v>25/07/2026Athletico ParanaenseInternacional</v>
      </c>
      <c r="AD267" t="e">
        <f>VLOOKUP($AC267,'oddspedia-matches'!$A:$AD,AD$2,0)</f>
        <v>#N/A</v>
      </c>
      <c r="AE267" t="e">
        <f>VLOOKUP($AC267,'oddspedia-matches'!$A:$AD,AE$2,0)</f>
        <v>#N/A</v>
      </c>
      <c r="AF267" t="e">
        <f>VLOOKUP($AC267,'oddspedia-matches'!$A:$AD,AF$2,0)</f>
        <v>#N/A</v>
      </c>
      <c r="AG267" t="e">
        <f>VLOOKUP($AC267,'oddspedia-matches'!$A:$AD,AG$2,0)</f>
        <v>#N/A</v>
      </c>
      <c r="AH267" t="e">
        <f>VLOOKUP($AC267,'oddspedia-matches'!$A:$AD,AH$2,0)</f>
        <v>#N/A</v>
      </c>
      <c r="AI267" t="e">
        <f>VLOOKUP($AC267,'oddspedia-matches'!$A:$AD,AI$2,0)</f>
        <v>#N/A</v>
      </c>
      <c r="AJ267" t="e">
        <f>VLOOKUP($AC267,'oddspedia-matches'!$A:$AD,AJ$2,0)</f>
        <v>#N/A</v>
      </c>
      <c r="AK267" t="e">
        <f>VLOOKUP($AC267,'oddspedia-matches'!$A:$AD,AK$2,0)</f>
        <v>#N/A</v>
      </c>
      <c r="AL267" t="e">
        <f>VLOOKUP($AC267,'oddspedia-matches'!$A:$AD,AL$2,0)</f>
        <v>#N/A</v>
      </c>
      <c r="AM267" t="e">
        <f>VLOOKUP($AC267,'oddspedia-matches'!$A:$AD,AM$2,0)</f>
        <v>#N/A</v>
      </c>
      <c r="AN267" t="e">
        <f>VLOOKUP($AC267,'oddspedia-matches'!$A:$AD,AN$2,0)</f>
        <v>#N/A</v>
      </c>
      <c r="AO267" t="e">
        <f>VLOOKUP($AC267,'oddspedia-matches'!$A:$AD,AO$2,0)</f>
        <v>#N/A</v>
      </c>
      <c r="AP267" t="e">
        <f>VLOOKUP($AC267,'oddspedia-matches'!$A:$AD,AP$2,0)</f>
        <v>#N/A</v>
      </c>
      <c r="AQ267" t="e">
        <f>VLOOKUP($AC267,'oddspedia-matches'!$A:$AD,AQ$2,0)</f>
        <v>#N/A</v>
      </c>
      <c r="AR267" t="e">
        <f>VLOOKUP($AC267,'oddspedia-matches'!$A:$AD,AR$2,0)</f>
        <v>#N/A</v>
      </c>
      <c r="AS267" t="e">
        <f>VLOOKUP($AC267,'oddspedia-matches'!$A:$AD,AS$2,0)</f>
        <v>#N/A</v>
      </c>
      <c r="AT267" t="e">
        <f>VLOOKUP($AC267,'oddspedia-matches'!$A:$AD,AT$2,0)</f>
        <v>#N/A</v>
      </c>
    </row>
    <row r="268" spans="2:46" x14ac:dyDescent="0.25">
      <c r="B268" s="9" t="s">
        <v>472</v>
      </c>
      <c r="C268" s="7" t="s">
        <v>508</v>
      </c>
      <c r="D268" s="20">
        <v>0.77083333333333337</v>
      </c>
      <c r="E268" s="7" t="s">
        <v>762</v>
      </c>
      <c r="F268" s="7" t="s">
        <v>67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s="7" t="s">
        <v>22</v>
      </c>
      <c r="Y268" s="7" t="s">
        <v>22</v>
      </c>
      <c r="Z268" s="21"/>
      <c r="AA268" t="str">
        <f>VLOOKUP(E268,'Transform table'!A:B,2,0)</f>
        <v>Santos</v>
      </c>
      <c r="AB268" t="str">
        <f>VLOOKUP(F268,'Transform table'!A:B,2,0)</f>
        <v>Chapecoense</v>
      </c>
      <c r="AC268" t="str">
        <f t="shared" si="4"/>
        <v>25/07/2026SantosChapecoense</v>
      </c>
      <c r="AD268" t="e">
        <f>VLOOKUP($AC268,'oddspedia-matches'!$A:$AD,AD$2,0)</f>
        <v>#N/A</v>
      </c>
      <c r="AE268" t="e">
        <f>VLOOKUP($AC268,'oddspedia-matches'!$A:$AD,AE$2,0)</f>
        <v>#N/A</v>
      </c>
      <c r="AF268" t="e">
        <f>VLOOKUP($AC268,'oddspedia-matches'!$A:$AD,AF$2,0)</f>
        <v>#N/A</v>
      </c>
      <c r="AG268" t="e">
        <f>VLOOKUP($AC268,'oddspedia-matches'!$A:$AD,AG$2,0)</f>
        <v>#N/A</v>
      </c>
      <c r="AH268" t="e">
        <f>VLOOKUP($AC268,'oddspedia-matches'!$A:$AD,AH$2,0)</f>
        <v>#N/A</v>
      </c>
      <c r="AI268" t="e">
        <f>VLOOKUP($AC268,'oddspedia-matches'!$A:$AD,AI$2,0)</f>
        <v>#N/A</v>
      </c>
      <c r="AJ268" t="e">
        <f>VLOOKUP($AC268,'oddspedia-matches'!$A:$AD,AJ$2,0)</f>
        <v>#N/A</v>
      </c>
      <c r="AK268" t="e">
        <f>VLOOKUP($AC268,'oddspedia-matches'!$A:$AD,AK$2,0)</f>
        <v>#N/A</v>
      </c>
      <c r="AL268" t="e">
        <f>VLOOKUP($AC268,'oddspedia-matches'!$A:$AD,AL$2,0)</f>
        <v>#N/A</v>
      </c>
      <c r="AM268" t="e">
        <f>VLOOKUP($AC268,'oddspedia-matches'!$A:$AD,AM$2,0)</f>
        <v>#N/A</v>
      </c>
      <c r="AN268" t="e">
        <f>VLOOKUP($AC268,'oddspedia-matches'!$A:$AD,AN$2,0)</f>
        <v>#N/A</v>
      </c>
      <c r="AO268" t="e">
        <f>VLOOKUP($AC268,'oddspedia-matches'!$A:$AD,AO$2,0)</f>
        <v>#N/A</v>
      </c>
      <c r="AP268" t="e">
        <f>VLOOKUP($AC268,'oddspedia-matches'!$A:$AD,AP$2,0)</f>
        <v>#N/A</v>
      </c>
      <c r="AQ268" t="e">
        <f>VLOOKUP($AC268,'oddspedia-matches'!$A:$AD,AQ$2,0)</f>
        <v>#N/A</v>
      </c>
      <c r="AR268" t="e">
        <f>VLOOKUP($AC268,'oddspedia-matches'!$A:$AD,AR$2,0)</f>
        <v>#N/A</v>
      </c>
      <c r="AS268" t="e">
        <f>VLOOKUP($AC268,'oddspedia-matches'!$A:$AD,AS$2,0)</f>
        <v>#N/A</v>
      </c>
      <c r="AT268" t="e">
        <f>VLOOKUP($AC268,'oddspedia-matches'!$A:$AD,AT$2,0)</f>
        <v>#N/A</v>
      </c>
    </row>
    <row r="269" spans="2:46" x14ac:dyDescent="0.25">
      <c r="B269" s="17" t="s">
        <v>746</v>
      </c>
      <c r="C269" s="8" t="s">
        <v>508</v>
      </c>
      <c r="D269" s="18">
        <v>0.77083333333333337</v>
      </c>
      <c r="E269" s="8" t="s">
        <v>763</v>
      </c>
      <c r="F269" s="8" t="s">
        <v>764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s="8" t="s">
        <v>22</v>
      </c>
      <c r="Y269" s="8" t="s">
        <v>22</v>
      </c>
      <c r="Z269" s="19"/>
      <c r="AA269">
        <f>VLOOKUP(E269,'Transform table'!A:B,2,0)</f>
        <v>0</v>
      </c>
      <c r="AB269" t="e">
        <f>VLOOKUP(F269,'Transform table'!A:B,2,0)</f>
        <v>#N/A</v>
      </c>
      <c r="AC269" t="e">
        <f t="shared" si="4"/>
        <v>#N/A</v>
      </c>
      <c r="AD269" t="e">
        <f>VLOOKUP($AC269,'oddspedia-matches'!$A:$AD,AD$2,0)</f>
        <v>#N/A</v>
      </c>
      <c r="AE269" t="e">
        <f>VLOOKUP($AC269,'oddspedia-matches'!$A:$AD,AE$2,0)</f>
        <v>#N/A</v>
      </c>
      <c r="AF269" t="e">
        <f>VLOOKUP($AC269,'oddspedia-matches'!$A:$AD,AF$2,0)</f>
        <v>#N/A</v>
      </c>
      <c r="AG269" t="e">
        <f>VLOOKUP($AC269,'oddspedia-matches'!$A:$AD,AG$2,0)</f>
        <v>#N/A</v>
      </c>
      <c r="AH269" t="e">
        <f>VLOOKUP($AC269,'oddspedia-matches'!$A:$AD,AH$2,0)</f>
        <v>#N/A</v>
      </c>
      <c r="AI269" t="e">
        <f>VLOOKUP($AC269,'oddspedia-matches'!$A:$AD,AI$2,0)</f>
        <v>#N/A</v>
      </c>
      <c r="AJ269" t="e">
        <f>VLOOKUP($AC269,'oddspedia-matches'!$A:$AD,AJ$2,0)</f>
        <v>#N/A</v>
      </c>
      <c r="AK269" t="e">
        <f>VLOOKUP($AC269,'oddspedia-matches'!$A:$AD,AK$2,0)</f>
        <v>#N/A</v>
      </c>
      <c r="AL269" t="e">
        <f>VLOOKUP($AC269,'oddspedia-matches'!$A:$AD,AL$2,0)</f>
        <v>#N/A</v>
      </c>
      <c r="AM269" t="e">
        <f>VLOOKUP($AC269,'oddspedia-matches'!$A:$AD,AM$2,0)</f>
        <v>#N/A</v>
      </c>
      <c r="AN269" t="e">
        <f>VLOOKUP($AC269,'oddspedia-matches'!$A:$AD,AN$2,0)</f>
        <v>#N/A</v>
      </c>
      <c r="AO269" t="e">
        <f>VLOOKUP($AC269,'oddspedia-matches'!$A:$AD,AO$2,0)</f>
        <v>#N/A</v>
      </c>
      <c r="AP269" t="e">
        <f>VLOOKUP($AC269,'oddspedia-matches'!$A:$AD,AP$2,0)</f>
        <v>#N/A</v>
      </c>
      <c r="AQ269" t="e">
        <f>VLOOKUP($AC269,'oddspedia-matches'!$A:$AD,AQ$2,0)</f>
        <v>#N/A</v>
      </c>
      <c r="AR269" t="e">
        <f>VLOOKUP($AC269,'oddspedia-matches'!$A:$AD,AR$2,0)</f>
        <v>#N/A</v>
      </c>
      <c r="AS269" t="e">
        <f>VLOOKUP($AC269,'oddspedia-matches'!$A:$AD,AS$2,0)</f>
        <v>#N/A</v>
      </c>
      <c r="AT269" t="e">
        <f>VLOOKUP($AC269,'oddspedia-matches'!$A:$AD,AT$2,0)</f>
        <v>#N/A</v>
      </c>
    </row>
    <row r="270" spans="2:46" x14ac:dyDescent="0.25">
      <c r="B270" s="9" t="s">
        <v>503</v>
      </c>
      <c r="C270" s="7" t="s">
        <v>508</v>
      </c>
      <c r="D270" s="20">
        <v>0.77083333333333337</v>
      </c>
      <c r="E270" s="7" t="s">
        <v>765</v>
      </c>
      <c r="F270" s="7" t="s">
        <v>766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s="7">
        <v>28.6</v>
      </c>
      <c r="Y270" s="7">
        <v>25</v>
      </c>
      <c r="Z270" s="21"/>
      <c r="AA270" t="str">
        <f>VLOOKUP(E270,'Transform table'!A:B,2,0)</f>
        <v>Hapoel Petah Tikva</v>
      </c>
      <c r="AB270" t="e">
        <f>VLOOKUP(F270,'Transform table'!A:B,2,0)</f>
        <v>#N/A</v>
      </c>
      <c r="AC270" t="e">
        <f t="shared" si="4"/>
        <v>#N/A</v>
      </c>
      <c r="AD270" t="e">
        <f>VLOOKUP($AC270,'oddspedia-matches'!$A:$AD,AD$2,0)</f>
        <v>#N/A</v>
      </c>
      <c r="AE270" t="e">
        <f>VLOOKUP($AC270,'oddspedia-matches'!$A:$AD,AE$2,0)</f>
        <v>#N/A</v>
      </c>
      <c r="AF270" t="e">
        <f>VLOOKUP($AC270,'oddspedia-matches'!$A:$AD,AF$2,0)</f>
        <v>#N/A</v>
      </c>
      <c r="AG270" t="e">
        <f>VLOOKUP($AC270,'oddspedia-matches'!$A:$AD,AG$2,0)</f>
        <v>#N/A</v>
      </c>
      <c r="AH270" t="e">
        <f>VLOOKUP($AC270,'oddspedia-matches'!$A:$AD,AH$2,0)</f>
        <v>#N/A</v>
      </c>
      <c r="AI270" t="e">
        <f>VLOOKUP($AC270,'oddspedia-matches'!$A:$AD,AI$2,0)</f>
        <v>#N/A</v>
      </c>
      <c r="AJ270" t="e">
        <f>VLOOKUP($AC270,'oddspedia-matches'!$A:$AD,AJ$2,0)</f>
        <v>#N/A</v>
      </c>
      <c r="AK270" t="e">
        <f>VLOOKUP($AC270,'oddspedia-matches'!$A:$AD,AK$2,0)</f>
        <v>#N/A</v>
      </c>
      <c r="AL270" t="e">
        <f>VLOOKUP($AC270,'oddspedia-matches'!$A:$AD,AL$2,0)</f>
        <v>#N/A</v>
      </c>
      <c r="AM270" t="e">
        <f>VLOOKUP($AC270,'oddspedia-matches'!$A:$AD,AM$2,0)</f>
        <v>#N/A</v>
      </c>
      <c r="AN270" t="e">
        <f>VLOOKUP($AC270,'oddspedia-matches'!$A:$AD,AN$2,0)</f>
        <v>#N/A</v>
      </c>
      <c r="AO270" t="e">
        <f>VLOOKUP($AC270,'oddspedia-matches'!$A:$AD,AO$2,0)</f>
        <v>#N/A</v>
      </c>
      <c r="AP270" t="e">
        <f>VLOOKUP($AC270,'oddspedia-matches'!$A:$AD,AP$2,0)</f>
        <v>#N/A</v>
      </c>
      <c r="AQ270" t="e">
        <f>VLOOKUP($AC270,'oddspedia-matches'!$A:$AD,AQ$2,0)</f>
        <v>#N/A</v>
      </c>
      <c r="AR270" t="e">
        <f>VLOOKUP($AC270,'oddspedia-matches'!$A:$AD,AR$2,0)</f>
        <v>#N/A</v>
      </c>
      <c r="AS270" t="e">
        <f>VLOOKUP($AC270,'oddspedia-matches'!$A:$AD,AS$2,0)</f>
        <v>#N/A</v>
      </c>
      <c r="AT270" t="e">
        <f>VLOOKUP($AC270,'oddspedia-matches'!$A:$AD,AT$2,0)</f>
        <v>#N/A</v>
      </c>
    </row>
    <row r="271" spans="2:46" x14ac:dyDescent="0.25">
      <c r="B271" s="17" t="s">
        <v>506</v>
      </c>
      <c r="C271" s="8" t="s">
        <v>508</v>
      </c>
      <c r="D271" s="18">
        <v>0.77083333333333337</v>
      </c>
      <c r="E271" s="8" t="s">
        <v>767</v>
      </c>
      <c r="F271" s="8" t="s">
        <v>768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s="8">
        <v>25</v>
      </c>
      <c r="Y271" s="8">
        <v>12.5</v>
      </c>
      <c r="Z271" s="19"/>
      <c r="AA271" t="str">
        <f>VLOOKUP(E271,'Transform table'!A:B,2,0)</f>
        <v>Club Bolivar</v>
      </c>
      <c r="AB271" t="e">
        <f>VLOOKUP(F271,'Transform table'!A:B,2,0)</f>
        <v>#N/A</v>
      </c>
      <c r="AC271" t="e">
        <f t="shared" si="4"/>
        <v>#N/A</v>
      </c>
      <c r="AD271" t="e">
        <f>VLOOKUP($AC271,'oddspedia-matches'!$A:$AD,AD$2,0)</f>
        <v>#N/A</v>
      </c>
      <c r="AE271" t="e">
        <f>VLOOKUP($AC271,'oddspedia-matches'!$A:$AD,AE$2,0)</f>
        <v>#N/A</v>
      </c>
      <c r="AF271" t="e">
        <f>VLOOKUP($AC271,'oddspedia-matches'!$A:$AD,AF$2,0)</f>
        <v>#N/A</v>
      </c>
      <c r="AG271" t="e">
        <f>VLOOKUP($AC271,'oddspedia-matches'!$A:$AD,AG$2,0)</f>
        <v>#N/A</v>
      </c>
      <c r="AH271" t="e">
        <f>VLOOKUP($AC271,'oddspedia-matches'!$A:$AD,AH$2,0)</f>
        <v>#N/A</v>
      </c>
      <c r="AI271" t="e">
        <f>VLOOKUP($AC271,'oddspedia-matches'!$A:$AD,AI$2,0)</f>
        <v>#N/A</v>
      </c>
      <c r="AJ271" t="e">
        <f>VLOOKUP($AC271,'oddspedia-matches'!$A:$AD,AJ$2,0)</f>
        <v>#N/A</v>
      </c>
      <c r="AK271" t="e">
        <f>VLOOKUP($AC271,'oddspedia-matches'!$A:$AD,AK$2,0)</f>
        <v>#N/A</v>
      </c>
      <c r="AL271" t="e">
        <f>VLOOKUP($AC271,'oddspedia-matches'!$A:$AD,AL$2,0)</f>
        <v>#N/A</v>
      </c>
      <c r="AM271" t="e">
        <f>VLOOKUP($AC271,'oddspedia-matches'!$A:$AD,AM$2,0)</f>
        <v>#N/A</v>
      </c>
      <c r="AN271" t="e">
        <f>VLOOKUP($AC271,'oddspedia-matches'!$A:$AD,AN$2,0)</f>
        <v>#N/A</v>
      </c>
      <c r="AO271" t="e">
        <f>VLOOKUP($AC271,'oddspedia-matches'!$A:$AD,AO$2,0)</f>
        <v>#N/A</v>
      </c>
      <c r="AP271" t="e">
        <f>VLOOKUP($AC271,'oddspedia-matches'!$A:$AD,AP$2,0)</f>
        <v>#N/A</v>
      </c>
      <c r="AQ271" t="e">
        <f>VLOOKUP($AC271,'oddspedia-matches'!$A:$AD,AQ$2,0)</f>
        <v>#N/A</v>
      </c>
      <c r="AR271" t="e">
        <f>VLOOKUP($AC271,'oddspedia-matches'!$A:$AD,AR$2,0)</f>
        <v>#N/A</v>
      </c>
      <c r="AS271" t="e">
        <f>VLOOKUP($AC271,'oddspedia-matches'!$A:$AD,AS$2,0)</f>
        <v>#N/A</v>
      </c>
      <c r="AT271" t="e">
        <f>VLOOKUP($AC271,'oddspedia-matches'!$A:$AD,AT$2,0)</f>
        <v>#N/A</v>
      </c>
    </row>
    <row r="272" spans="2:46" x14ac:dyDescent="0.25">
      <c r="B272" s="9" t="s">
        <v>497</v>
      </c>
      <c r="C272" s="7" t="s">
        <v>508</v>
      </c>
      <c r="D272" s="20">
        <v>0.77083333333333337</v>
      </c>
      <c r="E272" s="7" t="s">
        <v>769</v>
      </c>
      <c r="F272" s="7" t="s">
        <v>187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s="7" t="s">
        <v>22</v>
      </c>
      <c r="Y272" s="7" t="s">
        <v>22</v>
      </c>
      <c r="Z272" s="21"/>
      <c r="AA272" t="str">
        <f>VLOOKUP(E272,'Transform table'!A:B,2,0)</f>
        <v>Sportivo Iteno</v>
      </c>
      <c r="AB272" t="str">
        <f>VLOOKUP(F272,'Transform table'!A:B,2,0)</f>
        <v>Nacional De Football</v>
      </c>
      <c r="AC272" t="str">
        <f t="shared" si="4"/>
        <v>25/07/2026Sportivo ItenoNacional De Football</v>
      </c>
      <c r="AD272" t="e">
        <f>VLOOKUP($AC272,'oddspedia-matches'!$A:$AD,AD$2,0)</f>
        <v>#N/A</v>
      </c>
      <c r="AE272" t="e">
        <f>VLOOKUP($AC272,'oddspedia-matches'!$A:$AD,AE$2,0)</f>
        <v>#N/A</v>
      </c>
      <c r="AF272" t="e">
        <f>VLOOKUP($AC272,'oddspedia-matches'!$A:$AD,AF$2,0)</f>
        <v>#N/A</v>
      </c>
      <c r="AG272" t="e">
        <f>VLOOKUP($AC272,'oddspedia-matches'!$A:$AD,AG$2,0)</f>
        <v>#N/A</v>
      </c>
      <c r="AH272" t="e">
        <f>VLOOKUP($AC272,'oddspedia-matches'!$A:$AD,AH$2,0)</f>
        <v>#N/A</v>
      </c>
      <c r="AI272" t="e">
        <f>VLOOKUP($AC272,'oddspedia-matches'!$A:$AD,AI$2,0)</f>
        <v>#N/A</v>
      </c>
      <c r="AJ272" t="e">
        <f>VLOOKUP($AC272,'oddspedia-matches'!$A:$AD,AJ$2,0)</f>
        <v>#N/A</v>
      </c>
      <c r="AK272" t="e">
        <f>VLOOKUP($AC272,'oddspedia-matches'!$A:$AD,AK$2,0)</f>
        <v>#N/A</v>
      </c>
      <c r="AL272" t="e">
        <f>VLOOKUP($AC272,'oddspedia-matches'!$A:$AD,AL$2,0)</f>
        <v>#N/A</v>
      </c>
      <c r="AM272" t="e">
        <f>VLOOKUP($AC272,'oddspedia-matches'!$A:$AD,AM$2,0)</f>
        <v>#N/A</v>
      </c>
      <c r="AN272" t="e">
        <f>VLOOKUP($AC272,'oddspedia-matches'!$A:$AD,AN$2,0)</f>
        <v>#N/A</v>
      </c>
      <c r="AO272" t="e">
        <f>VLOOKUP($AC272,'oddspedia-matches'!$A:$AD,AO$2,0)</f>
        <v>#N/A</v>
      </c>
      <c r="AP272" t="e">
        <f>VLOOKUP($AC272,'oddspedia-matches'!$A:$AD,AP$2,0)</f>
        <v>#N/A</v>
      </c>
      <c r="AQ272" t="e">
        <f>VLOOKUP($AC272,'oddspedia-matches'!$A:$AD,AQ$2,0)</f>
        <v>#N/A</v>
      </c>
      <c r="AR272" t="e">
        <f>VLOOKUP($AC272,'oddspedia-matches'!$A:$AD,AR$2,0)</f>
        <v>#N/A</v>
      </c>
      <c r="AS272" t="e">
        <f>VLOOKUP($AC272,'oddspedia-matches'!$A:$AD,AS$2,0)</f>
        <v>#N/A</v>
      </c>
      <c r="AT272" t="e">
        <f>VLOOKUP($AC272,'oddspedia-matches'!$A:$AD,AT$2,0)</f>
        <v>#N/A</v>
      </c>
    </row>
    <row r="273" spans="2:46" x14ac:dyDescent="0.25">
      <c r="B273" s="17" t="s">
        <v>665</v>
      </c>
      <c r="C273" s="8" t="s">
        <v>508</v>
      </c>
      <c r="D273" s="18">
        <v>0.79166666666666663</v>
      </c>
      <c r="E273" s="8" t="s">
        <v>721</v>
      </c>
      <c r="F273" s="8" t="s">
        <v>770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s="8">
        <v>10</v>
      </c>
      <c r="Y273" s="8">
        <v>9.1</v>
      </c>
      <c r="Z273" s="19"/>
      <c r="AA273" t="str">
        <f>VLOOKUP(E273,'Transform table'!A:B,2,0)</f>
        <v>San Martin de Tucuman</v>
      </c>
      <c r="AB273" t="e">
        <f>VLOOKUP(F273,'Transform table'!A:B,2,0)</f>
        <v>#N/A</v>
      </c>
      <c r="AC273" t="e">
        <f t="shared" si="4"/>
        <v>#N/A</v>
      </c>
      <c r="AD273" t="e">
        <f>VLOOKUP($AC273,'oddspedia-matches'!$A:$AD,AD$2,0)</f>
        <v>#N/A</v>
      </c>
      <c r="AE273" t="e">
        <f>VLOOKUP($AC273,'oddspedia-matches'!$A:$AD,AE$2,0)</f>
        <v>#N/A</v>
      </c>
      <c r="AF273" t="e">
        <f>VLOOKUP($AC273,'oddspedia-matches'!$A:$AD,AF$2,0)</f>
        <v>#N/A</v>
      </c>
      <c r="AG273" t="e">
        <f>VLOOKUP($AC273,'oddspedia-matches'!$A:$AD,AG$2,0)</f>
        <v>#N/A</v>
      </c>
      <c r="AH273" t="e">
        <f>VLOOKUP($AC273,'oddspedia-matches'!$A:$AD,AH$2,0)</f>
        <v>#N/A</v>
      </c>
      <c r="AI273" t="e">
        <f>VLOOKUP($AC273,'oddspedia-matches'!$A:$AD,AI$2,0)</f>
        <v>#N/A</v>
      </c>
      <c r="AJ273" t="e">
        <f>VLOOKUP($AC273,'oddspedia-matches'!$A:$AD,AJ$2,0)</f>
        <v>#N/A</v>
      </c>
      <c r="AK273" t="e">
        <f>VLOOKUP($AC273,'oddspedia-matches'!$A:$AD,AK$2,0)</f>
        <v>#N/A</v>
      </c>
      <c r="AL273" t="e">
        <f>VLOOKUP($AC273,'oddspedia-matches'!$A:$AD,AL$2,0)</f>
        <v>#N/A</v>
      </c>
      <c r="AM273" t="e">
        <f>VLOOKUP($AC273,'oddspedia-matches'!$A:$AD,AM$2,0)</f>
        <v>#N/A</v>
      </c>
      <c r="AN273" t="e">
        <f>VLOOKUP($AC273,'oddspedia-matches'!$A:$AD,AN$2,0)</f>
        <v>#N/A</v>
      </c>
      <c r="AO273" t="e">
        <f>VLOOKUP($AC273,'oddspedia-matches'!$A:$AD,AO$2,0)</f>
        <v>#N/A</v>
      </c>
      <c r="AP273" t="e">
        <f>VLOOKUP($AC273,'oddspedia-matches'!$A:$AD,AP$2,0)</f>
        <v>#N/A</v>
      </c>
      <c r="AQ273" t="e">
        <f>VLOOKUP($AC273,'oddspedia-matches'!$A:$AD,AQ$2,0)</f>
        <v>#N/A</v>
      </c>
      <c r="AR273" t="e">
        <f>VLOOKUP($AC273,'oddspedia-matches'!$A:$AD,AR$2,0)</f>
        <v>#N/A</v>
      </c>
      <c r="AS273" t="e">
        <f>VLOOKUP($AC273,'oddspedia-matches'!$A:$AD,AS$2,0)</f>
        <v>#N/A</v>
      </c>
      <c r="AT273" t="e">
        <f>VLOOKUP($AC273,'oddspedia-matches'!$A:$AD,AT$2,0)</f>
        <v>#N/A</v>
      </c>
    </row>
    <row r="274" spans="2:46" x14ac:dyDescent="0.25">
      <c r="B274" s="9" t="s">
        <v>746</v>
      </c>
      <c r="C274" s="7" t="s">
        <v>508</v>
      </c>
      <c r="D274" s="20">
        <v>0.79166666666666663</v>
      </c>
      <c r="E274" s="7" t="s">
        <v>310</v>
      </c>
      <c r="F274" s="7" t="s">
        <v>771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s="7">
        <v>0</v>
      </c>
      <c r="Y274" s="7">
        <v>0</v>
      </c>
      <c r="Z274" s="21"/>
      <c r="AA274" t="str">
        <f>VLOOKUP(E274,'Transform table'!A:B,2,0)</f>
        <v>Volta Redonda</v>
      </c>
      <c r="AB274" t="e">
        <f>VLOOKUP(F274,'Transform table'!A:B,2,0)</f>
        <v>#N/A</v>
      </c>
      <c r="AC274" t="e">
        <f t="shared" si="4"/>
        <v>#N/A</v>
      </c>
      <c r="AD274" t="e">
        <f>VLOOKUP($AC274,'oddspedia-matches'!$A:$AD,AD$2,0)</f>
        <v>#N/A</v>
      </c>
      <c r="AE274" t="e">
        <f>VLOOKUP($AC274,'oddspedia-matches'!$A:$AD,AE$2,0)</f>
        <v>#N/A</v>
      </c>
      <c r="AF274" t="e">
        <f>VLOOKUP($AC274,'oddspedia-matches'!$A:$AD,AF$2,0)</f>
        <v>#N/A</v>
      </c>
      <c r="AG274" t="e">
        <f>VLOOKUP($AC274,'oddspedia-matches'!$A:$AD,AG$2,0)</f>
        <v>#N/A</v>
      </c>
      <c r="AH274" t="e">
        <f>VLOOKUP($AC274,'oddspedia-matches'!$A:$AD,AH$2,0)</f>
        <v>#N/A</v>
      </c>
      <c r="AI274" t="e">
        <f>VLOOKUP($AC274,'oddspedia-matches'!$A:$AD,AI$2,0)</f>
        <v>#N/A</v>
      </c>
      <c r="AJ274" t="e">
        <f>VLOOKUP($AC274,'oddspedia-matches'!$A:$AD,AJ$2,0)</f>
        <v>#N/A</v>
      </c>
      <c r="AK274" t="e">
        <f>VLOOKUP($AC274,'oddspedia-matches'!$A:$AD,AK$2,0)</f>
        <v>#N/A</v>
      </c>
      <c r="AL274" t="e">
        <f>VLOOKUP($AC274,'oddspedia-matches'!$A:$AD,AL$2,0)</f>
        <v>#N/A</v>
      </c>
      <c r="AM274" t="e">
        <f>VLOOKUP($AC274,'oddspedia-matches'!$A:$AD,AM$2,0)</f>
        <v>#N/A</v>
      </c>
      <c r="AN274" t="e">
        <f>VLOOKUP($AC274,'oddspedia-matches'!$A:$AD,AN$2,0)</f>
        <v>#N/A</v>
      </c>
      <c r="AO274" t="e">
        <f>VLOOKUP($AC274,'oddspedia-matches'!$A:$AD,AO$2,0)</f>
        <v>#N/A</v>
      </c>
      <c r="AP274" t="e">
        <f>VLOOKUP($AC274,'oddspedia-matches'!$A:$AD,AP$2,0)</f>
        <v>#N/A</v>
      </c>
      <c r="AQ274" t="e">
        <f>VLOOKUP($AC274,'oddspedia-matches'!$A:$AD,AQ$2,0)</f>
        <v>#N/A</v>
      </c>
      <c r="AR274" t="e">
        <f>VLOOKUP($AC274,'oddspedia-matches'!$A:$AD,AR$2,0)</f>
        <v>#N/A</v>
      </c>
      <c r="AS274" t="e">
        <f>VLOOKUP($AC274,'oddspedia-matches'!$A:$AD,AS$2,0)</f>
        <v>#N/A</v>
      </c>
      <c r="AT274" t="e">
        <f>VLOOKUP($AC274,'oddspedia-matches'!$A:$AD,AT$2,0)</f>
        <v>#N/A</v>
      </c>
    </row>
    <row r="275" spans="2:46" x14ac:dyDescent="0.25">
      <c r="B275" s="17" t="s">
        <v>488</v>
      </c>
      <c r="C275" s="8" t="s">
        <v>508</v>
      </c>
      <c r="D275" s="18">
        <v>0.80208333333333337</v>
      </c>
      <c r="E275" s="8" t="s">
        <v>772</v>
      </c>
      <c r="F275" s="8" t="s">
        <v>773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s="8">
        <v>8.3000000000000007</v>
      </c>
      <c r="Y275" s="8">
        <v>12.5</v>
      </c>
      <c r="Z275" s="19"/>
      <c r="AA275" t="str">
        <f>VLOOKUP(E275,'Transform table'!A:B,2,0)</f>
        <v>Rangers</v>
      </c>
      <c r="AB275" t="e">
        <f>VLOOKUP(F275,'Transform table'!A:B,2,0)</f>
        <v>#N/A</v>
      </c>
      <c r="AC275" t="e">
        <f t="shared" si="4"/>
        <v>#N/A</v>
      </c>
      <c r="AD275" t="e">
        <f>VLOOKUP($AC275,'oddspedia-matches'!$A:$AD,AD$2,0)</f>
        <v>#N/A</v>
      </c>
      <c r="AE275" t="e">
        <f>VLOOKUP($AC275,'oddspedia-matches'!$A:$AD,AE$2,0)</f>
        <v>#N/A</v>
      </c>
      <c r="AF275" t="e">
        <f>VLOOKUP($AC275,'oddspedia-matches'!$A:$AD,AF$2,0)</f>
        <v>#N/A</v>
      </c>
      <c r="AG275" t="e">
        <f>VLOOKUP($AC275,'oddspedia-matches'!$A:$AD,AG$2,0)</f>
        <v>#N/A</v>
      </c>
      <c r="AH275" t="e">
        <f>VLOOKUP($AC275,'oddspedia-matches'!$A:$AD,AH$2,0)</f>
        <v>#N/A</v>
      </c>
      <c r="AI275" t="e">
        <f>VLOOKUP($AC275,'oddspedia-matches'!$A:$AD,AI$2,0)</f>
        <v>#N/A</v>
      </c>
      <c r="AJ275" t="e">
        <f>VLOOKUP($AC275,'oddspedia-matches'!$A:$AD,AJ$2,0)</f>
        <v>#N/A</v>
      </c>
      <c r="AK275" t="e">
        <f>VLOOKUP($AC275,'oddspedia-matches'!$A:$AD,AK$2,0)</f>
        <v>#N/A</v>
      </c>
      <c r="AL275" t="e">
        <f>VLOOKUP($AC275,'oddspedia-matches'!$A:$AD,AL$2,0)</f>
        <v>#N/A</v>
      </c>
      <c r="AM275" t="e">
        <f>VLOOKUP($AC275,'oddspedia-matches'!$A:$AD,AM$2,0)</f>
        <v>#N/A</v>
      </c>
      <c r="AN275" t="e">
        <f>VLOOKUP($AC275,'oddspedia-matches'!$A:$AD,AN$2,0)</f>
        <v>#N/A</v>
      </c>
      <c r="AO275" t="e">
        <f>VLOOKUP($AC275,'oddspedia-matches'!$A:$AD,AO$2,0)</f>
        <v>#N/A</v>
      </c>
      <c r="AP275" t="e">
        <f>VLOOKUP($AC275,'oddspedia-matches'!$A:$AD,AP$2,0)</f>
        <v>#N/A</v>
      </c>
      <c r="AQ275" t="e">
        <f>VLOOKUP($AC275,'oddspedia-matches'!$A:$AD,AQ$2,0)</f>
        <v>#N/A</v>
      </c>
      <c r="AR275" t="e">
        <f>VLOOKUP($AC275,'oddspedia-matches'!$A:$AD,AR$2,0)</f>
        <v>#N/A</v>
      </c>
      <c r="AS275" t="e">
        <f>VLOOKUP($AC275,'oddspedia-matches'!$A:$AD,AS$2,0)</f>
        <v>#N/A</v>
      </c>
      <c r="AT275" t="e">
        <f>VLOOKUP($AC275,'oddspedia-matches'!$A:$AD,AT$2,0)</f>
        <v>#N/A</v>
      </c>
    </row>
    <row r="276" spans="2:46" x14ac:dyDescent="0.25">
      <c r="B276" s="9" t="s">
        <v>486</v>
      </c>
      <c r="C276" s="7" t="s">
        <v>508</v>
      </c>
      <c r="D276" s="20">
        <v>0.8125</v>
      </c>
      <c r="E276" s="7" t="s">
        <v>62</v>
      </c>
      <c r="F276" s="7" t="s">
        <v>65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s="7">
        <v>28.6</v>
      </c>
      <c r="Y276" s="7">
        <v>16.7</v>
      </c>
      <c r="Z276" s="21"/>
      <c r="AA276" t="str">
        <f>VLOOKUP(E276,'Transform table'!A:B,2,0)</f>
        <v>New York Red Bulls</v>
      </c>
      <c r="AB276" t="str">
        <f>VLOOKUP(F276,'Transform table'!A:B,2,0)</f>
        <v>Charlotte FC</v>
      </c>
      <c r="AC276" t="str">
        <f t="shared" si="4"/>
        <v>25/07/2026New York Red BullsCharlotte FC</v>
      </c>
      <c r="AD276" t="e">
        <f>VLOOKUP($AC276,'oddspedia-matches'!$A:$AD,AD$2,0)</f>
        <v>#N/A</v>
      </c>
      <c r="AE276" t="e">
        <f>VLOOKUP($AC276,'oddspedia-matches'!$A:$AD,AE$2,0)</f>
        <v>#N/A</v>
      </c>
      <c r="AF276" t="e">
        <f>VLOOKUP($AC276,'oddspedia-matches'!$A:$AD,AF$2,0)</f>
        <v>#N/A</v>
      </c>
      <c r="AG276" t="e">
        <f>VLOOKUP($AC276,'oddspedia-matches'!$A:$AD,AG$2,0)</f>
        <v>#N/A</v>
      </c>
      <c r="AH276" t="e">
        <f>VLOOKUP($AC276,'oddspedia-matches'!$A:$AD,AH$2,0)</f>
        <v>#N/A</v>
      </c>
      <c r="AI276" t="e">
        <f>VLOOKUP($AC276,'oddspedia-matches'!$A:$AD,AI$2,0)</f>
        <v>#N/A</v>
      </c>
      <c r="AJ276" t="e">
        <f>VLOOKUP($AC276,'oddspedia-matches'!$A:$AD,AJ$2,0)</f>
        <v>#N/A</v>
      </c>
      <c r="AK276" t="e">
        <f>VLOOKUP($AC276,'oddspedia-matches'!$A:$AD,AK$2,0)</f>
        <v>#N/A</v>
      </c>
      <c r="AL276" t="e">
        <f>VLOOKUP($AC276,'oddspedia-matches'!$A:$AD,AL$2,0)</f>
        <v>#N/A</v>
      </c>
      <c r="AM276" t="e">
        <f>VLOOKUP($AC276,'oddspedia-matches'!$A:$AD,AM$2,0)</f>
        <v>#N/A</v>
      </c>
      <c r="AN276" t="e">
        <f>VLOOKUP($AC276,'oddspedia-matches'!$A:$AD,AN$2,0)</f>
        <v>#N/A</v>
      </c>
      <c r="AO276" t="e">
        <f>VLOOKUP($AC276,'oddspedia-matches'!$A:$AD,AO$2,0)</f>
        <v>#N/A</v>
      </c>
      <c r="AP276" t="e">
        <f>VLOOKUP($AC276,'oddspedia-matches'!$A:$AD,AP$2,0)</f>
        <v>#N/A</v>
      </c>
      <c r="AQ276" t="e">
        <f>VLOOKUP($AC276,'oddspedia-matches'!$A:$AD,AQ$2,0)</f>
        <v>#N/A</v>
      </c>
      <c r="AR276" t="e">
        <f>VLOOKUP($AC276,'oddspedia-matches'!$A:$AD,AR$2,0)</f>
        <v>#N/A</v>
      </c>
      <c r="AS276" t="e">
        <f>VLOOKUP($AC276,'oddspedia-matches'!$A:$AD,AS$2,0)</f>
        <v>#N/A</v>
      </c>
      <c r="AT276" t="e">
        <f>VLOOKUP($AC276,'oddspedia-matches'!$A:$AD,AT$2,0)</f>
        <v>#N/A</v>
      </c>
    </row>
    <row r="277" spans="2:46" x14ac:dyDescent="0.25">
      <c r="B277" s="17" t="s">
        <v>500</v>
      </c>
      <c r="C277" s="8" t="s">
        <v>508</v>
      </c>
      <c r="D277" s="18">
        <v>0.8125</v>
      </c>
      <c r="E277" s="8" t="s">
        <v>774</v>
      </c>
      <c r="F277" s="8" t="s">
        <v>775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s="8">
        <v>22.2</v>
      </c>
      <c r="Y277" s="8">
        <v>25</v>
      </c>
      <c r="Z277" s="19"/>
      <c r="AA277" t="str">
        <f>VLOOKUP(E277,'Transform table'!A:B,2,0)</f>
        <v>Sporting CP</v>
      </c>
      <c r="AB277" t="e">
        <f>VLOOKUP(F277,'Transform table'!A:B,2,0)</f>
        <v>#N/A</v>
      </c>
      <c r="AC277" t="e">
        <f t="shared" si="4"/>
        <v>#N/A</v>
      </c>
      <c r="AD277" t="e">
        <f>VLOOKUP($AC277,'oddspedia-matches'!$A:$AD,AD$2,0)</f>
        <v>#N/A</v>
      </c>
      <c r="AE277" t="e">
        <f>VLOOKUP($AC277,'oddspedia-matches'!$A:$AD,AE$2,0)</f>
        <v>#N/A</v>
      </c>
      <c r="AF277" t="e">
        <f>VLOOKUP($AC277,'oddspedia-matches'!$A:$AD,AF$2,0)</f>
        <v>#N/A</v>
      </c>
      <c r="AG277" t="e">
        <f>VLOOKUP($AC277,'oddspedia-matches'!$A:$AD,AG$2,0)</f>
        <v>#N/A</v>
      </c>
      <c r="AH277" t="e">
        <f>VLOOKUP($AC277,'oddspedia-matches'!$A:$AD,AH$2,0)</f>
        <v>#N/A</v>
      </c>
      <c r="AI277" t="e">
        <f>VLOOKUP($AC277,'oddspedia-matches'!$A:$AD,AI$2,0)</f>
        <v>#N/A</v>
      </c>
      <c r="AJ277" t="e">
        <f>VLOOKUP($AC277,'oddspedia-matches'!$A:$AD,AJ$2,0)</f>
        <v>#N/A</v>
      </c>
      <c r="AK277" t="e">
        <f>VLOOKUP($AC277,'oddspedia-matches'!$A:$AD,AK$2,0)</f>
        <v>#N/A</v>
      </c>
      <c r="AL277" t="e">
        <f>VLOOKUP($AC277,'oddspedia-matches'!$A:$AD,AL$2,0)</f>
        <v>#N/A</v>
      </c>
      <c r="AM277" t="e">
        <f>VLOOKUP($AC277,'oddspedia-matches'!$A:$AD,AM$2,0)</f>
        <v>#N/A</v>
      </c>
      <c r="AN277" t="e">
        <f>VLOOKUP($AC277,'oddspedia-matches'!$A:$AD,AN$2,0)</f>
        <v>#N/A</v>
      </c>
      <c r="AO277" t="e">
        <f>VLOOKUP($AC277,'oddspedia-matches'!$A:$AD,AO$2,0)</f>
        <v>#N/A</v>
      </c>
      <c r="AP277" t="e">
        <f>VLOOKUP($AC277,'oddspedia-matches'!$A:$AD,AP$2,0)</f>
        <v>#N/A</v>
      </c>
      <c r="AQ277" t="e">
        <f>VLOOKUP($AC277,'oddspedia-matches'!$A:$AD,AQ$2,0)</f>
        <v>#N/A</v>
      </c>
      <c r="AR277" t="e">
        <f>VLOOKUP($AC277,'oddspedia-matches'!$A:$AD,AR$2,0)</f>
        <v>#N/A</v>
      </c>
      <c r="AS277" t="e">
        <f>VLOOKUP($AC277,'oddspedia-matches'!$A:$AD,AS$2,0)</f>
        <v>#N/A</v>
      </c>
      <c r="AT277" t="e">
        <f>VLOOKUP($AC277,'oddspedia-matches'!$A:$AD,AT$2,0)</f>
        <v>#N/A</v>
      </c>
    </row>
    <row r="278" spans="2:46" x14ac:dyDescent="0.25">
      <c r="B278" s="9" t="s">
        <v>486</v>
      </c>
      <c r="C278" s="7" t="s">
        <v>508</v>
      </c>
      <c r="D278" s="20">
        <v>0.83333333333333337</v>
      </c>
      <c r="E278" s="7" t="s">
        <v>53</v>
      </c>
      <c r="F278" s="7" t="s">
        <v>55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s="7">
        <v>14.3</v>
      </c>
      <c r="Y278" s="7">
        <v>0</v>
      </c>
      <c r="Z278" s="21"/>
      <c r="AA278" t="str">
        <f>VLOOKUP(E278,'Transform table'!A:B,2,0)</f>
        <v>Columbus Crew</v>
      </c>
      <c r="AB278" t="str">
        <f>VLOOKUP(F278,'Transform table'!A:B,2,0)</f>
        <v>FC Cincinnati</v>
      </c>
      <c r="AC278" t="str">
        <f t="shared" si="4"/>
        <v>25/07/2026Columbus CrewFC Cincinnati</v>
      </c>
      <c r="AD278" t="e">
        <f>VLOOKUP($AC278,'oddspedia-matches'!$A:$AD,AD$2,0)</f>
        <v>#N/A</v>
      </c>
      <c r="AE278" t="e">
        <f>VLOOKUP($AC278,'oddspedia-matches'!$A:$AD,AE$2,0)</f>
        <v>#N/A</v>
      </c>
      <c r="AF278" t="e">
        <f>VLOOKUP($AC278,'oddspedia-matches'!$A:$AD,AF$2,0)</f>
        <v>#N/A</v>
      </c>
      <c r="AG278" t="e">
        <f>VLOOKUP($AC278,'oddspedia-matches'!$A:$AD,AG$2,0)</f>
        <v>#N/A</v>
      </c>
      <c r="AH278" t="e">
        <f>VLOOKUP($AC278,'oddspedia-matches'!$A:$AD,AH$2,0)</f>
        <v>#N/A</v>
      </c>
      <c r="AI278" t="e">
        <f>VLOOKUP($AC278,'oddspedia-matches'!$A:$AD,AI$2,0)</f>
        <v>#N/A</v>
      </c>
      <c r="AJ278" t="e">
        <f>VLOOKUP($AC278,'oddspedia-matches'!$A:$AD,AJ$2,0)</f>
        <v>#N/A</v>
      </c>
      <c r="AK278" t="e">
        <f>VLOOKUP($AC278,'oddspedia-matches'!$A:$AD,AK$2,0)</f>
        <v>#N/A</v>
      </c>
      <c r="AL278" t="e">
        <f>VLOOKUP($AC278,'oddspedia-matches'!$A:$AD,AL$2,0)</f>
        <v>#N/A</v>
      </c>
      <c r="AM278" t="e">
        <f>VLOOKUP($AC278,'oddspedia-matches'!$A:$AD,AM$2,0)</f>
        <v>#N/A</v>
      </c>
      <c r="AN278" t="e">
        <f>VLOOKUP($AC278,'oddspedia-matches'!$A:$AD,AN$2,0)</f>
        <v>#N/A</v>
      </c>
      <c r="AO278" t="e">
        <f>VLOOKUP($AC278,'oddspedia-matches'!$A:$AD,AO$2,0)</f>
        <v>#N/A</v>
      </c>
      <c r="AP278" t="e">
        <f>VLOOKUP($AC278,'oddspedia-matches'!$A:$AD,AP$2,0)</f>
        <v>#N/A</v>
      </c>
      <c r="AQ278" t="e">
        <f>VLOOKUP($AC278,'oddspedia-matches'!$A:$AD,AQ$2,0)</f>
        <v>#N/A</v>
      </c>
      <c r="AR278" t="e">
        <f>VLOOKUP($AC278,'oddspedia-matches'!$A:$AD,AR$2,0)</f>
        <v>#N/A</v>
      </c>
      <c r="AS278" t="e">
        <f>VLOOKUP($AC278,'oddspedia-matches'!$A:$AD,AS$2,0)</f>
        <v>#N/A</v>
      </c>
      <c r="AT278" t="e">
        <f>VLOOKUP($AC278,'oddspedia-matches'!$A:$AD,AT$2,0)</f>
        <v>#N/A</v>
      </c>
    </row>
    <row r="279" spans="2:46" x14ac:dyDescent="0.25">
      <c r="B279" s="17" t="s">
        <v>485</v>
      </c>
      <c r="C279" s="8" t="s">
        <v>508</v>
      </c>
      <c r="D279" s="18">
        <v>0.83333333333333337</v>
      </c>
      <c r="E279" s="8" t="s">
        <v>776</v>
      </c>
      <c r="F279" s="8" t="s">
        <v>777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s="8">
        <v>14.3</v>
      </c>
      <c r="Y279" s="8">
        <v>12.5</v>
      </c>
      <c r="Z279" s="19"/>
      <c r="AA279">
        <f>VLOOKUP(E279,'Transform table'!A:B,2,0)</f>
        <v>0</v>
      </c>
      <c r="AB279" t="e">
        <f>VLOOKUP(F279,'Transform table'!A:B,2,0)</f>
        <v>#N/A</v>
      </c>
      <c r="AC279" t="e">
        <f t="shared" si="4"/>
        <v>#N/A</v>
      </c>
      <c r="AD279" t="e">
        <f>VLOOKUP($AC279,'oddspedia-matches'!$A:$AD,AD$2,0)</f>
        <v>#N/A</v>
      </c>
      <c r="AE279" t="e">
        <f>VLOOKUP($AC279,'oddspedia-matches'!$A:$AD,AE$2,0)</f>
        <v>#N/A</v>
      </c>
      <c r="AF279" t="e">
        <f>VLOOKUP($AC279,'oddspedia-matches'!$A:$AD,AF$2,0)</f>
        <v>#N/A</v>
      </c>
      <c r="AG279" t="e">
        <f>VLOOKUP($AC279,'oddspedia-matches'!$A:$AD,AG$2,0)</f>
        <v>#N/A</v>
      </c>
      <c r="AH279" t="e">
        <f>VLOOKUP($AC279,'oddspedia-matches'!$A:$AD,AH$2,0)</f>
        <v>#N/A</v>
      </c>
      <c r="AI279" t="e">
        <f>VLOOKUP($AC279,'oddspedia-matches'!$A:$AD,AI$2,0)</f>
        <v>#N/A</v>
      </c>
      <c r="AJ279" t="e">
        <f>VLOOKUP($AC279,'oddspedia-matches'!$A:$AD,AJ$2,0)</f>
        <v>#N/A</v>
      </c>
      <c r="AK279" t="e">
        <f>VLOOKUP($AC279,'oddspedia-matches'!$A:$AD,AK$2,0)</f>
        <v>#N/A</v>
      </c>
      <c r="AL279" t="e">
        <f>VLOOKUP($AC279,'oddspedia-matches'!$A:$AD,AL$2,0)</f>
        <v>#N/A</v>
      </c>
      <c r="AM279" t="e">
        <f>VLOOKUP($AC279,'oddspedia-matches'!$A:$AD,AM$2,0)</f>
        <v>#N/A</v>
      </c>
      <c r="AN279" t="e">
        <f>VLOOKUP($AC279,'oddspedia-matches'!$A:$AD,AN$2,0)</f>
        <v>#N/A</v>
      </c>
      <c r="AO279" t="e">
        <f>VLOOKUP($AC279,'oddspedia-matches'!$A:$AD,AO$2,0)</f>
        <v>#N/A</v>
      </c>
      <c r="AP279" t="e">
        <f>VLOOKUP($AC279,'oddspedia-matches'!$A:$AD,AP$2,0)</f>
        <v>#N/A</v>
      </c>
      <c r="AQ279" t="e">
        <f>VLOOKUP($AC279,'oddspedia-matches'!$A:$AD,AQ$2,0)</f>
        <v>#N/A</v>
      </c>
      <c r="AR279" t="e">
        <f>VLOOKUP($AC279,'oddspedia-matches'!$A:$AD,AR$2,0)</f>
        <v>#N/A</v>
      </c>
      <c r="AS279" t="e">
        <f>VLOOKUP($AC279,'oddspedia-matches'!$A:$AD,AS$2,0)</f>
        <v>#N/A</v>
      </c>
      <c r="AT279" t="e">
        <f>VLOOKUP($AC279,'oddspedia-matches'!$A:$AD,AT$2,0)</f>
        <v>#N/A</v>
      </c>
    </row>
    <row r="280" spans="2:46" x14ac:dyDescent="0.25">
      <c r="B280" s="9" t="s">
        <v>485</v>
      </c>
      <c r="C280" s="7" t="s">
        <v>508</v>
      </c>
      <c r="D280" s="20">
        <v>0.83333333333333337</v>
      </c>
      <c r="E280" s="7" t="s">
        <v>778</v>
      </c>
      <c r="F280" s="7" t="s">
        <v>779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s="7">
        <v>28.6</v>
      </c>
      <c r="Y280" s="7">
        <v>25</v>
      </c>
      <c r="Z280" s="21"/>
      <c r="AA280">
        <f>VLOOKUP(E280,'Transform table'!A:B,2,0)</f>
        <v>0</v>
      </c>
      <c r="AB280" t="e">
        <f>VLOOKUP(F280,'Transform table'!A:B,2,0)</f>
        <v>#N/A</v>
      </c>
      <c r="AC280" t="e">
        <f t="shared" si="4"/>
        <v>#N/A</v>
      </c>
      <c r="AD280" t="e">
        <f>VLOOKUP($AC280,'oddspedia-matches'!$A:$AD,AD$2,0)</f>
        <v>#N/A</v>
      </c>
      <c r="AE280" t="e">
        <f>VLOOKUP($AC280,'oddspedia-matches'!$A:$AD,AE$2,0)</f>
        <v>#N/A</v>
      </c>
      <c r="AF280" t="e">
        <f>VLOOKUP($AC280,'oddspedia-matches'!$A:$AD,AF$2,0)</f>
        <v>#N/A</v>
      </c>
      <c r="AG280" t="e">
        <f>VLOOKUP($AC280,'oddspedia-matches'!$A:$AD,AG$2,0)</f>
        <v>#N/A</v>
      </c>
      <c r="AH280" t="e">
        <f>VLOOKUP($AC280,'oddspedia-matches'!$A:$AD,AH$2,0)</f>
        <v>#N/A</v>
      </c>
      <c r="AI280" t="e">
        <f>VLOOKUP($AC280,'oddspedia-matches'!$A:$AD,AI$2,0)</f>
        <v>#N/A</v>
      </c>
      <c r="AJ280" t="e">
        <f>VLOOKUP($AC280,'oddspedia-matches'!$A:$AD,AJ$2,0)</f>
        <v>#N/A</v>
      </c>
      <c r="AK280" t="e">
        <f>VLOOKUP($AC280,'oddspedia-matches'!$A:$AD,AK$2,0)</f>
        <v>#N/A</v>
      </c>
      <c r="AL280" t="e">
        <f>VLOOKUP($AC280,'oddspedia-matches'!$A:$AD,AL$2,0)</f>
        <v>#N/A</v>
      </c>
      <c r="AM280" t="e">
        <f>VLOOKUP($AC280,'oddspedia-matches'!$A:$AD,AM$2,0)</f>
        <v>#N/A</v>
      </c>
      <c r="AN280" t="e">
        <f>VLOOKUP($AC280,'oddspedia-matches'!$A:$AD,AN$2,0)</f>
        <v>#N/A</v>
      </c>
      <c r="AO280" t="e">
        <f>VLOOKUP($AC280,'oddspedia-matches'!$A:$AD,AO$2,0)</f>
        <v>#N/A</v>
      </c>
      <c r="AP280" t="e">
        <f>VLOOKUP($AC280,'oddspedia-matches'!$A:$AD,AP$2,0)</f>
        <v>#N/A</v>
      </c>
      <c r="AQ280" t="e">
        <f>VLOOKUP($AC280,'oddspedia-matches'!$A:$AD,AQ$2,0)</f>
        <v>#N/A</v>
      </c>
      <c r="AR280" t="e">
        <f>VLOOKUP($AC280,'oddspedia-matches'!$A:$AD,AR$2,0)</f>
        <v>#N/A</v>
      </c>
      <c r="AS280" t="e">
        <f>VLOOKUP($AC280,'oddspedia-matches'!$A:$AD,AS$2,0)</f>
        <v>#N/A</v>
      </c>
      <c r="AT280" t="e">
        <f>VLOOKUP($AC280,'oddspedia-matches'!$A:$AD,AT$2,0)</f>
        <v>#N/A</v>
      </c>
    </row>
    <row r="281" spans="2:46" x14ac:dyDescent="0.25">
      <c r="B281" s="17" t="s">
        <v>485</v>
      </c>
      <c r="C281" s="8" t="s">
        <v>508</v>
      </c>
      <c r="D281" s="18">
        <v>0.83333333333333337</v>
      </c>
      <c r="E281" s="8" t="s">
        <v>780</v>
      </c>
      <c r="F281" s="8" t="s">
        <v>781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s="8">
        <v>0</v>
      </c>
      <c r="Y281" s="8">
        <v>33.299999999999997</v>
      </c>
      <c r="Z281" s="19"/>
      <c r="AA281">
        <f>VLOOKUP(E281,'Transform table'!A:B,2,0)</f>
        <v>0</v>
      </c>
      <c r="AB281" t="e">
        <f>VLOOKUP(F281,'Transform table'!A:B,2,0)</f>
        <v>#N/A</v>
      </c>
      <c r="AC281" t="e">
        <f t="shared" si="4"/>
        <v>#N/A</v>
      </c>
      <c r="AD281" t="e">
        <f>VLOOKUP($AC281,'oddspedia-matches'!$A:$AD,AD$2,0)</f>
        <v>#N/A</v>
      </c>
      <c r="AE281" t="e">
        <f>VLOOKUP($AC281,'oddspedia-matches'!$A:$AD,AE$2,0)</f>
        <v>#N/A</v>
      </c>
      <c r="AF281" t="e">
        <f>VLOOKUP($AC281,'oddspedia-matches'!$A:$AD,AF$2,0)</f>
        <v>#N/A</v>
      </c>
      <c r="AG281" t="e">
        <f>VLOOKUP($AC281,'oddspedia-matches'!$A:$AD,AG$2,0)</f>
        <v>#N/A</v>
      </c>
      <c r="AH281" t="e">
        <f>VLOOKUP($AC281,'oddspedia-matches'!$A:$AD,AH$2,0)</f>
        <v>#N/A</v>
      </c>
      <c r="AI281" t="e">
        <f>VLOOKUP($AC281,'oddspedia-matches'!$A:$AD,AI$2,0)</f>
        <v>#N/A</v>
      </c>
      <c r="AJ281" t="e">
        <f>VLOOKUP($AC281,'oddspedia-matches'!$A:$AD,AJ$2,0)</f>
        <v>#N/A</v>
      </c>
      <c r="AK281" t="e">
        <f>VLOOKUP($AC281,'oddspedia-matches'!$A:$AD,AK$2,0)</f>
        <v>#N/A</v>
      </c>
      <c r="AL281" t="e">
        <f>VLOOKUP($AC281,'oddspedia-matches'!$A:$AD,AL$2,0)</f>
        <v>#N/A</v>
      </c>
      <c r="AM281" t="e">
        <f>VLOOKUP($AC281,'oddspedia-matches'!$A:$AD,AM$2,0)</f>
        <v>#N/A</v>
      </c>
      <c r="AN281" t="e">
        <f>VLOOKUP($AC281,'oddspedia-matches'!$A:$AD,AN$2,0)</f>
        <v>#N/A</v>
      </c>
      <c r="AO281" t="e">
        <f>VLOOKUP($AC281,'oddspedia-matches'!$A:$AD,AO$2,0)</f>
        <v>#N/A</v>
      </c>
      <c r="AP281" t="e">
        <f>VLOOKUP($AC281,'oddspedia-matches'!$A:$AD,AP$2,0)</f>
        <v>#N/A</v>
      </c>
      <c r="AQ281" t="e">
        <f>VLOOKUP($AC281,'oddspedia-matches'!$A:$AD,AQ$2,0)</f>
        <v>#N/A</v>
      </c>
      <c r="AR281" t="e">
        <f>VLOOKUP($AC281,'oddspedia-matches'!$A:$AD,AR$2,0)</f>
        <v>#N/A</v>
      </c>
      <c r="AS281" t="e">
        <f>VLOOKUP($AC281,'oddspedia-matches'!$A:$AD,AS$2,0)</f>
        <v>#N/A</v>
      </c>
      <c r="AT281" t="e">
        <f>VLOOKUP($AC281,'oddspedia-matches'!$A:$AD,AT$2,0)</f>
        <v>#N/A</v>
      </c>
    </row>
    <row r="282" spans="2:46" x14ac:dyDescent="0.25">
      <c r="B282" s="9" t="s">
        <v>485</v>
      </c>
      <c r="C282" s="7" t="s">
        <v>508</v>
      </c>
      <c r="D282" s="20">
        <v>0.83333333333333337</v>
      </c>
      <c r="E282" s="7" t="s">
        <v>84</v>
      </c>
      <c r="F282" s="7" t="s">
        <v>782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s="7">
        <v>12.5</v>
      </c>
      <c r="Y282" s="7">
        <v>12.5</v>
      </c>
      <c r="Z282" s="21"/>
      <c r="AA282" t="str">
        <f>VLOOKUP(E282,'Transform table'!A:B,2,0)</f>
        <v>Miami FC</v>
      </c>
      <c r="AB282" t="e">
        <f>VLOOKUP(F282,'Transform table'!A:B,2,0)</f>
        <v>#N/A</v>
      </c>
      <c r="AC282" t="e">
        <f t="shared" si="4"/>
        <v>#N/A</v>
      </c>
      <c r="AD282" t="e">
        <f>VLOOKUP($AC282,'oddspedia-matches'!$A:$AD,AD$2,0)</f>
        <v>#N/A</v>
      </c>
      <c r="AE282" t="e">
        <f>VLOOKUP($AC282,'oddspedia-matches'!$A:$AD,AE$2,0)</f>
        <v>#N/A</v>
      </c>
      <c r="AF282" t="e">
        <f>VLOOKUP($AC282,'oddspedia-matches'!$A:$AD,AF$2,0)</f>
        <v>#N/A</v>
      </c>
      <c r="AG282" t="e">
        <f>VLOOKUP($AC282,'oddspedia-matches'!$A:$AD,AG$2,0)</f>
        <v>#N/A</v>
      </c>
      <c r="AH282" t="e">
        <f>VLOOKUP($AC282,'oddspedia-matches'!$A:$AD,AH$2,0)</f>
        <v>#N/A</v>
      </c>
      <c r="AI282" t="e">
        <f>VLOOKUP($AC282,'oddspedia-matches'!$A:$AD,AI$2,0)</f>
        <v>#N/A</v>
      </c>
      <c r="AJ282" t="e">
        <f>VLOOKUP($AC282,'oddspedia-matches'!$A:$AD,AJ$2,0)</f>
        <v>#N/A</v>
      </c>
      <c r="AK282" t="e">
        <f>VLOOKUP($AC282,'oddspedia-matches'!$A:$AD,AK$2,0)</f>
        <v>#N/A</v>
      </c>
      <c r="AL282" t="e">
        <f>VLOOKUP($AC282,'oddspedia-matches'!$A:$AD,AL$2,0)</f>
        <v>#N/A</v>
      </c>
      <c r="AM282" t="e">
        <f>VLOOKUP($AC282,'oddspedia-matches'!$A:$AD,AM$2,0)</f>
        <v>#N/A</v>
      </c>
      <c r="AN282" t="e">
        <f>VLOOKUP($AC282,'oddspedia-matches'!$A:$AD,AN$2,0)</f>
        <v>#N/A</v>
      </c>
      <c r="AO282" t="e">
        <f>VLOOKUP($AC282,'oddspedia-matches'!$A:$AD,AO$2,0)</f>
        <v>#N/A</v>
      </c>
      <c r="AP282" t="e">
        <f>VLOOKUP($AC282,'oddspedia-matches'!$A:$AD,AP$2,0)</f>
        <v>#N/A</v>
      </c>
      <c r="AQ282" t="e">
        <f>VLOOKUP($AC282,'oddspedia-matches'!$A:$AD,AQ$2,0)</f>
        <v>#N/A</v>
      </c>
      <c r="AR282" t="e">
        <f>VLOOKUP($AC282,'oddspedia-matches'!$A:$AD,AR$2,0)</f>
        <v>#N/A</v>
      </c>
      <c r="AS282" t="e">
        <f>VLOOKUP($AC282,'oddspedia-matches'!$A:$AD,AS$2,0)</f>
        <v>#N/A</v>
      </c>
      <c r="AT282" t="e">
        <f>VLOOKUP($AC282,'oddspedia-matches'!$A:$AD,AT$2,0)</f>
        <v>#N/A</v>
      </c>
    </row>
    <row r="283" spans="2:46" x14ac:dyDescent="0.25">
      <c r="B283" s="17" t="s">
        <v>485</v>
      </c>
      <c r="C283" s="8" t="s">
        <v>508</v>
      </c>
      <c r="D283" s="18">
        <v>0.83333333333333337</v>
      </c>
      <c r="E283" s="8" t="s">
        <v>783</v>
      </c>
      <c r="F283" s="8" t="s">
        <v>784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s="8" t="s">
        <v>22</v>
      </c>
      <c r="Y283" s="8" t="s">
        <v>22</v>
      </c>
      <c r="Z283" s="19"/>
      <c r="AA283">
        <f>VLOOKUP(E283,'Transform table'!A:B,2,0)</f>
        <v>0</v>
      </c>
      <c r="AB283" t="e">
        <f>VLOOKUP(F283,'Transform table'!A:B,2,0)</f>
        <v>#N/A</v>
      </c>
      <c r="AC283" t="e">
        <f t="shared" si="4"/>
        <v>#N/A</v>
      </c>
      <c r="AD283" t="e">
        <f>VLOOKUP($AC283,'oddspedia-matches'!$A:$AD,AD$2,0)</f>
        <v>#N/A</v>
      </c>
      <c r="AE283" t="e">
        <f>VLOOKUP($AC283,'oddspedia-matches'!$A:$AD,AE$2,0)</f>
        <v>#N/A</v>
      </c>
      <c r="AF283" t="e">
        <f>VLOOKUP($AC283,'oddspedia-matches'!$A:$AD,AF$2,0)</f>
        <v>#N/A</v>
      </c>
      <c r="AG283" t="e">
        <f>VLOOKUP($AC283,'oddspedia-matches'!$A:$AD,AG$2,0)</f>
        <v>#N/A</v>
      </c>
      <c r="AH283" t="e">
        <f>VLOOKUP($AC283,'oddspedia-matches'!$A:$AD,AH$2,0)</f>
        <v>#N/A</v>
      </c>
      <c r="AI283" t="e">
        <f>VLOOKUP($AC283,'oddspedia-matches'!$A:$AD,AI$2,0)</f>
        <v>#N/A</v>
      </c>
      <c r="AJ283" t="e">
        <f>VLOOKUP($AC283,'oddspedia-matches'!$A:$AD,AJ$2,0)</f>
        <v>#N/A</v>
      </c>
      <c r="AK283" t="e">
        <f>VLOOKUP($AC283,'oddspedia-matches'!$A:$AD,AK$2,0)</f>
        <v>#N/A</v>
      </c>
      <c r="AL283" t="e">
        <f>VLOOKUP($AC283,'oddspedia-matches'!$A:$AD,AL$2,0)</f>
        <v>#N/A</v>
      </c>
      <c r="AM283" t="e">
        <f>VLOOKUP($AC283,'oddspedia-matches'!$A:$AD,AM$2,0)</f>
        <v>#N/A</v>
      </c>
      <c r="AN283" t="e">
        <f>VLOOKUP($AC283,'oddspedia-matches'!$A:$AD,AN$2,0)</f>
        <v>#N/A</v>
      </c>
      <c r="AO283" t="e">
        <f>VLOOKUP($AC283,'oddspedia-matches'!$A:$AD,AO$2,0)</f>
        <v>#N/A</v>
      </c>
      <c r="AP283" t="e">
        <f>VLOOKUP($AC283,'oddspedia-matches'!$A:$AD,AP$2,0)</f>
        <v>#N/A</v>
      </c>
      <c r="AQ283" t="e">
        <f>VLOOKUP($AC283,'oddspedia-matches'!$A:$AD,AQ$2,0)</f>
        <v>#N/A</v>
      </c>
      <c r="AR283" t="e">
        <f>VLOOKUP($AC283,'oddspedia-matches'!$A:$AD,AR$2,0)</f>
        <v>#N/A</v>
      </c>
      <c r="AS283" t="e">
        <f>VLOOKUP($AC283,'oddspedia-matches'!$A:$AD,AS$2,0)</f>
        <v>#N/A</v>
      </c>
      <c r="AT283" t="e">
        <f>VLOOKUP($AC283,'oddspedia-matches'!$A:$AD,AT$2,0)</f>
        <v>#N/A</v>
      </c>
    </row>
    <row r="284" spans="2:46" x14ac:dyDescent="0.25">
      <c r="B284" s="9" t="s">
        <v>484</v>
      </c>
      <c r="C284" s="7" t="s">
        <v>508</v>
      </c>
      <c r="D284" s="20">
        <v>0.83333333333333337</v>
      </c>
      <c r="E284" s="7" t="s">
        <v>785</v>
      </c>
      <c r="F284" s="7" t="s">
        <v>786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s="7" t="s">
        <v>22</v>
      </c>
      <c r="Y284" s="7" t="s">
        <v>22</v>
      </c>
      <c r="Z284" s="21"/>
      <c r="AA284">
        <f>VLOOKUP(E284,'Transform table'!A:B,2,0)</f>
        <v>0</v>
      </c>
      <c r="AB284" t="e">
        <f>VLOOKUP(F284,'Transform table'!A:B,2,0)</f>
        <v>#N/A</v>
      </c>
      <c r="AC284" t="e">
        <f t="shared" si="4"/>
        <v>#N/A</v>
      </c>
      <c r="AD284" t="e">
        <f>VLOOKUP($AC284,'oddspedia-matches'!$A:$AD,AD$2,0)</f>
        <v>#N/A</v>
      </c>
      <c r="AE284" t="e">
        <f>VLOOKUP($AC284,'oddspedia-matches'!$A:$AD,AE$2,0)</f>
        <v>#N/A</v>
      </c>
      <c r="AF284" t="e">
        <f>VLOOKUP($AC284,'oddspedia-matches'!$A:$AD,AF$2,0)</f>
        <v>#N/A</v>
      </c>
      <c r="AG284" t="e">
        <f>VLOOKUP($AC284,'oddspedia-matches'!$A:$AD,AG$2,0)</f>
        <v>#N/A</v>
      </c>
      <c r="AH284" t="e">
        <f>VLOOKUP($AC284,'oddspedia-matches'!$A:$AD,AH$2,0)</f>
        <v>#N/A</v>
      </c>
      <c r="AI284" t="e">
        <f>VLOOKUP($AC284,'oddspedia-matches'!$A:$AD,AI$2,0)</f>
        <v>#N/A</v>
      </c>
      <c r="AJ284" t="e">
        <f>VLOOKUP($AC284,'oddspedia-matches'!$A:$AD,AJ$2,0)</f>
        <v>#N/A</v>
      </c>
      <c r="AK284" t="e">
        <f>VLOOKUP($AC284,'oddspedia-matches'!$A:$AD,AK$2,0)</f>
        <v>#N/A</v>
      </c>
      <c r="AL284" t="e">
        <f>VLOOKUP($AC284,'oddspedia-matches'!$A:$AD,AL$2,0)</f>
        <v>#N/A</v>
      </c>
      <c r="AM284" t="e">
        <f>VLOOKUP($AC284,'oddspedia-matches'!$A:$AD,AM$2,0)</f>
        <v>#N/A</v>
      </c>
      <c r="AN284" t="e">
        <f>VLOOKUP($AC284,'oddspedia-matches'!$A:$AD,AN$2,0)</f>
        <v>#N/A</v>
      </c>
      <c r="AO284" t="e">
        <f>VLOOKUP($AC284,'oddspedia-matches'!$A:$AD,AO$2,0)</f>
        <v>#N/A</v>
      </c>
      <c r="AP284" t="e">
        <f>VLOOKUP($AC284,'oddspedia-matches'!$A:$AD,AP$2,0)</f>
        <v>#N/A</v>
      </c>
      <c r="AQ284" t="e">
        <f>VLOOKUP($AC284,'oddspedia-matches'!$A:$AD,AQ$2,0)</f>
        <v>#N/A</v>
      </c>
      <c r="AR284" t="e">
        <f>VLOOKUP($AC284,'oddspedia-matches'!$A:$AD,AR$2,0)</f>
        <v>#N/A</v>
      </c>
      <c r="AS284" t="e">
        <f>VLOOKUP($AC284,'oddspedia-matches'!$A:$AD,AS$2,0)</f>
        <v>#N/A</v>
      </c>
      <c r="AT284" t="e">
        <f>VLOOKUP($AC284,'oddspedia-matches'!$A:$AD,AT$2,0)</f>
        <v>#N/A</v>
      </c>
    </row>
    <row r="285" spans="2:46" x14ac:dyDescent="0.25">
      <c r="B285" s="17" t="s">
        <v>484</v>
      </c>
      <c r="C285" s="8" t="s">
        <v>508</v>
      </c>
      <c r="D285" s="18">
        <v>0.83333333333333337</v>
      </c>
      <c r="E285" s="8" t="s">
        <v>787</v>
      </c>
      <c r="F285" s="8" t="s">
        <v>788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s="8">
        <v>20</v>
      </c>
      <c r="Y285" s="8">
        <v>44.4</v>
      </c>
      <c r="Z285" s="19"/>
      <c r="AA285" t="str">
        <f>VLOOKUP(E285,'Transform table'!A:B,2,0)</f>
        <v>Lazio U20</v>
      </c>
      <c r="AB285" t="e">
        <f>VLOOKUP(F285,'Transform table'!A:B,2,0)</f>
        <v>#N/A</v>
      </c>
      <c r="AC285" t="e">
        <f t="shared" si="4"/>
        <v>#N/A</v>
      </c>
      <c r="AD285" t="e">
        <f>VLOOKUP($AC285,'oddspedia-matches'!$A:$AD,AD$2,0)</f>
        <v>#N/A</v>
      </c>
      <c r="AE285" t="e">
        <f>VLOOKUP($AC285,'oddspedia-matches'!$A:$AD,AE$2,0)</f>
        <v>#N/A</v>
      </c>
      <c r="AF285" t="e">
        <f>VLOOKUP($AC285,'oddspedia-matches'!$A:$AD,AF$2,0)</f>
        <v>#N/A</v>
      </c>
      <c r="AG285" t="e">
        <f>VLOOKUP($AC285,'oddspedia-matches'!$A:$AD,AG$2,0)</f>
        <v>#N/A</v>
      </c>
      <c r="AH285" t="e">
        <f>VLOOKUP($AC285,'oddspedia-matches'!$A:$AD,AH$2,0)</f>
        <v>#N/A</v>
      </c>
      <c r="AI285" t="e">
        <f>VLOOKUP($AC285,'oddspedia-matches'!$A:$AD,AI$2,0)</f>
        <v>#N/A</v>
      </c>
      <c r="AJ285" t="e">
        <f>VLOOKUP($AC285,'oddspedia-matches'!$A:$AD,AJ$2,0)</f>
        <v>#N/A</v>
      </c>
      <c r="AK285" t="e">
        <f>VLOOKUP($AC285,'oddspedia-matches'!$A:$AD,AK$2,0)</f>
        <v>#N/A</v>
      </c>
      <c r="AL285" t="e">
        <f>VLOOKUP($AC285,'oddspedia-matches'!$A:$AD,AL$2,0)</f>
        <v>#N/A</v>
      </c>
      <c r="AM285" t="e">
        <f>VLOOKUP($AC285,'oddspedia-matches'!$A:$AD,AM$2,0)</f>
        <v>#N/A</v>
      </c>
      <c r="AN285" t="e">
        <f>VLOOKUP($AC285,'oddspedia-matches'!$A:$AD,AN$2,0)</f>
        <v>#N/A</v>
      </c>
      <c r="AO285" t="e">
        <f>VLOOKUP($AC285,'oddspedia-matches'!$A:$AD,AO$2,0)</f>
        <v>#N/A</v>
      </c>
      <c r="AP285" t="e">
        <f>VLOOKUP($AC285,'oddspedia-matches'!$A:$AD,AP$2,0)</f>
        <v>#N/A</v>
      </c>
      <c r="AQ285" t="e">
        <f>VLOOKUP($AC285,'oddspedia-matches'!$A:$AD,AQ$2,0)</f>
        <v>#N/A</v>
      </c>
      <c r="AR285" t="e">
        <f>VLOOKUP($AC285,'oddspedia-matches'!$A:$AD,AR$2,0)</f>
        <v>#N/A</v>
      </c>
      <c r="AS285" t="e">
        <f>VLOOKUP($AC285,'oddspedia-matches'!$A:$AD,AS$2,0)</f>
        <v>#N/A</v>
      </c>
      <c r="AT285" t="e">
        <f>VLOOKUP($AC285,'oddspedia-matches'!$A:$AD,AT$2,0)</f>
        <v>#N/A</v>
      </c>
    </row>
    <row r="286" spans="2:46" x14ac:dyDescent="0.25">
      <c r="B286" s="9" t="s">
        <v>505</v>
      </c>
      <c r="C286" s="7" t="s">
        <v>508</v>
      </c>
      <c r="D286" s="20">
        <v>0.84027777777777779</v>
      </c>
      <c r="E286" s="7" t="s">
        <v>789</v>
      </c>
      <c r="F286" s="7" t="s">
        <v>790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s="7">
        <v>20</v>
      </c>
      <c r="Y286" s="7">
        <v>0</v>
      </c>
      <c r="Z286" s="21"/>
      <c r="AA286" t="str">
        <f>VLOOKUP(E286,'Transform table'!A:B,2,0)</f>
        <v>Millwall</v>
      </c>
      <c r="AB286" t="e">
        <f>VLOOKUP(F286,'Transform table'!A:B,2,0)</f>
        <v>#N/A</v>
      </c>
      <c r="AC286" t="e">
        <f t="shared" si="4"/>
        <v>#N/A</v>
      </c>
      <c r="AD286" t="e">
        <f>VLOOKUP($AC286,'oddspedia-matches'!$A:$AD,AD$2,0)</f>
        <v>#N/A</v>
      </c>
      <c r="AE286" t="e">
        <f>VLOOKUP($AC286,'oddspedia-matches'!$A:$AD,AE$2,0)</f>
        <v>#N/A</v>
      </c>
      <c r="AF286" t="e">
        <f>VLOOKUP($AC286,'oddspedia-matches'!$A:$AD,AF$2,0)</f>
        <v>#N/A</v>
      </c>
      <c r="AG286" t="e">
        <f>VLOOKUP($AC286,'oddspedia-matches'!$A:$AD,AG$2,0)</f>
        <v>#N/A</v>
      </c>
      <c r="AH286" t="e">
        <f>VLOOKUP($AC286,'oddspedia-matches'!$A:$AD,AH$2,0)</f>
        <v>#N/A</v>
      </c>
      <c r="AI286" t="e">
        <f>VLOOKUP($AC286,'oddspedia-matches'!$A:$AD,AI$2,0)</f>
        <v>#N/A</v>
      </c>
      <c r="AJ286" t="e">
        <f>VLOOKUP($AC286,'oddspedia-matches'!$A:$AD,AJ$2,0)</f>
        <v>#N/A</v>
      </c>
      <c r="AK286" t="e">
        <f>VLOOKUP($AC286,'oddspedia-matches'!$A:$AD,AK$2,0)</f>
        <v>#N/A</v>
      </c>
      <c r="AL286" t="e">
        <f>VLOOKUP($AC286,'oddspedia-matches'!$A:$AD,AL$2,0)</f>
        <v>#N/A</v>
      </c>
      <c r="AM286" t="e">
        <f>VLOOKUP($AC286,'oddspedia-matches'!$A:$AD,AM$2,0)</f>
        <v>#N/A</v>
      </c>
      <c r="AN286" t="e">
        <f>VLOOKUP($AC286,'oddspedia-matches'!$A:$AD,AN$2,0)</f>
        <v>#N/A</v>
      </c>
      <c r="AO286" t="e">
        <f>VLOOKUP($AC286,'oddspedia-matches'!$A:$AD,AO$2,0)</f>
        <v>#N/A</v>
      </c>
      <c r="AP286" t="e">
        <f>VLOOKUP($AC286,'oddspedia-matches'!$A:$AD,AP$2,0)</f>
        <v>#N/A</v>
      </c>
      <c r="AQ286" t="e">
        <f>VLOOKUP($AC286,'oddspedia-matches'!$A:$AD,AQ$2,0)</f>
        <v>#N/A</v>
      </c>
      <c r="AR286" t="e">
        <f>VLOOKUP($AC286,'oddspedia-matches'!$A:$AD,AR$2,0)</f>
        <v>#N/A</v>
      </c>
      <c r="AS286" t="e">
        <f>VLOOKUP($AC286,'oddspedia-matches'!$A:$AD,AS$2,0)</f>
        <v>#N/A</v>
      </c>
      <c r="AT286" t="e">
        <f>VLOOKUP($AC286,'oddspedia-matches'!$A:$AD,AT$2,0)</f>
        <v>#N/A</v>
      </c>
    </row>
    <row r="287" spans="2:46" x14ac:dyDescent="0.25">
      <c r="B287" s="17" t="s">
        <v>507</v>
      </c>
      <c r="C287" s="8" t="s">
        <v>508</v>
      </c>
      <c r="D287" s="18">
        <v>0.84375</v>
      </c>
      <c r="E287" s="8" t="s">
        <v>791</v>
      </c>
      <c r="F287" s="8" t="s">
        <v>792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s="8" t="s">
        <v>22</v>
      </c>
      <c r="Y287" s="8" t="s">
        <v>22</v>
      </c>
      <c r="Z287" s="19"/>
      <c r="AA287" t="str">
        <f>VLOOKUP(E287,'Transform table'!A:B,2,0)</f>
        <v>Alianza</v>
      </c>
      <c r="AB287" t="e">
        <f>VLOOKUP(F287,'Transform table'!A:B,2,0)</f>
        <v>#N/A</v>
      </c>
      <c r="AC287" t="e">
        <f t="shared" si="4"/>
        <v>#N/A</v>
      </c>
      <c r="AD287" t="e">
        <f>VLOOKUP($AC287,'oddspedia-matches'!$A:$AD,AD$2,0)</f>
        <v>#N/A</v>
      </c>
      <c r="AE287" t="e">
        <f>VLOOKUP($AC287,'oddspedia-matches'!$A:$AD,AE$2,0)</f>
        <v>#N/A</v>
      </c>
      <c r="AF287" t="e">
        <f>VLOOKUP($AC287,'oddspedia-matches'!$A:$AD,AF$2,0)</f>
        <v>#N/A</v>
      </c>
      <c r="AG287" t="e">
        <f>VLOOKUP($AC287,'oddspedia-matches'!$A:$AD,AG$2,0)</f>
        <v>#N/A</v>
      </c>
      <c r="AH287" t="e">
        <f>VLOOKUP($AC287,'oddspedia-matches'!$A:$AD,AH$2,0)</f>
        <v>#N/A</v>
      </c>
      <c r="AI287" t="e">
        <f>VLOOKUP($AC287,'oddspedia-matches'!$A:$AD,AI$2,0)</f>
        <v>#N/A</v>
      </c>
      <c r="AJ287" t="e">
        <f>VLOOKUP($AC287,'oddspedia-matches'!$A:$AD,AJ$2,0)</f>
        <v>#N/A</v>
      </c>
      <c r="AK287" t="e">
        <f>VLOOKUP($AC287,'oddspedia-matches'!$A:$AD,AK$2,0)</f>
        <v>#N/A</v>
      </c>
      <c r="AL287" t="e">
        <f>VLOOKUP($AC287,'oddspedia-matches'!$A:$AD,AL$2,0)</f>
        <v>#N/A</v>
      </c>
      <c r="AM287" t="e">
        <f>VLOOKUP($AC287,'oddspedia-matches'!$A:$AD,AM$2,0)</f>
        <v>#N/A</v>
      </c>
      <c r="AN287" t="e">
        <f>VLOOKUP($AC287,'oddspedia-matches'!$A:$AD,AN$2,0)</f>
        <v>#N/A</v>
      </c>
      <c r="AO287" t="e">
        <f>VLOOKUP($AC287,'oddspedia-matches'!$A:$AD,AO$2,0)</f>
        <v>#N/A</v>
      </c>
      <c r="AP287" t="e">
        <f>VLOOKUP($AC287,'oddspedia-matches'!$A:$AD,AP$2,0)</f>
        <v>#N/A</v>
      </c>
      <c r="AQ287" t="e">
        <f>VLOOKUP($AC287,'oddspedia-matches'!$A:$AD,AQ$2,0)</f>
        <v>#N/A</v>
      </c>
      <c r="AR287" t="e">
        <f>VLOOKUP($AC287,'oddspedia-matches'!$A:$AD,AR$2,0)</f>
        <v>#N/A</v>
      </c>
      <c r="AS287" t="e">
        <f>VLOOKUP($AC287,'oddspedia-matches'!$A:$AD,AS$2,0)</f>
        <v>#N/A</v>
      </c>
      <c r="AT287" t="e">
        <f>VLOOKUP($AC287,'oddspedia-matches'!$A:$AD,AT$2,0)</f>
        <v>#N/A</v>
      </c>
    </row>
    <row r="288" spans="2:46" x14ac:dyDescent="0.25">
      <c r="B288" s="9" t="s">
        <v>475</v>
      </c>
      <c r="C288" s="7" t="s">
        <v>508</v>
      </c>
      <c r="D288" s="20">
        <v>0.85416666666666663</v>
      </c>
      <c r="E288" s="7" t="s">
        <v>238</v>
      </c>
      <c r="F288" s="7" t="s">
        <v>793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s="7">
        <v>20</v>
      </c>
      <c r="Y288" s="7">
        <v>20</v>
      </c>
      <c r="Z288" s="21"/>
      <c r="AA288" t="str">
        <f>VLOOKUP(E288,'Transform table'!A:B,2,0)</f>
        <v>Independiente Petrolero</v>
      </c>
      <c r="AB288" t="e">
        <f>VLOOKUP(F288,'Transform table'!A:B,2,0)</f>
        <v>#N/A</v>
      </c>
      <c r="AC288" t="e">
        <f t="shared" si="4"/>
        <v>#N/A</v>
      </c>
      <c r="AD288" t="e">
        <f>VLOOKUP($AC288,'oddspedia-matches'!$A:$AD,AD$2,0)</f>
        <v>#N/A</v>
      </c>
      <c r="AE288" t="e">
        <f>VLOOKUP($AC288,'oddspedia-matches'!$A:$AD,AE$2,0)</f>
        <v>#N/A</v>
      </c>
      <c r="AF288" t="e">
        <f>VLOOKUP($AC288,'oddspedia-matches'!$A:$AD,AF$2,0)</f>
        <v>#N/A</v>
      </c>
      <c r="AG288" t="e">
        <f>VLOOKUP($AC288,'oddspedia-matches'!$A:$AD,AG$2,0)</f>
        <v>#N/A</v>
      </c>
      <c r="AH288" t="e">
        <f>VLOOKUP($AC288,'oddspedia-matches'!$A:$AD,AH$2,0)</f>
        <v>#N/A</v>
      </c>
      <c r="AI288" t="e">
        <f>VLOOKUP($AC288,'oddspedia-matches'!$A:$AD,AI$2,0)</f>
        <v>#N/A</v>
      </c>
      <c r="AJ288" t="e">
        <f>VLOOKUP($AC288,'oddspedia-matches'!$A:$AD,AJ$2,0)</f>
        <v>#N/A</v>
      </c>
      <c r="AK288" t="e">
        <f>VLOOKUP($AC288,'oddspedia-matches'!$A:$AD,AK$2,0)</f>
        <v>#N/A</v>
      </c>
      <c r="AL288" t="e">
        <f>VLOOKUP($AC288,'oddspedia-matches'!$A:$AD,AL$2,0)</f>
        <v>#N/A</v>
      </c>
      <c r="AM288" t="e">
        <f>VLOOKUP($AC288,'oddspedia-matches'!$A:$AD,AM$2,0)</f>
        <v>#N/A</v>
      </c>
      <c r="AN288" t="e">
        <f>VLOOKUP($AC288,'oddspedia-matches'!$A:$AD,AN$2,0)</f>
        <v>#N/A</v>
      </c>
      <c r="AO288" t="e">
        <f>VLOOKUP($AC288,'oddspedia-matches'!$A:$AD,AO$2,0)</f>
        <v>#N/A</v>
      </c>
      <c r="AP288" t="e">
        <f>VLOOKUP($AC288,'oddspedia-matches'!$A:$AD,AP$2,0)</f>
        <v>#N/A</v>
      </c>
      <c r="AQ288" t="e">
        <f>VLOOKUP($AC288,'oddspedia-matches'!$A:$AD,AQ$2,0)</f>
        <v>#N/A</v>
      </c>
      <c r="AR288" t="e">
        <f>VLOOKUP($AC288,'oddspedia-matches'!$A:$AD,AR$2,0)</f>
        <v>#N/A</v>
      </c>
      <c r="AS288" t="e">
        <f>VLOOKUP($AC288,'oddspedia-matches'!$A:$AD,AS$2,0)</f>
        <v>#N/A</v>
      </c>
      <c r="AT288" t="e">
        <f>VLOOKUP($AC288,'oddspedia-matches'!$A:$AD,AT$2,0)</f>
        <v>#N/A</v>
      </c>
    </row>
    <row r="289" spans="2:46" x14ac:dyDescent="0.25">
      <c r="B289" s="17" t="s">
        <v>472</v>
      </c>
      <c r="C289" s="8" t="s">
        <v>508</v>
      </c>
      <c r="D289" s="18">
        <v>0.85416666666666663</v>
      </c>
      <c r="E289" s="8" t="s">
        <v>794</v>
      </c>
      <c r="F289" s="8" t="s">
        <v>795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s="8" t="s">
        <v>22</v>
      </c>
      <c r="Y289" s="8" t="s">
        <v>22</v>
      </c>
      <c r="Z289" s="19"/>
      <c r="AA289">
        <f>VLOOKUP(E289,'Transform table'!A:B,2,0)</f>
        <v>0</v>
      </c>
      <c r="AB289" t="e">
        <f>VLOOKUP(F289,'Transform table'!A:B,2,0)</f>
        <v>#N/A</v>
      </c>
      <c r="AC289" t="e">
        <f t="shared" si="4"/>
        <v>#N/A</v>
      </c>
      <c r="AD289" t="e">
        <f>VLOOKUP($AC289,'oddspedia-matches'!$A:$AD,AD$2,0)</f>
        <v>#N/A</v>
      </c>
      <c r="AE289" t="e">
        <f>VLOOKUP($AC289,'oddspedia-matches'!$A:$AD,AE$2,0)</f>
        <v>#N/A</v>
      </c>
      <c r="AF289" t="e">
        <f>VLOOKUP($AC289,'oddspedia-matches'!$A:$AD,AF$2,0)</f>
        <v>#N/A</v>
      </c>
      <c r="AG289" t="e">
        <f>VLOOKUP($AC289,'oddspedia-matches'!$A:$AD,AG$2,0)</f>
        <v>#N/A</v>
      </c>
      <c r="AH289" t="e">
        <f>VLOOKUP($AC289,'oddspedia-matches'!$A:$AD,AH$2,0)</f>
        <v>#N/A</v>
      </c>
      <c r="AI289" t="e">
        <f>VLOOKUP($AC289,'oddspedia-matches'!$A:$AD,AI$2,0)</f>
        <v>#N/A</v>
      </c>
      <c r="AJ289" t="e">
        <f>VLOOKUP($AC289,'oddspedia-matches'!$A:$AD,AJ$2,0)</f>
        <v>#N/A</v>
      </c>
      <c r="AK289" t="e">
        <f>VLOOKUP($AC289,'oddspedia-matches'!$A:$AD,AK$2,0)</f>
        <v>#N/A</v>
      </c>
      <c r="AL289" t="e">
        <f>VLOOKUP($AC289,'oddspedia-matches'!$A:$AD,AL$2,0)</f>
        <v>#N/A</v>
      </c>
      <c r="AM289" t="e">
        <f>VLOOKUP($AC289,'oddspedia-matches'!$A:$AD,AM$2,0)</f>
        <v>#N/A</v>
      </c>
      <c r="AN289" t="e">
        <f>VLOOKUP($AC289,'oddspedia-matches'!$A:$AD,AN$2,0)</f>
        <v>#N/A</v>
      </c>
      <c r="AO289" t="e">
        <f>VLOOKUP($AC289,'oddspedia-matches'!$A:$AD,AO$2,0)</f>
        <v>#N/A</v>
      </c>
      <c r="AP289" t="e">
        <f>VLOOKUP($AC289,'oddspedia-matches'!$A:$AD,AP$2,0)</f>
        <v>#N/A</v>
      </c>
      <c r="AQ289" t="e">
        <f>VLOOKUP($AC289,'oddspedia-matches'!$A:$AD,AQ$2,0)</f>
        <v>#N/A</v>
      </c>
      <c r="AR289" t="e">
        <f>VLOOKUP($AC289,'oddspedia-matches'!$A:$AD,AR$2,0)</f>
        <v>#N/A</v>
      </c>
      <c r="AS289" t="e">
        <f>VLOOKUP($AC289,'oddspedia-matches'!$A:$AD,AS$2,0)</f>
        <v>#N/A</v>
      </c>
      <c r="AT289" t="e">
        <f>VLOOKUP($AC289,'oddspedia-matches'!$A:$AD,AT$2,0)</f>
        <v>#N/A</v>
      </c>
    </row>
    <row r="290" spans="2:46" x14ac:dyDescent="0.25">
      <c r="B290" s="9" t="s">
        <v>486</v>
      </c>
      <c r="C290" s="7" t="s">
        <v>508</v>
      </c>
      <c r="D290" s="20">
        <v>0.85416666666666663</v>
      </c>
      <c r="E290" s="7" t="s">
        <v>80</v>
      </c>
      <c r="F290" s="7" t="s">
        <v>57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s="7">
        <v>14.3</v>
      </c>
      <c r="Y290" s="7">
        <v>11.1</v>
      </c>
      <c r="Z290" s="21"/>
      <c r="AA290" t="str">
        <f>VLOOKUP(E290,'Transform table'!A:B,2,0)</f>
        <v>Montreal Impact</v>
      </c>
      <c r="AB290" t="str">
        <f>VLOOKUP(F290,'Transform table'!A:B,2,0)</f>
        <v>Inter Miami CF</v>
      </c>
      <c r="AC290" t="str">
        <f t="shared" si="4"/>
        <v>25/07/2026Montreal ImpactInter Miami CF</v>
      </c>
      <c r="AD290" t="e">
        <f>VLOOKUP($AC290,'oddspedia-matches'!$A:$AD,AD$2,0)</f>
        <v>#N/A</v>
      </c>
      <c r="AE290" t="e">
        <f>VLOOKUP($AC290,'oddspedia-matches'!$A:$AD,AE$2,0)</f>
        <v>#N/A</v>
      </c>
      <c r="AF290" t="e">
        <f>VLOOKUP($AC290,'oddspedia-matches'!$A:$AD,AF$2,0)</f>
        <v>#N/A</v>
      </c>
      <c r="AG290" t="e">
        <f>VLOOKUP($AC290,'oddspedia-matches'!$A:$AD,AG$2,0)</f>
        <v>#N/A</v>
      </c>
      <c r="AH290" t="e">
        <f>VLOOKUP($AC290,'oddspedia-matches'!$A:$AD,AH$2,0)</f>
        <v>#N/A</v>
      </c>
      <c r="AI290" t="e">
        <f>VLOOKUP($AC290,'oddspedia-matches'!$A:$AD,AI$2,0)</f>
        <v>#N/A</v>
      </c>
      <c r="AJ290" t="e">
        <f>VLOOKUP($AC290,'oddspedia-matches'!$A:$AD,AJ$2,0)</f>
        <v>#N/A</v>
      </c>
      <c r="AK290" t="e">
        <f>VLOOKUP($AC290,'oddspedia-matches'!$A:$AD,AK$2,0)</f>
        <v>#N/A</v>
      </c>
      <c r="AL290" t="e">
        <f>VLOOKUP($AC290,'oddspedia-matches'!$A:$AD,AL$2,0)</f>
        <v>#N/A</v>
      </c>
      <c r="AM290" t="e">
        <f>VLOOKUP($AC290,'oddspedia-matches'!$A:$AD,AM$2,0)</f>
        <v>#N/A</v>
      </c>
      <c r="AN290" t="e">
        <f>VLOOKUP($AC290,'oddspedia-matches'!$A:$AD,AN$2,0)</f>
        <v>#N/A</v>
      </c>
      <c r="AO290" t="e">
        <f>VLOOKUP($AC290,'oddspedia-matches'!$A:$AD,AO$2,0)</f>
        <v>#N/A</v>
      </c>
      <c r="AP290" t="e">
        <f>VLOOKUP($AC290,'oddspedia-matches'!$A:$AD,AP$2,0)</f>
        <v>#N/A</v>
      </c>
      <c r="AQ290" t="e">
        <f>VLOOKUP($AC290,'oddspedia-matches'!$A:$AD,AQ$2,0)</f>
        <v>#N/A</v>
      </c>
      <c r="AR290" t="e">
        <f>VLOOKUP($AC290,'oddspedia-matches'!$A:$AD,AR$2,0)</f>
        <v>#N/A</v>
      </c>
      <c r="AS290" t="e">
        <f>VLOOKUP($AC290,'oddspedia-matches'!$A:$AD,AS$2,0)</f>
        <v>#N/A</v>
      </c>
      <c r="AT290" t="e">
        <f>VLOOKUP($AC290,'oddspedia-matches'!$A:$AD,AT$2,0)</f>
        <v>#N/A</v>
      </c>
    </row>
    <row r="291" spans="2:46" x14ac:dyDescent="0.25">
      <c r="B291" s="17" t="s">
        <v>486</v>
      </c>
      <c r="C291" s="8" t="s">
        <v>508</v>
      </c>
      <c r="D291" s="18">
        <v>0.85416666666666663</v>
      </c>
      <c r="E291" s="8" t="s">
        <v>78</v>
      </c>
      <c r="F291" s="8" t="s">
        <v>60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s="8">
        <v>28.6</v>
      </c>
      <c r="Y291" s="8">
        <v>16.7</v>
      </c>
      <c r="Z291" s="19"/>
      <c r="AA291" t="str">
        <f>VLOOKUP(E291,'Transform table'!A:B,2,0)</f>
        <v>DC United</v>
      </c>
      <c r="AB291" t="str">
        <f>VLOOKUP(F291,'Transform table'!A:B,2,0)</f>
        <v>Toronto FC</v>
      </c>
      <c r="AC291" t="str">
        <f t="shared" si="4"/>
        <v>25/07/2026DC UnitedToronto FC</v>
      </c>
      <c r="AD291" t="e">
        <f>VLOOKUP($AC291,'oddspedia-matches'!$A:$AD,AD$2,0)</f>
        <v>#N/A</v>
      </c>
      <c r="AE291" t="e">
        <f>VLOOKUP($AC291,'oddspedia-matches'!$A:$AD,AE$2,0)</f>
        <v>#N/A</v>
      </c>
      <c r="AF291" t="e">
        <f>VLOOKUP($AC291,'oddspedia-matches'!$A:$AD,AF$2,0)</f>
        <v>#N/A</v>
      </c>
      <c r="AG291" t="e">
        <f>VLOOKUP($AC291,'oddspedia-matches'!$A:$AD,AG$2,0)</f>
        <v>#N/A</v>
      </c>
      <c r="AH291" t="e">
        <f>VLOOKUP($AC291,'oddspedia-matches'!$A:$AD,AH$2,0)</f>
        <v>#N/A</v>
      </c>
      <c r="AI291" t="e">
        <f>VLOOKUP($AC291,'oddspedia-matches'!$A:$AD,AI$2,0)</f>
        <v>#N/A</v>
      </c>
      <c r="AJ291" t="e">
        <f>VLOOKUP($AC291,'oddspedia-matches'!$A:$AD,AJ$2,0)</f>
        <v>#N/A</v>
      </c>
      <c r="AK291" t="e">
        <f>VLOOKUP($AC291,'oddspedia-matches'!$A:$AD,AK$2,0)</f>
        <v>#N/A</v>
      </c>
      <c r="AL291" t="e">
        <f>VLOOKUP($AC291,'oddspedia-matches'!$A:$AD,AL$2,0)</f>
        <v>#N/A</v>
      </c>
      <c r="AM291" t="e">
        <f>VLOOKUP($AC291,'oddspedia-matches'!$A:$AD,AM$2,0)</f>
        <v>#N/A</v>
      </c>
      <c r="AN291" t="e">
        <f>VLOOKUP($AC291,'oddspedia-matches'!$A:$AD,AN$2,0)</f>
        <v>#N/A</v>
      </c>
      <c r="AO291" t="e">
        <f>VLOOKUP($AC291,'oddspedia-matches'!$A:$AD,AO$2,0)</f>
        <v>#N/A</v>
      </c>
      <c r="AP291" t="e">
        <f>VLOOKUP($AC291,'oddspedia-matches'!$A:$AD,AP$2,0)</f>
        <v>#N/A</v>
      </c>
      <c r="AQ291" t="e">
        <f>VLOOKUP($AC291,'oddspedia-matches'!$A:$AD,AQ$2,0)</f>
        <v>#N/A</v>
      </c>
      <c r="AR291" t="e">
        <f>VLOOKUP($AC291,'oddspedia-matches'!$A:$AD,AR$2,0)</f>
        <v>#N/A</v>
      </c>
      <c r="AS291" t="e">
        <f>VLOOKUP($AC291,'oddspedia-matches'!$A:$AD,AS$2,0)</f>
        <v>#N/A</v>
      </c>
      <c r="AT291" t="e">
        <f>VLOOKUP($AC291,'oddspedia-matches'!$A:$AD,AT$2,0)</f>
        <v>#N/A</v>
      </c>
    </row>
    <row r="292" spans="2:46" x14ac:dyDescent="0.25">
      <c r="B292" s="9" t="s">
        <v>486</v>
      </c>
      <c r="C292" s="7" t="s">
        <v>508</v>
      </c>
      <c r="D292" s="20">
        <v>0.85416666666666663</v>
      </c>
      <c r="E292" s="7" t="s">
        <v>59</v>
      </c>
      <c r="F292" s="7" t="s">
        <v>66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s="7">
        <v>25</v>
      </c>
      <c r="Y292" s="7">
        <v>0</v>
      </c>
      <c r="Z292" s="21"/>
      <c r="AA292" t="str">
        <f>VLOOKUP(E292,'Transform table'!A:B,2,0)</f>
        <v>New England Revolution</v>
      </c>
      <c r="AB292" t="str">
        <f>VLOOKUP(F292,'Transform table'!A:B,2,0)</f>
        <v>Atlanta United</v>
      </c>
      <c r="AC292" t="str">
        <f t="shared" si="4"/>
        <v>25/07/2026New England RevolutionAtlanta United</v>
      </c>
      <c r="AD292" t="e">
        <f>VLOOKUP($AC292,'oddspedia-matches'!$A:$AD,AD$2,0)</f>
        <v>#N/A</v>
      </c>
      <c r="AE292" t="e">
        <f>VLOOKUP($AC292,'oddspedia-matches'!$A:$AD,AE$2,0)</f>
        <v>#N/A</v>
      </c>
      <c r="AF292" t="e">
        <f>VLOOKUP($AC292,'oddspedia-matches'!$A:$AD,AF$2,0)</f>
        <v>#N/A</v>
      </c>
      <c r="AG292" t="e">
        <f>VLOOKUP($AC292,'oddspedia-matches'!$A:$AD,AG$2,0)</f>
        <v>#N/A</v>
      </c>
      <c r="AH292" t="e">
        <f>VLOOKUP($AC292,'oddspedia-matches'!$A:$AD,AH$2,0)</f>
        <v>#N/A</v>
      </c>
      <c r="AI292" t="e">
        <f>VLOOKUP($AC292,'oddspedia-matches'!$A:$AD,AI$2,0)</f>
        <v>#N/A</v>
      </c>
      <c r="AJ292" t="e">
        <f>VLOOKUP($AC292,'oddspedia-matches'!$A:$AD,AJ$2,0)</f>
        <v>#N/A</v>
      </c>
      <c r="AK292" t="e">
        <f>VLOOKUP($AC292,'oddspedia-matches'!$A:$AD,AK$2,0)</f>
        <v>#N/A</v>
      </c>
      <c r="AL292" t="e">
        <f>VLOOKUP($AC292,'oddspedia-matches'!$A:$AD,AL$2,0)</f>
        <v>#N/A</v>
      </c>
      <c r="AM292" t="e">
        <f>VLOOKUP($AC292,'oddspedia-matches'!$A:$AD,AM$2,0)</f>
        <v>#N/A</v>
      </c>
      <c r="AN292" t="e">
        <f>VLOOKUP($AC292,'oddspedia-matches'!$A:$AD,AN$2,0)</f>
        <v>#N/A</v>
      </c>
      <c r="AO292" t="e">
        <f>VLOOKUP($AC292,'oddspedia-matches'!$A:$AD,AO$2,0)</f>
        <v>#N/A</v>
      </c>
      <c r="AP292" t="e">
        <f>VLOOKUP($AC292,'oddspedia-matches'!$A:$AD,AP$2,0)</f>
        <v>#N/A</v>
      </c>
      <c r="AQ292" t="e">
        <f>VLOOKUP($AC292,'oddspedia-matches'!$A:$AD,AQ$2,0)</f>
        <v>#N/A</v>
      </c>
      <c r="AR292" t="e">
        <f>VLOOKUP($AC292,'oddspedia-matches'!$A:$AD,AR$2,0)</f>
        <v>#N/A</v>
      </c>
      <c r="AS292" t="e">
        <f>VLOOKUP($AC292,'oddspedia-matches'!$A:$AD,AS$2,0)</f>
        <v>#N/A</v>
      </c>
      <c r="AT292" t="e">
        <f>VLOOKUP($AC292,'oddspedia-matches'!$A:$AD,AT$2,0)</f>
        <v>#N/A</v>
      </c>
    </row>
    <row r="293" spans="2:46" x14ac:dyDescent="0.25">
      <c r="B293" s="17" t="s">
        <v>486</v>
      </c>
      <c r="C293" s="8" t="s">
        <v>508</v>
      </c>
      <c r="D293" s="18">
        <v>0.85416666666666663</v>
      </c>
      <c r="E293" s="8" t="s">
        <v>54</v>
      </c>
      <c r="F293" s="8" t="s">
        <v>58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s="8">
        <v>12.5</v>
      </c>
      <c r="Y293" s="8">
        <v>0</v>
      </c>
      <c r="Z293" s="19"/>
      <c r="AA293" t="str">
        <f>VLOOKUP(E293,'Transform table'!A:B,2,0)</f>
        <v>New York City</v>
      </c>
      <c r="AB293" t="str">
        <f>VLOOKUP(F293,'Transform table'!A:B,2,0)</f>
        <v>Chicago Fire</v>
      </c>
      <c r="AC293" t="str">
        <f t="shared" si="4"/>
        <v>25/07/2026New York CityChicago Fire</v>
      </c>
      <c r="AD293" t="e">
        <f>VLOOKUP($AC293,'oddspedia-matches'!$A:$AD,AD$2,0)</f>
        <v>#N/A</v>
      </c>
      <c r="AE293" t="e">
        <f>VLOOKUP($AC293,'oddspedia-matches'!$A:$AD,AE$2,0)</f>
        <v>#N/A</v>
      </c>
      <c r="AF293" t="e">
        <f>VLOOKUP($AC293,'oddspedia-matches'!$A:$AD,AF$2,0)</f>
        <v>#N/A</v>
      </c>
      <c r="AG293" t="e">
        <f>VLOOKUP($AC293,'oddspedia-matches'!$A:$AD,AG$2,0)</f>
        <v>#N/A</v>
      </c>
      <c r="AH293" t="e">
        <f>VLOOKUP($AC293,'oddspedia-matches'!$A:$AD,AH$2,0)</f>
        <v>#N/A</v>
      </c>
      <c r="AI293" t="e">
        <f>VLOOKUP($AC293,'oddspedia-matches'!$A:$AD,AI$2,0)</f>
        <v>#N/A</v>
      </c>
      <c r="AJ293" t="e">
        <f>VLOOKUP($AC293,'oddspedia-matches'!$A:$AD,AJ$2,0)</f>
        <v>#N/A</v>
      </c>
      <c r="AK293" t="e">
        <f>VLOOKUP($AC293,'oddspedia-matches'!$A:$AD,AK$2,0)</f>
        <v>#N/A</v>
      </c>
      <c r="AL293" t="e">
        <f>VLOOKUP($AC293,'oddspedia-matches'!$A:$AD,AL$2,0)</f>
        <v>#N/A</v>
      </c>
      <c r="AM293" t="e">
        <f>VLOOKUP($AC293,'oddspedia-matches'!$A:$AD,AM$2,0)</f>
        <v>#N/A</v>
      </c>
      <c r="AN293" t="e">
        <f>VLOOKUP($AC293,'oddspedia-matches'!$A:$AD,AN$2,0)</f>
        <v>#N/A</v>
      </c>
      <c r="AO293" t="e">
        <f>VLOOKUP($AC293,'oddspedia-matches'!$A:$AD,AO$2,0)</f>
        <v>#N/A</v>
      </c>
      <c r="AP293" t="e">
        <f>VLOOKUP($AC293,'oddspedia-matches'!$A:$AD,AP$2,0)</f>
        <v>#N/A</v>
      </c>
      <c r="AQ293" t="e">
        <f>VLOOKUP($AC293,'oddspedia-matches'!$A:$AD,AQ$2,0)</f>
        <v>#N/A</v>
      </c>
      <c r="AR293" t="e">
        <f>VLOOKUP($AC293,'oddspedia-matches'!$A:$AD,AR$2,0)</f>
        <v>#N/A</v>
      </c>
      <c r="AS293" t="e">
        <f>VLOOKUP($AC293,'oddspedia-matches'!$A:$AD,AS$2,0)</f>
        <v>#N/A</v>
      </c>
      <c r="AT293" t="e">
        <f>VLOOKUP($AC293,'oddspedia-matches'!$A:$AD,AT$2,0)</f>
        <v>#N/A</v>
      </c>
    </row>
    <row r="294" spans="2:46" x14ac:dyDescent="0.25">
      <c r="B294" s="9" t="s">
        <v>486</v>
      </c>
      <c r="C294" s="7" t="s">
        <v>508</v>
      </c>
      <c r="D294" s="20">
        <v>0.85416666666666663</v>
      </c>
      <c r="E294" s="7" t="s">
        <v>96</v>
      </c>
      <c r="F294" s="7" t="s">
        <v>79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s="7">
        <v>14.3</v>
      </c>
      <c r="Y294" s="7">
        <v>14.3</v>
      </c>
      <c r="Z294" s="21"/>
      <c r="AA294" t="str">
        <f>VLOOKUP(E294,'Transform table'!A:B,2,0)</f>
        <v>Orlando City</v>
      </c>
      <c r="AB294" t="str">
        <f>VLOOKUP(F294,'Transform table'!A:B,2,0)</f>
        <v>Nashville FC</v>
      </c>
      <c r="AC294" t="str">
        <f t="shared" si="4"/>
        <v>25/07/2026Orlando CityNashville FC</v>
      </c>
      <c r="AD294" t="e">
        <f>VLOOKUP($AC294,'oddspedia-matches'!$A:$AD,AD$2,0)</f>
        <v>#N/A</v>
      </c>
      <c r="AE294" t="e">
        <f>VLOOKUP($AC294,'oddspedia-matches'!$A:$AD,AE$2,0)</f>
        <v>#N/A</v>
      </c>
      <c r="AF294" t="e">
        <f>VLOOKUP($AC294,'oddspedia-matches'!$A:$AD,AF$2,0)</f>
        <v>#N/A</v>
      </c>
      <c r="AG294" t="e">
        <f>VLOOKUP($AC294,'oddspedia-matches'!$A:$AD,AG$2,0)</f>
        <v>#N/A</v>
      </c>
      <c r="AH294" t="e">
        <f>VLOOKUP($AC294,'oddspedia-matches'!$A:$AD,AH$2,0)</f>
        <v>#N/A</v>
      </c>
      <c r="AI294" t="e">
        <f>VLOOKUP($AC294,'oddspedia-matches'!$A:$AD,AI$2,0)</f>
        <v>#N/A</v>
      </c>
      <c r="AJ294" t="e">
        <f>VLOOKUP($AC294,'oddspedia-matches'!$A:$AD,AJ$2,0)</f>
        <v>#N/A</v>
      </c>
      <c r="AK294" t="e">
        <f>VLOOKUP($AC294,'oddspedia-matches'!$A:$AD,AK$2,0)</f>
        <v>#N/A</v>
      </c>
      <c r="AL294" t="e">
        <f>VLOOKUP($AC294,'oddspedia-matches'!$A:$AD,AL$2,0)</f>
        <v>#N/A</v>
      </c>
      <c r="AM294" t="e">
        <f>VLOOKUP($AC294,'oddspedia-matches'!$A:$AD,AM$2,0)</f>
        <v>#N/A</v>
      </c>
      <c r="AN294" t="e">
        <f>VLOOKUP($AC294,'oddspedia-matches'!$A:$AD,AN$2,0)</f>
        <v>#N/A</v>
      </c>
      <c r="AO294" t="e">
        <f>VLOOKUP($AC294,'oddspedia-matches'!$A:$AD,AO$2,0)</f>
        <v>#N/A</v>
      </c>
      <c r="AP294" t="e">
        <f>VLOOKUP($AC294,'oddspedia-matches'!$A:$AD,AP$2,0)</f>
        <v>#N/A</v>
      </c>
      <c r="AQ294" t="e">
        <f>VLOOKUP($AC294,'oddspedia-matches'!$A:$AD,AQ$2,0)</f>
        <v>#N/A</v>
      </c>
      <c r="AR294" t="e">
        <f>VLOOKUP($AC294,'oddspedia-matches'!$A:$AD,AR$2,0)</f>
        <v>#N/A</v>
      </c>
      <c r="AS294" t="e">
        <f>VLOOKUP($AC294,'oddspedia-matches'!$A:$AD,AS$2,0)</f>
        <v>#N/A</v>
      </c>
      <c r="AT294" t="e">
        <f>VLOOKUP($AC294,'oddspedia-matches'!$A:$AD,AT$2,0)</f>
        <v>#N/A</v>
      </c>
    </row>
    <row r="295" spans="2:46" x14ac:dyDescent="0.25">
      <c r="B295" s="17" t="s">
        <v>486</v>
      </c>
      <c r="C295" s="8" t="s">
        <v>508</v>
      </c>
      <c r="D295" s="18">
        <v>0.85416666666666663</v>
      </c>
      <c r="E295" s="8" t="s">
        <v>61</v>
      </c>
      <c r="F295" s="8" t="s">
        <v>76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s="8">
        <v>16.7</v>
      </c>
      <c r="Y295" s="8">
        <v>14.3</v>
      </c>
      <c r="Z295" s="19"/>
      <c r="AA295" t="str">
        <f>VLOOKUP(E295,'Transform table'!A:B,2,0)</f>
        <v>Philadelphia Union</v>
      </c>
      <c r="AB295" t="str">
        <f>VLOOKUP(F295,'Transform table'!A:B,2,0)</f>
        <v>Seattle Sounders FC</v>
      </c>
      <c r="AC295" t="str">
        <f t="shared" si="4"/>
        <v>25/07/2026Philadelphia UnionSeattle Sounders FC</v>
      </c>
      <c r="AD295" t="e">
        <f>VLOOKUP($AC295,'oddspedia-matches'!$A:$AD,AD$2,0)</f>
        <v>#N/A</v>
      </c>
      <c r="AE295" t="e">
        <f>VLOOKUP($AC295,'oddspedia-matches'!$A:$AD,AE$2,0)</f>
        <v>#N/A</v>
      </c>
      <c r="AF295" t="e">
        <f>VLOOKUP($AC295,'oddspedia-matches'!$A:$AD,AF$2,0)</f>
        <v>#N/A</v>
      </c>
      <c r="AG295" t="e">
        <f>VLOOKUP($AC295,'oddspedia-matches'!$A:$AD,AG$2,0)</f>
        <v>#N/A</v>
      </c>
      <c r="AH295" t="e">
        <f>VLOOKUP($AC295,'oddspedia-matches'!$A:$AD,AH$2,0)</f>
        <v>#N/A</v>
      </c>
      <c r="AI295" t="e">
        <f>VLOOKUP($AC295,'oddspedia-matches'!$A:$AD,AI$2,0)</f>
        <v>#N/A</v>
      </c>
      <c r="AJ295" t="e">
        <f>VLOOKUP($AC295,'oddspedia-matches'!$A:$AD,AJ$2,0)</f>
        <v>#N/A</v>
      </c>
      <c r="AK295" t="e">
        <f>VLOOKUP($AC295,'oddspedia-matches'!$A:$AD,AK$2,0)</f>
        <v>#N/A</v>
      </c>
      <c r="AL295" t="e">
        <f>VLOOKUP($AC295,'oddspedia-matches'!$A:$AD,AL$2,0)</f>
        <v>#N/A</v>
      </c>
      <c r="AM295" t="e">
        <f>VLOOKUP($AC295,'oddspedia-matches'!$A:$AD,AM$2,0)</f>
        <v>#N/A</v>
      </c>
      <c r="AN295" t="e">
        <f>VLOOKUP($AC295,'oddspedia-matches'!$A:$AD,AN$2,0)</f>
        <v>#N/A</v>
      </c>
      <c r="AO295" t="e">
        <f>VLOOKUP($AC295,'oddspedia-matches'!$A:$AD,AO$2,0)</f>
        <v>#N/A</v>
      </c>
      <c r="AP295" t="e">
        <f>VLOOKUP($AC295,'oddspedia-matches'!$A:$AD,AP$2,0)</f>
        <v>#N/A</v>
      </c>
      <c r="AQ295" t="e">
        <f>VLOOKUP($AC295,'oddspedia-matches'!$A:$AD,AQ$2,0)</f>
        <v>#N/A</v>
      </c>
      <c r="AR295" t="e">
        <f>VLOOKUP($AC295,'oddspedia-matches'!$A:$AD,AR$2,0)</f>
        <v>#N/A</v>
      </c>
      <c r="AS295" t="e">
        <f>VLOOKUP($AC295,'oddspedia-matches'!$A:$AD,AS$2,0)</f>
        <v>#N/A</v>
      </c>
      <c r="AT295" t="e">
        <f>VLOOKUP($AC295,'oddspedia-matches'!$A:$AD,AT$2,0)</f>
        <v>#N/A</v>
      </c>
    </row>
    <row r="296" spans="2:46" x14ac:dyDescent="0.25">
      <c r="B296" s="9" t="s">
        <v>484</v>
      </c>
      <c r="C296" s="7" t="s">
        <v>508</v>
      </c>
      <c r="D296" s="20">
        <v>0.85416666666666663</v>
      </c>
      <c r="E296" s="7" t="s">
        <v>47</v>
      </c>
      <c r="F296" s="7" t="s">
        <v>796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s="7" t="s">
        <v>22</v>
      </c>
      <c r="Y296" s="7" t="s">
        <v>22</v>
      </c>
      <c r="Z296" s="21"/>
      <c r="AA296" t="str">
        <f>VLOOKUP(E296,'Transform table'!A:B,2,0)</f>
        <v>Carolina Core</v>
      </c>
      <c r="AB296" t="e">
        <f>VLOOKUP(F296,'Transform table'!A:B,2,0)</f>
        <v>#N/A</v>
      </c>
      <c r="AC296" t="e">
        <f t="shared" si="4"/>
        <v>#N/A</v>
      </c>
      <c r="AD296" t="e">
        <f>VLOOKUP($AC296,'oddspedia-matches'!$A:$AD,AD$2,0)</f>
        <v>#N/A</v>
      </c>
      <c r="AE296" t="e">
        <f>VLOOKUP($AC296,'oddspedia-matches'!$A:$AD,AE$2,0)</f>
        <v>#N/A</v>
      </c>
      <c r="AF296" t="e">
        <f>VLOOKUP($AC296,'oddspedia-matches'!$A:$AD,AF$2,0)</f>
        <v>#N/A</v>
      </c>
      <c r="AG296" t="e">
        <f>VLOOKUP($AC296,'oddspedia-matches'!$A:$AD,AG$2,0)</f>
        <v>#N/A</v>
      </c>
      <c r="AH296" t="e">
        <f>VLOOKUP($AC296,'oddspedia-matches'!$A:$AD,AH$2,0)</f>
        <v>#N/A</v>
      </c>
      <c r="AI296" t="e">
        <f>VLOOKUP($AC296,'oddspedia-matches'!$A:$AD,AI$2,0)</f>
        <v>#N/A</v>
      </c>
      <c r="AJ296" t="e">
        <f>VLOOKUP($AC296,'oddspedia-matches'!$A:$AD,AJ$2,0)</f>
        <v>#N/A</v>
      </c>
      <c r="AK296" t="e">
        <f>VLOOKUP($AC296,'oddspedia-matches'!$A:$AD,AK$2,0)</f>
        <v>#N/A</v>
      </c>
      <c r="AL296" t="e">
        <f>VLOOKUP($AC296,'oddspedia-matches'!$A:$AD,AL$2,0)</f>
        <v>#N/A</v>
      </c>
      <c r="AM296" t="e">
        <f>VLOOKUP($AC296,'oddspedia-matches'!$A:$AD,AM$2,0)</f>
        <v>#N/A</v>
      </c>
      <c r="AN296" t="e">
        <f>VLOOKUP($AC296,'oddspedia-matches'!$A:$AD,AN$2,0)</f>
        <v>#N/A</v>
      </c>
      <c r="AO296" t="e">
        <f>VLOOKUP($AC296,'oddspedia-matches'!$A:$AD,AO$2,0)</f>
        <v>#N/A</v>
      </c>
      <c r="AP296" t="e">
        <f>VLOOKUP($AC296,'oddspedia-matches'!$A:$AD,AP$2,0)</f>
        <v>#N/A</v>
      </c>
      <c r="AQ296" t="e">
        <f>VLOOKUP($AC296,'oddspedia-matches'!$A:$AD,AQ$2,0)</f>
        <v>#N/A</v>
      </c>
      <c r="AR296" t="e">
        <f>VLOOKUP($AC296,'oddspedia-matches'!$A:$AD,AR$2,0)</f>
        <v>#N/A</v>
      </c>
      <c r="AS296" t="e">
        <f>VLOOKUP($AC296,'oddspedia-matches'!$A:$AD,AS$2,0)</f>
        <v>#N/A</v>
      </c>
      <c r="AT296" t="e">
        <f>VLOOKUP($AC296,'oddspedia-matches'!$A:$AD,AT$2,0)</f>
        <v>#N/A</v>
      </c>
    </row>
    <row r="297" spans="2:46" x14ac:dyDescent="0.25">
      <c r="B297" s="17" t="s">
        <v>503</v>
      </c>
      <c r="C297" s="8" t="s">
        <v>508</v>
      </c>
      <c r="D297" s="18">
        <v>0.875</v>
      </c>
      <c r="E297" s="8" t="s">
        <v>797</v>
      </c>
      <c r="F297" s="8" t="s">
        <v>798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s="8">
        <v>42.9</v>
      </c>
      <c r="Y297" s="8">
        <v>28.6</v>
      </c>
      <c r="Z297" s="19"/>
      <c r="AA297" t="str">
        <f>VLOOKUP(E297,'Transform table'!A:B,2,0)</f>
        <v>Universidad Central de Venezuela</v>
      </c>
      <c r="AB297" t="e">
        <f>VLOOKUP(F297,'Transform table'!A:B,2,0)</f>
        <v>#N/A</v>
      </c>
      <c r="AC297" t="e">
        <f t="shared" si="4"/>
        <v>#N/A</v>
      </c>
      <c r="AD297" t="e">
        <f>VLOOKUP($AC297,'oddspedia-matches'!$A:$AD,AD$2,0)</f>
        <v>#N/A</v>
      </c>
      <c r="AE297" t="e">
        <f>VLOOKUP($AC297,'oddspedia-matches'!$A:$AD,AE$2,0)</f>
        <v>#N/A</v>
      </c>
      <c r="AF297" t="e">
        <f>VLOOKUP($AC297,'oddspedia-matches'!$A:$AD,AF$2,0)</f>
        <v>#N/A</v>
      </c>
      <c r="AG297" t="e">
        <f>VLOOKUP($AC297,'oddspedia-matches'!$A:$AD,AG$2,0)</f>
        <v>#N/A</v>
      </c>
      <c r="AH297" t="e">
        <f>VLOOKUP($AC297,'oddspedia-matches'!$A:$AD,AH$2,0)</f>
        <v>#N/A</v>
      </c>
      <c r="AI297" t="e">
        <f>VLOOKUP($AC297,'oddspedia-matches'!$A:$AD,AI$2,0)</f>
        <v>#N/A</v>
      </c>
      <c r="AJ297" t="e">
        <f>VLOOKUP($AC297,'oddspedia-matches'!$A:$AD,AJ$2,0)</f>
        <v>#N/A</v>
      </c>
      <c r="AK297" t="e">
        <f>VLOOKUP($AC297,'oddspedia-matches'!$A:$AD,AK$2,0)</f>
        <v>#N/A</v>
      </c>
      <c r="AL297" t="e">
        <f>VLOOKUP($AC297,'oddspedia-matches'!$A:$AD,AL$2,0)</f>
        <v>#N/A</v>
      </c>
      <c r="AM297" t="e">
        <f>VLOOKUP($AC297,'oddspedia-matches'!$A:$AD,AM$2,0)</f>
        <v>#N/A</v>
      </c>
      <c r="AN297" t="e">
        <f>VLOOKUP($AC297,'oddspedia-matches'!$A:$AD,AN$2,0)</f>
        <v>#N/A</v>
      </c>
      <c r="AO297" t="e">
        <f>VLOOKUP($AC297,'oddspedia-matches'!$A:$AD,AO$2,0)</f>
        <v>#N/A</v>
      </c>
      <c r="AP297" t="e">
        <f>VLOOKUP($AC297,'oddspedia-matches'!$A:$AD,AP$2,0)</f>
        <v>#N/A</v>
      </c>
      <c r="AQ297" t="e">
        <f>VLOOKUP($AC297,'oddspedia-matches'!$A:$AD,AQ$2,0)</f>
        <v>#N/A</v>
      </c>
      <c r="AR297" t="e">
        <f>VLOOKUP($AC297,'oddspedia-matches'!$A:$AD,AR$2,0)</f>
        <v>#N/A</v>
      </c>
      <c r="AS297" t="e">
        <f>VLOOKUP($AC297,'oddspedia-matches'!$A:$AD,AS$2,0)</f>
        <v>#N/A</v>
      </c>
      <c r="AT297" t="e">
        <f>VLOOKUP($AC297,'oddspedia-matches'!$A:$AD,AT$2,0)</f>
        <v>#N/A</v>
      </c>
    </row>
    <row r="298" spans="2:46" x14ac:dyDescent="0.25">
      <c r="B298" s="9" t="s">
        <v>501</v>
      </c>
      <c r="C298" s="7" t="s">
        <v>508</v>
      </c>
      <c r="D298" s="20">
        <v>0.875</v>
      </c>
      <c r="E298" s="7" t="s">
        <v>430</v>
      </c>
      <c r="F298" s="7" t="s">
        <v>799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s="7">
        <v>25</v>
      </c>
      <c r="Y298" s="7">
        <v>0</v>
      </c>
      <c r="Z298" s="21"/>
      <c r="AA298" t="str">
        <f>VLOOKUP(E298,'Transform table'!A:B,2,0)</f>
        <v>Real Cartagena</v>
      </c>
      <c r="AB298" t="e">
        <f>VLOOKUP(F298,'Transform table'!A:B,2,0)</f>
        <v>#N/A</v>
      </c>
      <c r="AC298" t="e">
        <f t="shared" si="4"/>
        <v>#N/A</v>
      </c>
      <c r="AD298" t="e">
        <f>VLOOKUP($AC298,'oddspedia-matches'!$A:$AD,AD$2,0)</f>
        <v>#N/A</v>
      </c>
      <c r="AE298" t="e">
        <f>VLOOKUP($AC298,'oddspedia-matches'!$A:$AD,AE$2,0)</f>
        <v>#N/A</v>
      </c>
      <c r="AF298" t="e">
        <f>VLOOKUP($AC298,'oddspedia-matches'!$A:$AD,AF$2,0)</f>
        <v>#N/A</v>
      </c>
      <c r="AG298" t="e">
        <f>VLOOKUP($AC298,'oddspedia-matches'!$A:$AD,AG$2,0)</f>
        <v>#N/A</v>
      </c>
      <c r="AH298" t="e">
        <f>VLOOKUP($AC298,'oddspedia-matches'!$A:$AD,AH$2,0)</f>
        <v>#N/A</v>
      </c>
      <c r="AI298" t="e">
        <f>VLOOKUP($AC298,'oddspedia-matches'!$A:$AD,AI$2,0)</f>
        <v>#N/A</v>
      </c>
      <c r="AJ298" t="e">
        <f>VLOOKUP($AC298,'oddspedia-matches'!$A:$AD,AJ$2,0)</f>
        <v>#N/A</v>
      </c>
      <c r="AK298" t="e">
        <f>VLOOKUP($AC298,'oddspedia-matches'!$A:$AD,AK$2,0)</f>
        <v>#N/A</v>
      </c>
      <c r="AL298" t="e">
        <f>VLOOKUP($AC298,'oddspedia-matches'!$A:$AD,AL$2,0)</f>
        <v>#N/A</v>
      </c>
      <c r="AM298" t="e">
        <f>VLOOKUP($AC298,'oddspedia-matches'!$A:$AD,AM$2,0)</f>
        <v>#N/A</v>
      </c>
      <c r="AN298" t="e">
        <f>VLOOKUP($AC298,'oddspedia-matches'!$A:$AD,AN$2,0)</f>
        <v>#N/A</v>
      </c>
      <c r="AO298" t="e">
        <f>VLOOKUP($AC298,'oddspedia-matches'!$A:$AD,AO$2,0)</f>
        <v>#N/A</v>
      </c>
      <c r="AP298" t="e">
        <f>VLOOKUP($AC298,'oddspedia-matches'!$A:$AD,AP$2,0)</f>
        <v>#N/A</v>
      </c>
      <c r="AQ298" t="e">
        <f>VLOOKUP($AC298,'oddspedia-matches'!$A:$AD,AQ$2,0)</f>
        <v>#N/A</v>
      </c>
      <c r="AR298" t="e">
        <f>VLOOKUP($AC298,'oddspedia-matches'!$A:$AD,AR$2,0)</f>
        <v>#N/A</v>
      </c>
      <c r="AS298" t="e">
        <f>VLOOKUP($AC298,'oddspedia-matches'!$A:$AD,AS$2,0)</f>
        <v>#N/A</v>
      </c>
      <c r="AT298" t="e">
        <f>VLOOKUP($AC298,'oddspedia-matches'!$A:$AD,AT$2,0)</f>
        <v>#N/A</v>
      </c>
    </row>
    <row r="299" spans="2:46" x14ac:dyDescent="0.25">
      <c r="B299" s="17" t="s">
        <v>470</v>
      </c>
      <c r="C299" s="8" t="s">
        <v>508</v>
      </c>
      <c r="D299" s="18">
        <v>0.875</v>
      </c>
      <c r="E299" s="8" t="s">
        <v>40</v>
      </c>
      <c r="F299" s="8" t="s">
        <v>63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s="8">
        <v>20</v>
      </c>
      <c r="Y299" s="8">
        <v>0</v>
      </c>
      <c r="Z299" s="19"/>
      <c r="AA299" t="str">
        <f>VLOOKUP(E299,'Transform table'!A:B,2,0)</f>
        <v>Tecnico Universitario</v>
      </c>
      <c r="AB299" t="str">
        <f>VLOOKUP(F299,'Transform table'!A:B,2,0)</f>
        <v>Manta FC</v>
      </c>
      <c r="AC299" t="str">
        <f t="shared" si="4"/>
        <v>25/07/2026Tecnico UniversitarioManta FC</v>
      </c>
      <c r="AD299" t="e">
        <f>VLOOKUP($AC299,'oddspedia-matches'!$A:$AD,AD$2,0)</f>
        <v>#N/A</v>
      </c>
      <c r="AE299" t="e">
        <f>VLOOKUP($AC299,'oddspedia-matches'!$A:$AD,AE$2,0)</f>
        <v>#N/A</v>
      </c>
      <c r="AF299" t="e">
        <f>VLOOKUP($AC299,'oddspedia-matches'!$A:$AD,AF$2,0)</f>
        <v>#N/A</v>
      </c>
      <c r="AG299" t="e">
        <f>VLOOKUP($AC299,'oddspedia-matches'!$A:$AD,AG$2,0)</f>
        <v>#N/A</v>
      </c>
      <c r="AH299" t="e">
        <f>VLOOKUP($AC299,'oddspedia-matches'!$A:$AD,AH$2,0)</f>
        <v>#N/A</v>
      </c>
      <c r="AI299" t="e">
        <f>VLOOKUP($AC299,'oddspedia-matches'!$A:$AD,AI$2,0)</f>
        <v>#N/A</v>
      </c>
      <c r="AJ299" t="e">
        <f>VLOOKUP($AC299,'oddspedia-matches'!$A:$AD,AJ$2,0)</f>
        <v>#N/A</v>
      </c>
      <c r="AK299" t="e">
        <f>VLOOKUP($AC299,'oddspedia-matches'!$A:$AD,AK$2,0)</f>
        <v>#N/A</v>
      </c>
      <c r="AL299" t="e">
        <f>VLOOKUP($AC299,'oddspedia-matches'!$A:$AD,AL$2,0)</f>
        <v>#N/A</v>
      </c>
      <c r="AM299" t="e">
        <f>VLOOKUP($AC299,'oddspedia-matches'!$A:$AD,AM$2,0)</f>
        <v>#N/A</v>
      </c>
      <c r="AN299" t="e">
        <f>VLOOKUP($AC299,'oddspedia-matches'!$A:$AD,AN$2,0)</f>
        <v>#N/A</v>
      </c>
      <c r="AO299" t="e">
        <f>VLOOKUP($AC299,'oddspedia-matches'!$A:$AD,AO$2,0)</f>
        <v>#N/A</v>
      </c>
      <c r="AP299" t="e">
        <f>VLOOKUP($AC299,'oddspedia-matches'!$A:$AD,AP$2,0)</f>
        <v>#N/A</v>
      </c>
      <c r="AQ299" t="e">
        <f>VLOOKUP($AC299,'oddspedia-matches'!$A:$AD,AQ$2,0)</f>
        <v>#N/A</v>
      </c>
      <c r="AR299" t="e">
        <f>VLOOKUP($AC299,'oddspedia-matches'!$A:$AD,AR$2,0)</f>
        <v>#N/A</v>
      </c>
      <c r="AS299" t="e">
        <f>VLOOKUP($AC299,'oddspedia-matches'!$A:$AD,AS$2,0)</f>
        <v>#N/A</v>
      </c>
      <c r="AT299" t="e">
        <f>VLOOKUP($AC299,'oddspedia-matches'!$A:$AD,AT$2,0)</f>
        <v>#N/A</v>
      </c>
    </row>
    <row r="300" spans="2:46" x14ac:dyDescent="0.25">
      <c r="B300" s="9" t="s">
        <v>488</v>
      </c>
      <c r="C300" s="7" t="s">
        <v>508</v>
      </c>
      <c r="D300" s="20">
        <v>0.89583333333333337</v>
      </c>
      <c r="E300" s="7" t="s">
        <v>800</v>
      </c>
      <c r="F300" s="7" t="s">
        <v>801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s="7">
        <v>0</v>
      </c>
      <c r="Y300" s="7">
        <v>0</v>
      </c>
      <c r="Z300" s="21"/>
      <c r="AA300" t="str">
        <f>VLOOKUP(E300,'Transform table'!A:B,2,0)</f>
        <v>Lanus</v>
      </c>
      <c r="AB300" t="e">
        <f>VLOOKUP(F300,'Transform table'!A:B,2,0)</f>
        <v>#N/A</v>
      </c>
      <c r="AC300" t="e">
        <f t="shared" si="4"/>
        <v>#N/A</v>
      </c>
      <c r="AD300" t="e">
        <f>VLOOKUP($AC300,'oddspedia-matches'!$A:$AD,AD$2,0)</f>
        <v>#N/A</v>
      </c>
      <c r="AE300" t="e">
        <f>VLOOKUP($AC300,'oddspedia-matches'!$A:$AD,AE$2,0)</f>
        <v>#N/A</v>
      </c>
      <c r="AF300" t="e">
        <f>VLOOKUP($AC300,'oddspedia-matches'!$A:$AD,AF$2,0)</f>
        <v>#N/A</v>
      </c>
      <c r="AG300" t="e">
        <f>VLOOKUP($AC300,'oddspedia-matches'!$A:$AD,AG$2,0)</f>
        <v>#N/A</v>
      </c>
      <c r="AH300" t="e">
        <f>VLOOKUP($AC300,'oddspedia-matches'!$A:$AD,AH$2,0)</f>
        <v>#N/A</v>
      </c>
      <c r="AI300" t="e">
        <f>VLOOKUP($AC300,'oddspedia-matches'!$A:$AD,AI$2,0)</f>
        <v>#N/A</v>
      </c>
      <c r="AJ300" t="e">
        <f>VLOOKUP($AC300,'oddspedia-matches'!$A:$AD,AJ$2,0)</f>
        <v>#N/A</v>
      </c>
      <c r="AK300" t="e">
        <f>VLOOKUP($AC300,'oddspedia-matches'!$A:$AD,AK$2,0)</f>
        <v>#N/A</v>
      </c>
      <c r="AL300" t="e">
        <f>VLOOKUP($AC300,'oddspedia-matches'!$A:$AD,AL$2,0)</f>
        <v>#N/A</v>
      </c>
      <c r="AM300" t="e">
        <f>VLOOKUP($AC300,'oddspedia-matches'!$A:$AD,AM$2,0)</f>
        <v>#N/A</v>
      </c>
      <c r="AN300" t="e">
        <f>VLOOKUP($AC300,'oddspedia-matches'!$A:$AD,AN$2,0)</f>
        <v>#N/A</v>
      </c>
      <c r="AO300" t="e">
        <f>VLOOKUP($AC300,'oddspedia-matches'!$A:$AD,AO$2,0)</f>
        <v>#N/A</v>
      </c>
      <c r="AP300" t="e">
        <f>VLOOKUP($AC300,'oddspedia-matches'!$A:$AD,AP$2,0)</f>
        <v>#N/A</v>
      </c>
      <c r="AQ300" t="e">
        <f>VLOOKUP($AC300,'oddspedia-matches'!$A:$AD,AQ$2,0)</f>
        <v>#N/A</v>
      </c>
      <c r="AR300" t="e">
        <f>VLOOKUP($AC300,'oddspedia-matches'!$A:$AD,AR$2,0)</f>
        <v>#N/A</v>
      </c>
      <c r="AS300" t="e">
        <f>VLOOKUP($AC300,'oddspedia-matches'!$A:$AD,AS$2,0)</f>
        <v>#N/A</v>
      </c>
      <c r="AT300" t="e">
        <f>VLOOKUP($AC300,'oddspedia-matches'!$A:$AD,AT$2,0)</f>
        <v>#N/A</v>
      </c>
    </row>
    <row r="301" spans="2:46" x14ac:dyDescent="0.25">
      <c r="B301" s="17" t="s">
        <v>486</v>
      </c>
      <c r="C301" s="8" t="s">
        <v>508</v>
      </c>
      <c r="D301" s="18">
        <v>0.89583333333333337</v>
      </c>
      <c r="E301" s="8" t="s">
        <v>77</v>
      </c>
      <c r="F301" s="8" t="s">
        <v>75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s="8">
        <v>0</v>
      </c>
      <c r="Y301" s="8">
        <v>37.5</v>
      </c>
      <c r="Z301" s="19"/>
      <c r="AA301" t="str">
        <f>VLOOKUP(E301,'Transform table'!A:B,2,0)</f>
        <v>Houston Dynamo</v>
      </c>
      <c r="AB301" t="str">
        <f>VLOOKUP(F301,'Transform table'!A:B,2,0)</f>
        <v>Austin FC</v>
      </c>
      <c r="AC301" t="str">
        <f t="shared" si="4"/>
        <v>25/07/2026Houston DynamoAustin FC</v>
      </c>
      <c r="AD301" t="e">
        <f>VLOOKUP($AC301,'oddspedia-matches'!$A:$AD,AD$2,0)</f>
        <v>#N/A</v>
      </c>
      <c r="AE301" t="e">
        <f>VLOOKUP($AC301,'oddspedia-matches'!$A:$AD,AE$2,0)</f>
        <v>#N/A</v>
      </c>
      <c r="AF301" t="e">
        <f>VLOOKUP($AC301,'oddspedia-matches'!$A:$AD,AF$2,0)</f>
        <v>#N/A</v>
      </c>
      <c r="AG301" t="e">
        <f>VLOOKUP($AC301,'oddspedia-matches'!$A:$AD,AG$2,0)</f>
        <v>#N/A</v>
      </c>
      <c r="AH301" t="e">
        <f>VLOOKUP($AC301,'oddspedia-matches'!$A:$AD,AH$2,0)</f>
        <v>#N/A</v>
      </c>
      <c r="AI301" t="e">
        <f>VLOOKUP($AC301,'oddspedia-matches'!$A:$AD,AI$2,0)</f>
        <v>#N/A</v>
      </c>
      <c r="AJ301" t="e">
        <f>VLOOKUP($AC301,'oddspedia-matches'!$A:$AD,AJ$2,0)</f>
        <v>#N/A</v>
      </c>
      <c r="AK301" t="e">
        <f>VLOOKUP($AC301,'oddspedia-matches'!$A:$AD,AK$2,0)</f>
        <v>#N/A</v>
      </c>
      <c r="AL301" t="e">
        <f>VLOOKUP($AC301,'oddspedia-matches'!$A:$AD,AL$2,0)</f>
        <v>#N/A</v>
      </c>
      <c r="AM301" t="e">
        <f>VLOOKUP($AC301,'oddspedia-matches'!$A:$AD,AM$2,0)</f>
        <v>#N/A</v>
      </c>
      <c r="AN301" t="e">
        <f>VLOOKUP($AC301,'oddspedia-matches'!$A:$AD,AN$2,0)</f>
        <v>#N/A</v>
      </c>
      <c r="AO301" t="e">
        <f>VLOOKUP($AC301,'oddspedia-matches'!$A:$AD,AO$2,0)</f>
        <v>#N/A</v>
      </c>
      <c r="AP301" t="e">
        <f>VLOOKUP($AC301,'oddspedia-matches'!$A:$AD,AP$2,0)</f>
        <v>#N/A</v>
      </c>
      <c r="AQ301" t="e">
        <f>VLOOKUP($AC301,'oddspedia-matches'!$A:$AD,AQ$2,0)</f>
        <v>#N/A</v>
      </c>
      <c r="AR301" t="e">
        <f>VLOOKUP($AC301,'oddspedia-matches'!$A:$AD,AR$2,0)</f>
        <v>#N/A</v>
      </c>
      <c r="AS301" t="e">
        <f>VLOOKUP($AC301,'oddspedia-matches'!$A:$AD,AS$2,0)</f>
        <v>#N/A</v>
      </c>
      <c r="AT301" t="e">
        <f>VLOOKUP($AC301,'oddspedia-matches'!$A:$AD,AT$2,0)</f>
        <v>#N/A</v>
      </c>
    </row>
    <row r="302" spans="2:46" x14ac:dyDescent="0.25">
      <c r="B302" s="9" t="s">
        <v>486</v>
      </c>
      <c r="C302" s="7" t="s">
        <v>508</v>
      </c>
      <c r="D302" s="20">
        <v>0.89583333333333337</v>
      </c>
      <c r="E302" s="7" t="s">
        <v>82</v>
      </c>
      <c r="F302" s="7" t="s">
        <v>56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s="7">
        <v>14.3</v>
      </c>
      <c r="Y302" s="7">
        <v>33.299999999999997</v>
      </c>
      <c r="Z302" s="21"/>
      <c r="AA302" t="str">
        <f>VLOOKUP(E302,'Transform table'!A:B,2,0)</f>
        <v>Minnesota United</v>
      </c>
      <c r="AB302" t="str">
        <f>VLOOKUP(F302,'Transform table'!A:B,2,0)</f>
        <v>Vancouver Whitecaps</v>
      </c>
      <c r="AC302" t="str">
        <f t="shared" si="4"/>
        <v>25/07/2026Minnesota UnitedVancouver Whitecaps</v>
      </c>
      <c r="AD302" t="e">
        <f>VLOOKUP($AC302,'oddspedia-matches'!$A:$AD,AD$2,0)</f>
        <v>#N/A</v>
      </c>
      <c r="AE302" t="e">
        <f>VLOOKUP($AC302,'oddspedia-matches'!$A:$AD,AE$2,0)</f>
        <v>#N/A</v>
      </c>
      <c r="AF302" t="e">
        <f>VLOOKUP($AC302,'oddspedia-matches'!$A:$AD,AF$2,0)</f>
        <v>#N/A</v>
      </c>
      <c r="AG302" t="e">
        <f>VLOOKUP($AC302,'oddspedia-matches'!$A:$AD,AG$2,0)</f>
        <v>#N/A</v>
      </c>
      <c r="AH302" t="e">
        <f>VLOOKUP($AC302,'oddspedia-matches'!$A:$AD,AH$2,0)</f>
        <v>#N/A</v>
      </c>
      <c r="AI302" t="e">
        <f>VLOOKUP($AC302,'oddspedia-matches'!$A:$AD,AI$2,0)</f>
        <v>#N/A</v>
      </c>
      <c r="AJ302" t="e">
        <f>VLOOKUP($AC302,'oddspedia-matches'!$A:$AD,AJ$2,0)</f>
        <v>#N/A</v>
      </c>
      <c r="AK302" t="e">
        <f>VLOOKUP($AC302,'oddspedia-matches'!$A:$AD,AK$2,0)</f>
        <v>#N/A</v>
      </c>
      <c r="AL302" t="e">
        <f>VLOOKUP($AC302,'oddspedia-matches'!$A:$AD,AL$2,0)</f>
        <v>#N/A</v>
      </c>
      <c r="AM302" t="e">
        <f>VLOOKUP($AC302,'oddspedia-matches'!$A:$AD,AM$2,0)</f>
        <v>#N/A</v>
      </c>
      <c r="AN302" t="e">
        <f>VLOOKUP($AC302,'oddspedia-matches'!$A:$AD,AN$2,0)</f>
        <v>#N/A</v>
      </c>
      <c r="AO302" t="e">
        <f>VLOOKUP($AC302,'oddspedia-matches'!$A:$AD,AO$2,0)</f>
        <v>#N/A</v>
      </c>
      <c r="AP302" t="e">
        <f>VLOOKUP($AC302,'oddspedia-matches'!$A:$AD,AP$2,0)</f>
        <v>#N/A</v>
      </c>
      <c r="AQ302" t="e">
        <f>VLOOKUP($AC302,'oddspedia-matches'!$A:$AD,AQ$2,0)</f>
        <v>#N/A</v>
      </c>
      <c r="AR302" t="e">
        <f>VLOOKUP($AC302,'oddspedia-matches'!$A:$AD,AR$2,0)</f>
        <v>#N/A</v>
      </c>
      <c r="AS302" t="e">
        <f>VLOOKUP($AC302,'oddspedia-matches'!$A:$AD,AS$2,0)</f>
        <v>#N/A</v>
      </c>
      <c r="AT302" t="e">
        <f>VLOOKUP($AC302,'oddspedia-matches'!$A:$AD,AT$2,0)</f>
        <v>#N/A</v>
      </c>
    </row>
    <row r="303" spans="2:46" x14ac:dyDescent="0.25">
      <c r="B303" s="17" t="s">
        <v>486</v>
      </c>
      <c r="C303" s="8" t="s">
        <v>508</v>
      </c>
      <c r="D303" s="18">
        <v>0.89583333333333337</v>
      </c>
      <c r="E303" s="8" t="s">
        <v>90</v>
      </c>
      <c r="F303" s="8" t="s">
        <v>87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s="8">
        <v>28.6</v>
      </c>
      <c r="Y303" s="8">
        <v>22.2</v>
      </c>
      <c r="Z303" s="19"/>
      <c r="AA303" t="str">
        <f>VLOOKUP(E303,'Transform table'!A:B,2,0)</f>
        <v>Saint Louis City</v>
      </c>
      <c r="AB303" t="str">
        <f>VLOOKUP(F303,'Transform table'!A:B,2,0)</f>
        <v>Colorado Rapids</v>
      </c>
      <c r="AC303" t="str">
        <f t="shared" si="4"/>
        <v>25/07/2026Saint Louis CityColorado Rapids</v>
      </c>
      <c r="AD303" t="e">
        <f>VLOOKUP($AC303,'oddspedia-matches'!$A:$AD,AD$2,0)</f>
        <v>#N/A</v>
      </c>
      <c r="AE303" t="e">
        <f>VLOOKUP($AC303,'oddspedia-matches'!$A:$AD,AE$2,0)</f>
        <v>#N/A</v>
      </c>
      <c r="AF303" t="e">
        <f>VLOOKUP($AC303,'oddspedia-matches'!$A:$AD,AF$2,0)</f>
        <v>#N/A</v>
      </c>
      <c r="AG303" t="e">
        <f>VLOOKUP($AC303,'oddspedia-matches'!$A:$AD,AG$2,0)</f>
        <v>#N/A</v>
      </c>
      <c r="AH303" t="e">
        <f>VLOOKUP($AC303,'oddspedia-matches'!$A:$AD,AH$2,0)</f>
        <v>#N/A</v>
      </c>
      <c r="AI303" t="e">
        <f>VLOOKUP($AC303,'oddspedia-matches'!$A:$AD,AI$2,0)</f>
        <v>#N/A</v>
      </c>
      <c r="AJ303" t="e">
        <f>VLOOKUP($AC303,'oddspedia-matches'!$A:$AD,AJ$2,0)</f>
        <v>#N/A</v>
      </c>
      <c r="AK303" t="e">
        <f>VLOOKUP($AC303,'oddspedia-matches'!$A:$AD,AK$2,0)</f>
        <v>#N/A</v>
      </c>
      <c r="AL303" t="e">
        <f>VLOOKUP($AC303,'oddspedia-matches'!$A:$AD,AL$2,0)</f>
        <v>#N/A</v>
      </c>
      <c r="AM303" t="e">
        <f>VLOOKUP($AC303,'oddspedia-matches'!$A:$AD,AM$2,0)</f>
        <v>#N/A</v>
      </c>
      <c r="AN303" t="e">
        <f>VLOOKUP($AC303,'oddspedia-matches'!$A:$AD,AN$2,0)</f>
        <v>#N/A</v>
      </c>
      <c r="AO303" t="e">
        <f>VLOOKUP($AC303,'oddspedia-matches'!$A:$AD,AO$2,0)</f>
        <v>#N/A</v>
      </c>
      <c r="AP303" t="e">
        <f>VLOOKUP($AC303,'oddspedia-matches'!$A:$AD,AP$2,0)</f>
        <v>#N/A</v>
      </c>
      <c r="AQ303" t="e">
        <f>VLOOKUP($AC303,'oddspedia-matches'!$A:$AD,AQ$2,0)</f>
        <v>#N/A</v>
      </c>
      <c r="AR303" t="e">
        <f>VLOOKUP($AC303,'oddspedia-matches'!$A:$AD,AR$2,0)</f>
        <v>#N/A</v>
      </c>
      <c r="AS303" t="e">
        <f>VLOOKUP($AC303,'oddspedia-matches'!$A:$AD,AS$2,0)</f>
        <v>#N/A</v>
      </c>
      <c r="AT303" t="e">
        <f>VLOOKUP($AC303,'oddspedia-matches'!$A:$AD,AT$2,0)</f>
        <v>#N/A</v>
      </c>
    </row>
    <row r="304" spans="2:46" x14ac:dyDescent="0.25">
      <c r="B304" s="9" t="s">
        <v>485</v>
      </c>
      <c r="C304" s="7" t="s">
        <v>508</v>
      </c>
      <c r="D304" s="20">
        <v>0.89583333333333337</v>
      </c>
      <c r="E304" s="7" t="s">
        <v>802</v>
      </c>
      <c r="F304" s="7" t="s">
        <v>49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s="7">
        <v>0</v>
      </c>
      <c r="Y304" s="7">
        <v>42.9</v>
      </c>
      <c r="Z304" s="21"/>
      <c r="AA304">
        <f>VLOOKUP(E304,'Transform table'!A:B,2,0)</f>
        <v>0</v>
      </c>
      <c r="AB304" t="str">
        <f>VLOOKUP(F304,'Transform table'!A:B,2,0)</f>
        <v>Lexington SC</v>
      </c>
      <c r="AC304" t="str">
        <f t="shared" si="4"/>
        <v>25/07/20260Lexington SC</v>
      </c>
      <c r="AD304" t="e">
        <f>VLOOKUP($AC304,'oddspedia-matches'!$A:$AD,AD$2,0)</f>
        <v>#N/A</v>
      </c>
      <c r="AE304" t="e">
        <f>VLOOKUP($AC304,'oddspedia-matches'!$A:$AD,AE$2,0)</f>
        <v>#N/A</v>
      </c>
      <c r="AF304" t="e">
        <f>VLOOKUP($AC304,'oddspedia-matches'!$A:$AD,AF$2,0)</f>
        <v>#N/A</v>
      </c>
      <c r="AG304" t="e">
        <f>VLOOKUP($AC304,'oddspedia-matches'!$A:$AD,AG$2,0)</f>
        <v>#N/A</v>
      </c>
      <c r="AH304" t="e">
        <f>VLOOKUP($AC304,'oddspedia-matches'!$A:$AD,AH$2,0)</f>
        <v>#N/A</v>
      </c>
      <c r="AI304" t="e">
        <f>VLOOKUP($AC304,'oddspedia-matches'!$A:$AD,AI$2,0)</f>
        <v>#N/A</v>
      </c>
      <c r="AJ304" t="e">
        <f>VLOOKUP($AC304,'oddspedia-matches'!$A:$AD,AJ$2,0)</f>
        <v>#N/A</v>
      </c>
      <c r="AK304" t="e">
        <f>VLOOKUP($AC304,'oddspedia-matches'!$A:$AD,AK$2,0)</f>
        <v>#N/A</v>
      </c>
      <c r="AL304" t="e">
        <f>VLOOKUP($AC304,'oddspedia-matches'!$A:$AD,AL$2,0)</f>
        <v>#N/A</v>
      </c>
      <c r="AM304" t="e">
        <f>VLOOKUP($AC304,'oddspedia-matches'!$A:$AD,AM$2,0)</f>
        <v>#N/A</v>
      </c>
      <c r="AN304" t="e">
        <f>VLOOKUP($AC304,'oddspedia-matches'!$A:$AD,AN$2,0)</f>
        <v>#N/A</v>
      </c>
      <c r="AO304" t="e">
        <f>VLOOKUP($AC304,'oddspedia-matches'!$A:$AD,AO$2,0)</f>
        <v>#N/A</v>
      </c>
      <c r="AP304" t="e">
        <f>VLOOKUP($AC304,'oddspedia-matches'!$A:$AD,AP$2,0)</f>
        <v>#N/A</v>
      </c>
      <c r="AQ304" t="e">
        <f>VLOOKUP($AC304,'oddspedia-matches'!$A:$AD,AQ$2,0)</f>
        <v>#N/A</v>
      </c>
      <c r="AR304" t="e">
        <f>VLOOKUP($AC304,'oddspedia-matches'!$A:$AD,AR$2,0)</f>
        <v>#N/A</v>
      </c>
      <c r="AS304" t="e">
        <f>VLOOKUP($AC304,'oddspedia-matches'!$A:$AD,AS$2,0)</f>
        <v>#N/A</v>
      </c>
      <c r="AT304" t="e">
        <f>VLOOKUP($AC304,'oddspedia-matches'!$A:$AD,AT$2,0)</f>
        <v>#N/A</v>
      </c>
    </row>
    <row r="305" spans="2:46" x14ac:dyDescent="0.25">
      <c r="B305" s="17" t="s">
        <v>484</v>
      </c>
      <c r="C305" s="8" t="s">
        <v>508</v>
      </c>
      <c r="D305" s="18">
        <v>0.90625</v>
      </c>
      <c r="E305" s="8" t="s">
        <v>803</v>
      </c>
      <c r="F305" s="8" t="s">
        <v>804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s="8">
        <v>33.299999999999997</v>
      </c>
      <c r="Y305" s="8">
        <v>37.5</v>
      </c>
      <c r="Z305" s="19"/>
      <c r="AA305" t="str">
        <f>VLOOKUP(E305,'Transform table'!A:B,2,0)</f>
        <v>Northampton</v>
      </c>
      <c r="AB305" t="str">
        <f>VLOOKUP(F305,'Transform table'!A:B,2,0)</f>
        <v>Seattle Sounders FC</v>
      </c>
      <c r="AC305" t="str">
        <f t="shared" si="4"/>
        <v>25/07/2026NorthamptonSeattle Sounders FC</v>
      </c>
      <c r="AD305" t="e">
        <f>VLOOKUP($AC305,'oddspedia-matches'!$A:$AD,AD$2,0)</f>
        <v>#N/A</v>
      </c>
      <c r="AE305" t="e">
        <f>VLOOKUP($AC305,'oddspedia-matches'!$A:$AD,AE$2,0)</f>
        <v>#N/A</v>
      </c>
      <c r="AF305" t="e">
        <f>VLOOKUP($AC305,'oddspedia-matches'!$A:$AD,AF$2,0)</f>
        <v>#N/A</v>
      </c>
      <c r="AG305" t="e">
        <f>VLOOKUP($AC305,'oddspedia-matches'!$A:$AD,AG$2,0)</f>
        <v>#N/A</v>
      </c>
      <c r="AH305" t="e">
        <f>VLOOKUP($AC305,'oddspedia-matches'!$A:$AD,AH$2,0)</f>
        <v>#N/A</v>
      </c>
      <c r="AI305" t="e">
        <f>VLOOKUP($AC305,'oddspedia-matches'!$A:$AD,AI$2,0)</f>
        <v>#N/A</v>
      </c>
      <c r="AJ305" t="e">
        <f>VLOOKUP($AC305,'oddspedia-matches'!$A:$AD,AJ$2,0)</f>
        <v>#N/A</v>
      </c>
      <c r="AK305" t="e">
        <f>VLOOKUP($AC305,'oddspedia-matches'!$A:$AD,AK$2,0)</f>
        <v>#N/A</v>
      </c>
      <c r="AL305" t="e">
        <f>VLOOKUP($AC305,'oddspedia-matches'!$A:$AD,AL$2,0)</f>
        <v>#N/A</v>
      </c>
      <c r="AM305" t="e">
        <f>VLOOKUP($AC305,'oddspedia-matches'!$A:$AD,AM$2,0)</f>
        <v>#N/A</v>
      </c>
      <c r="AN305" t="e">
        <f>VLOOKUP($AC305,'oddspedia-matches'!$A:$AD,AN$2,0)</f>
        <v>#N/A</v>
      </c>
      <c r="AO305" t="e">
        <f>VLOOKUP($AC305,'oddspedia-matches'!$A:$AD,AO$2,0)</f>
        <v>#N/A</v>
      </c>
      <c r="AP305" t="e">
        <f>VLOOKUP($AC305,'oddspedia-matches'!$A:$AD,AP$2,0)</f>
        <v>#N/A</v>
      </c>
      <c r="AQ305" t="e">
        <f>VLOOKUP($AC305,'oddspedia-matches'!$A:$AD,AQ$2,0)</f>
        <v>#N/A</v>
      </c>
      <c r="AR305" t="e">
        <f>VLOOKUP($AC305,'oddspedia-matches'!$A:$AD,AR$2,0)</f>
        <v>#N/A</v>
      </c>
      <c r="AS305" t="e">
        <f>VLOOKUP($AC305,'oddspedia-matches'!$A:$AD,AS$2,0)</f>
        <v>#N/A</v>
      </c>
      <c r="AT305" t="e">
        <f>VLOOKUP($AC305,'oddspedia-matches'!$A:$AD,AT$2,0)</f>
        <v>#N/A</v>
      </c>
    </row>
    <row r="306" spans="2:46" x14ac:dyDescent="0.25">
      <c r="B306" s="9" t="s">
        <v>485</v>
      </c>
      <c r="C306" s="7" t="s">
        <v>508</v>
      </c>
      <c r="D306" s="20">
        <v>0.91666666666666663</v>
      </c>
      <c r="E306" s="7" t="s">
        <v>83</v>
      </c>
      <c r="F306" s="7" t="s">
        <v>805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s="7" t="s">
        <v>22</v>
      </c>
      <c r="Y306" s="7" t="s">
        <v>22</v>
      </c>
      <c r="Z306" s="21"/>
      <c r="AA306" t="str">
        <f>VLOOKUP(E306,'Transform table'!A:B,2,0)</f>
        <v>Colorado Switchbacks</v>
      </c>
      <c r="AB306" t="e">
        <f>VLOOKUP(F306,'Transform table'!A:B,2,0)</f>
        <v>#N/A</v>
      </c>
      <c r="AC306" t="e">
        <f t="shared" si="4"/>
        <v>#N/A</v>
      </c>
      <c r="AD306" t="e">
        <f>VLOOKUP($AC306,'oddspedia-matches'!$A:$AD,AD$2,0)</f>
        <v>#N/A</v>
      </c>
      <c r="AE306" t="e">
        <f>VLOOKUP($AC306,'oddspedia-matches'!$A:$AD,AE$2,0)</f>
        <v>#N/A</v>
      </c>
      <c r="AF306" t="e">
        <f>VLOOKUP($AC306,'oddspedia-matches'!$A:$AD,AF$2,0)</f>
        <v>#N/A</v>
      </c>
      <c r="AG306" t="e">
        <f>VLOOKUP($AC306,'oddspedia-matches'!$A:$AD,AG$2,0)</f>
        <v>#N/A</v>
      </c>
      <c r="AH306" t="e">
        <f>VLOOKUP($AC306,'oddspedia-matches'!$A:$AD,AH$2,0)</f>
        <v>#N/A</v>
      </c>
      <c r="AI306" t="e">
        <f>VLOOKUP($AC306,'oddspedia-matches'!$A:$AD,AI$2,0)</f>
        <v>#N/A</v>
      </c>
      <c r="AJ306" t="e">
        <f>VLOOKUP($AC306,'oddspedia-matches'!$A:$AD,AJ$2,0)</f>
        <v>#N/A</v>
      </c>
      <c r="AK306" t="e">
        <f>VLOOKUP($AC306,'oddspedia-matches'!$A:$AD,AK$2,0)</f>
        <v>#N/A</v>
      </c>
      <c r="AL306" t="e">
        <f>VLOOKUP($AC306,'oddspedia-matches'!$A:$AD,AL$2,0)</f>
        <v>#N/A</v>
      </c>
      <c r="AM306" t="e">
        <f>VLOOKUP($AC306,'oddspedia-matches'!$A:$AD,AM$2,0)</f>
        <v>#N/A</v>
      </c>
      <c r="AN306" t="e">
        <f>VLOOKUP($AC306,'oddspedia-matches'!$A:$AD,AN$2,0)</f>
        <v>#N/A</v>
      </c>
      <c r="AO306" t="e">
        <f>VLOOKUP($AC306,'oddspedia-matches'!$A:$AD,AO$2,0)</f>
        <v>#N/A</v>
      </c>
      <c r="AP306" t="e">
        <f>VLOOKUP($AC306,'oddspedia-matches'!$A:$AD,AP$2,0)</f>
        <v>#N/A</v>
      </c>
      <c r="AQ306" t="e">
        <f>VLOOKUP($AC306,'oddspedia-matches'!$A:$AD,AQ$2,0)</f>
        <v>#N/A</v>
      </c>
      <c r="AR306" t="e">
        <f>VLOOKUP($AC306,'oddspedia-matches'!$A:$AD,AR$2,0)</f>
        <v>#N/A</v>
      </c>
      <c r="AS306" t="e">
        <f>VLOOKUP($AC306,'oddspedia-matches'!$A:$AD,AS$2,0)</f>
        <v>#N/A</v>
      </c>
      <c r="AT306" t="e">
        <f>VLOOKUP($AC306,'oddspedia-matches'!$A:$AD,AT$2,0)</f>
        <v>#N/A</v>
      </c>
    </row>
    <row r="307" spans="2:46" x14ac:dyDescent="0.25">
      <c r="B307" s="17" t="s">
        <v>485</v>
      </c>
      <c r="C307" s="8" t="s">
        <v>508</v>
      </c>
      <c r="D307" s="18">
        <v>0.91666666666666663</v>
      </c>
      <c r="E307" s="8" t="s">
        <v>806</v>
      </c>
      <c r="F307" s="8" t="s">
        <v>807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s="8">
        <v>50</v>
      </c>
      <c r="Y307" s="8">
        <v>25</v>
      </c>
      <c r="Z307" s="19"/>
      <c r="AA307">
        <f>VLOOKUP(E307,'Transform table'!A:B,2,0)</f>
        <v>0</v>
      </c>
      <c r="AB307" t="e">
        <f>VLOOKUP(F307,'Transform table'!A:B,2,0)</f>
        <v>#N/A</v>
      </c>
      <c r="AC307" t="e">
        <f t="shared" si="4"/>
        <v>#N/A</v>
      </c>
      <c r="AD307" t="e">
        <f>VLOOKUP($AC307,'oddspedia-matches'!$A:$AD,AD$2,0)</f>
        <v>#N/A</v>
      </c>
      <c r="AE307" t="e">
        <f>VLOOKUP($AC307,'oddspedia-matches'!$A:$AD,AE$2,0)</f>
        <v>#N/A</v>
      </c>
      <c r="AF307" t="e">
        <f>VLOOKUP($AC307,'oddspedia-matches'!$A:$AD,AF$2,0)</f>
        <v>#N/A</v>
      </c>
      <c r="AG307" t="e">
        <f>VLOOKUP($AC307,'oddspedia-matches'!$A:$AD,AG$2,0)</f>
        <v>#N/A</v>
      </c>
      <c r="AH307" t="e">
        <f>VLOOKUP($AC307,'oddspedia-matches'!$A:$AD,AH$2,0)</f>
        <v>#N/A</v>
      </c>
      <c r="AI307" t="e">
        <f>VLOOKUP($AC307,'oddspedia-matches'!$A:$AD,AI$2,0)</f>
        <v>#N/A</v>
      </c>
      <c r="AJ307" t="e">
        <f>VLOOKUP($AC307,'oddspedia-matches'!$A:$AD,AJ$2,0)</f>
        <v>#N/A</v>
      </c>
      <c r="AK307" t="e">
        <f>VLOOKUP($AC307,'oddspedia-matches'!$A:$AD,AK$2,0)</f>
        <v>#N/A</v>
      </c>
      <c r="AL307" t="e">
        <f>VLOOKUP($AC307,'oddspedia-matches'!$A:$AD,AL$2,0)</f>
        <v>#N/A</v>
      </c>
      <c r="AM307" t="e">
        <f>VLOOKUP($AC307,'oddspedia-matches'!$A:$AD,AM$2,0)</f>
        <v>#N/A</v>
      </c>
      <c r="AN307" t="e">
        <f>VLOOKUP($AC307,'oddspedia-matches'!$A:$AD,AN$2,0)</f>
        <v>#N/A</v>
      </c>
      <c r="AO307" t="e">
        <f>VLOOKUP($AC307,'oddspedia-matches'!$A:$AD,AO$2,0)</f>
        <v>#N/A</v>
      </c>
      <c r="AP307" t="e">
        <f>VLOOKUP($AC307,'oddspedia-matches'!$A:$AD,AP$2,0)</f>
        <v>#N/A</v>
      </c>
      <c r="AQ307" t="e">
        <f>VLOOKUP($AC307,'oddspedia-matches'!$A:$AD,AQ$2,0)</f>
        <v>#N/A</v>
      </c>
      <c r="AR307" t="e">
        <f>VLOOKUP($AC307,'oddspedia-matches'!$A:$AD,AR$2,0)</f>
        <v>#N/A</v>
      </c>
      <c r="AS307" t="e">
        <f>VLOOKUP($AC307,'oddspedia-matches'!$A:$AD,AS$2,0)</f>
        <v>#N/A</v>
      </c>
      <c r="AT307" t="e">
        <f>VLOOKUP($AC307,'oddspedia-matches'!$A:$AD,AT$2,0)</f>
        <v>#N/A</v>
      </c>
    </row>
    <row r="308" spans="2:46" x14ac:dyDescent="0.25">
      <c r="B308" s="9" t="s">
        <v>500</v>
      </c>
      <c r="C308" s="7" t="s">
        <v>508</v>
      </c>
      <c r="D308" s="20">
        <v>0.91666666666666663</v>
      </c>
      <c r="E308" s="7" t="s">
        <v>808</v>
      </c>
      <c r="F308" s="7" t="s">
        <v>809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s="7">
        <v>22.2</v>
      </c>
      <c r="Y308" s="7">
        <v>11.1</v>
      </c>
      <c r="Z308" s="21"/>
      <c r="AA308" t="str">
        <f>VLOOKUP(E308,'Transform table'!A:B,2,0)</f>
        <v>Cienciano</v>
      </c>
      <c r="AB308" t="e">
        <f>VLOOKUP(F308,'Transform table'!A:B,2,0)</f>
        <v>#N/A</v>
      </c>
      <c r="AC308" t="e">
        <f t="shared" si="4"/>
        <v>#N/A</v>
      </c>
      <c r="AD308" t="e">
        <f>VLOOKUP($AC308,'oddspedia-matches'!$A:$AD,AD$2,0)</f>
        <v>#N/A</v>
      </c>
      <c r="AE308" t="e">
        <f>VLOOKUP($AC308,'oddspedia-matches'!$A:$AD,AE$2,0)</f>
        <v>#N/A</v>
      </c>
      <c r="AF308" t="e">
        <f>VLOOKUP($AC308,'oddspedia-matches'!$A:$AD,AF$2,0)</f>
        <v>#N/A</v>
      </c>
      <c r="AG308" t="e">
        <f>VLOOKUP($AC308,'oddspedia-matches'!$A:$AD,AG$2,0)</f>
        <v>#N/A</v>
      </c>
      <c r="AH308" t="e">
        <f>VLOOKUP($AC308,'oddspedia-matches'!$A:$AD,AH$2,0)</f>
        <v>#N/A</v>
      </c>
      <c r="AI308" t="e">
        <f>VLOOKUP($AC308,'oddspedia-matches'!$A:$AD,AI$2,0)</f>
        <v>#N/A</v>
      </c>
      <c r="AJ308" t="e">
        <f>VLOOKUP($AC308,'oddspedia-matches'!$A:$AD,AJ$2,0)</f>
        <v>#N/A</v>
      </c>
      <c r="AK308" t="e">
        <f>VLOOKUP($AC308,'oddspedia-matches'!$A:$AD,AK$2,0)</f>
        <v>#N/A</v>
      </c>
      <c r="AL308" t="e">
        <f>VLOOKUP($AC308,'oddspedia-matches'!$A:$AD,AL$2,0)</f>
        <v>#N/A</v>
      </c>
      <c r="AM308" t="e">
        <f>VLOOKUP($AC308,'oddspedia-matches'!$A:$AD,AM$2,0)</f>
        <v>#N/A</v>
      </c>
      <c r="AN308" t="e">
        <f>VLOOKUP($AC308,'oddspedia-matches'!$A:$AD,AN$2,0)</f>
        <v>#N/A</v>
      </c>
      <c r="AO308" t="e">
        <f>VLOOKUP($AC308,'oddspedia-matches'!$A:$AD,AO$2,0)</f>
        <v>#N/A</v>
      </c>
      <c r="AP308" t="e">
        <f>VLOOKUP($AC308,'oddspedia-matches'!$A:$AD,AP$2,0)</f>
        <v>#N/A</v>
      </c>
      <c r="AQ308" t="e">
        <f>VLOOKUP($AC308,'oddspedia-matches'!$A:$AD,AQ$2,0)</f>
        <v>#N/A</v>
      </c>
      <c r="AR308" t="e">
        <f>VLOOKUP($AC308,'oddspedia-matches'!$A:$AD,AR$2,0)</f>
        <v>#N/A</v>
      </c>
      <c r="AS308" t="e">
        <f>VLOOKUP($AC308,'oddspedia-matches'!$A:$AD,AS$2,0)</f>
        <v>#N/A</v>
      </c>
      <c r="AT308" t="e">
        <f>VLOOKUP($AC308,'oddspedia-matches'!$A:$AD,AT$2,0)</f>
        <v>#N/A</v>
      </c>
    </row>
    <row r="309" spans="2:46" x14ac:dyDescent="0.25">
      <c r="B309" s="17" t="s">
        <v>505</v>
      </c>
      <c r="C309" s="8" t="s">
        <v>508</v>
      </c>
      <c r="D309" s="18">
        <v>0.92708333333333337</v>
      </c>
      <c r="E309" s="8" t="s">
        <v>421</v>
      </c>
      <c r="F309" s="8" t="s">
        <v>810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s="8">
        <v>16.7</v>
      </c>
      <c r="Y309" s="8">
        <v>33.299999999999997</v>
      </c>
      <c r="Z309" s="19"/>
      <c r="AA309" t="str">
        <f>VLOOKUP(E309,'Transform table'!A:B,2,0)</f>
        <v>Deportes Tolima</v>
      </c>
      <c r="AB309" t="e">
        <f>VLOOKUP(F309,'Transform table'!A:B,2,0)</f>
        <v>#N/A</v>
      </c>
      <c r="AC309" t="e">
        <f t="shared" si="4"/>
        <v>#N/A</v>
      </c>
      <c r="AD309" t="e">
        <f>VLOOKUP($AC309,'oddspedia-matches'!$A:$AD,AD$2,0)</f>
        <v>#N/A</v>
      </c>
      <c r="AE309" t="e">
        <f>VLOOKUP($AC309,'oddspedia-matches'!$A:$AD,AE$2,0)</f>
        <v>#N/A</v>
      </c>
      <c r="AF309" t="e">
        <f>VLOOKUP($AC309,'oddspedia-matches'!$A:$AD,AF$2,0)</f>
        <v>#N/A</v>
      </c>
      <c r="AG309" t="e">
        <f>VLOOKUP($AC309,'oddspedia-matches'!$A:$AD,AG$2,0)</f>
        <v>#N/A</v>
      </c>
      <c r="AH309" t="e">
        <f>VLOOKUP($AC309,'oddspedia-matches'!$A:$AD,AH$2,0)</f>
        <v>#N/A</v>
      </c>
      <c r="AI309" t="e">
        <f>VLOOKUP($AC309,'oddspedia-matches'!$A:$AD,AI$2,0)</f>
        <v>#N/A</v>
      </c>
      <c r="AJ309" t="e">
        <f>VLOOKUP($AC309,'oddspedia-matches'!$A:$AD,AJ$2,0)</f>
        <v>#N/A</v>
      </c>
      <c r="AK309" t="e">
        <f>VLOOKUP($AC309,'oddspedia-matches'!$A:$AD,AK$2,0)</f>
        <v>#N/A</v>
      </c>
      <c r="AL309" t="e">
        <f>VLOOKUP($AC309,'oddspedia-matches'!$A:$AD,AL$2,0)</f>
        <v>#N/A</v>
      </c>
      <c r="AM309" t="e">
        <f>VLOOKUP($AC309,'oddspedia-matches'!$A:$AD,AM$2,0)</f>
        <v>#N/A</v>
      </c>
      <c r="AN309" t="e">
        <f>VLOOKUP($AC309,'oddspedia-matches'!$A:$AD,AN$2,0)</f>
        <v>#N/A</v>
      </c>
      <c r="AO309" t="e">
        <f>VLOOKUP($AC309,'oddspedia-matches'!$A:$AD,AO$2,0)</f>
        <v>#N/A</v>
      </c>
      <c r="AP309" t="e">
        <f>VLOOKUP($AC309,'oddspedia-matches'!$A:$AD,AP$2,0)</f>
        <v>#N/A</v>
      </c>
      <c r="AQ309" t="e">
        <f>VLOOKUP($AC309,'oddspedia-matches'!$A:$AD,AQ$2,0)</f>
        <v>#N/A</v>
      </c>
      <c r="AR309" t="e">
        <f>VLOOKUP($AC309,'oddspedia-matches'!$A:$AD,AR$2,0)</f>
        <v>#N/A</v>
      </c>
      <c r="AS309" t="e">
        <f>VLOOKUP($AC309,'oddspedia-matches'!$A:$AD,AS$2,0)</f>
        <v>#N/A</v>
      </c>
      <c r="AT309" t="e">
        <f>VLOOKUP($AC309,'oddspedia-matches'!$A:$AD,AT$2,0)</f>
        <v>#N/A</v>
      </c>
    </row>
    <row r="310" spans="2:46" x14ac:dyDescent="0.25">
      <c r="B310" s="9" t="s">
        <v>486</v>
      </c>
      <c r="C310" s="7" t="s">
        <v>508</v>
      </c>
      <c r="D310" s="20">
        <v>0.9375</v>
      </c>
      <c r="E310" s="7" t="s">
        <v>88</v>
      </c>
      <c r="F310" s="7" t="s">
        <v>94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s="7">
        <v>44.4</v>
      </c>
      <c r="Y310" s="7">
        <v>16.7</v>
      </c>
      <c r="Z310" s="21"/>
      <c r="AA310" t="str">
        <f>VLOOKUP(E310,'Transform table'!A:B,2,0)</f>
        <v>San Diego FC</v>
      </c>
      <c r="AB310" t="str">
        <f>VLOOKUP(F310,'Transform table'!A:B,2,0)</f>
        <v>Dallas</v>
      </c>
      <c r="AC310" t="str">
        <f t="shared" si="4"/>
        <v>25/07/2026San Diego FCDallas</v>
      </c>
      <c r="AD310" t="e">
        <f>VLOOKUP($AC310,'oddspedia-matches'!$A:$AD,AD$2,0)</f>
        <v>#N/A</v>
      </c>
      <c r="AE310" t="e">
        <f>VLOOKUP($AC310,'oddspedia-matches'!$A:$AD,AE$2,0)</f>
        <v>#N/A</v>
      </c>
      <c r="AF310" t="e">
        <f>VLOOKUP($AC310,'oddspedia-matches'!$A:$AD,AF$2,0)</f>
        <v>#N/A</v>
      </c>
      <c r="AG310" t="e">
        <f>VLOOKUP($AC310,'oddspedia-matches'!$A:$AD,AG$2,0)</f>
        <v>#N/A</v>
      </c>
      <c r="AH310" t="e">
        <f>VLOOKUP($AC310,'oddspedia-matches'!$A:$AD,AH$2,0)</f>
        <v>#N/A</v>
      </c>
      <c r="AI310" t="e">
        <f>VLOOKUP($AC310,'oddspedia-matches'!$A:$AD,AI$2,0)</f>
        <v>#N/A</v>
      </c>
      <c r="AJ310" t="e">
        <f>VLOOKUP($AC310,'oddspedia-matches'!$A:$AD,AJ$2,0)</f>
        <v>#N/A</v>
      </c>
      <c r="AK310" t="e">
        <f>VLOOKUP($AC310,'oddspedia-matches'!$A:$AD,AK$2,0)</f>
        <v>#N/A</v>
      </c>
      <c r="AL310" t="e">
        <f>VLOOKUP($AC310,'oddspedia-matches'!$A:$AD,AL$2,0)</f>
        <v>#N/A</v>
      </c>
      <c r="AM310" t="e">
        <f>VLOOKUP($AC310,'oddspedia-matches'!$A:$AD,AM$2,0)</f>
        <v>#N/A</v>
      </c>
      <c r="AN310" t="e">
        <f>VLOOKUP($AC310,'oddspedia-matches'!$A:$AD,AN$2,0)</f>
        <v>#N/A</v>
      </c>
      <c r="AO310" t="e">
        <f>VLOOKUP($AC310,'oddspedia-matches'!$A:$AD,AO$2,0)</f>
        <v>#N/A</v>
      </c>
      <c r="AP310" t="e">
        <f>VLOOKUP($AC310,'oddspedia-matches'!$A:$AD,AP$2,0)</f>
        <v>#N/A</v>
      </c>
      <c r="AQ310" t="e">
        <f>VLOOKUP($AC310,'oddspedia-matches'!$A:$AD,AQ$2,0)</f>
        <v>#N/A</v>
      </c>
      <c r="AR310" t="e">
        <f>VLOOKUP($AC310,'oddspedia-matches'!$A:$AD,AR$2,0)</f>
        <v>#N/A</v>
      </c>
      <c r="AS310" t="e">
        <f>VLOOKUP($AC310,'oddspedia-matches'!$A:$AD,AS$2,0)</f>
        <v>#N/A</v>
      </c>
      <c r="AT310" t="e">
        <f>VLOOKUP($AC310,'oddspedia-matches'!$A:$AD,AT$2,0)</f>
        <v>#N/A</v>
      </c>
    </row>
    <row r="311" spans="2:46" x14ac:dyDescent="0.25">
      <c r="B311" s="17" t="s">
        <v>507</v>
      </c>
      <c r="C311" s="8" t="s">
        <v>508</v>
      </c>
      <c r="D311" s="18">
        <v>0.9375</v>
      </c>
      <c r="E311" s="8" t="s">
        <v>811</v>
      </c>
      <c r="F311" s="8" t="s">
        <v>812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s="8">
        <v>12.5</v>
      </c>
      <c r="Y311" s="8">
        <v>12.5</v>
      </c>
      <c r="Z311" s="19"/>
      <c r="AA311" t="str">
        <f>VLOOKUP(E311,'Transform table'!A:B,2,0)</f>
        <v>Universidad Central de Venezuela</v>
      </c>
      <c r="AB311" t="e">
        <f>VLOOKUP(F311,'Transform table'!A:B,2,0)</f>
        <v>#N/A</v>
      </c>
      <c r="AC311" t="e">
        <f t="shared" si="4"/>
        <v>#N/A</v>
      </c>
      <c r="AD311" t="e">
        <f>VLOOKUP($AC311,'oddspedia-matches'!$A:$AD,AD$2,0)</f>
        <v>#N/A</v>
      </c>
      <c r="AE311" t="e">
        <f>VLOOKUP($AC311,'oddspedia-matches'!$A:$AD,AE$2,0)</f>
        <v>#N/A</v>
      </c>
      <c r="AF311" t="e">
        <f>VLOOKUP($AC311,'oddspedia-matches'!$A:$AD,AF$2,0)</f>
        <v>#N/A</v>
      </c>
      <c r="AG311" t="e">
        <f>VLOOKUP($AC311,'oddspedia-matches'!$A:$AD,AG$2,0)</f>
        <v>#N/A</v>
      </c>
      <c r="AH311" t="e">
        <f>VLOOKUP($AC311,'oddspedia-matches'!$A:$AD,AH$2,0)</f>
        <v>#N/A</v>
      </c>
      <c r="AI311" t="e">
        <f>VLOOKUP($AC311,'oddspedia-matches'!$A:$AD,AI$2,0)</f>
        <v>#N/A</v>
      </c>
      <c r="AJ311" t="e">
        <f>VLOOKUP($AC311,'oddspedia-matches'!$A:$AD,AJ$2,0)</f>
        <v>#N/A</v>
      </c>
      <c r="AK311" t="e">
        <f>VLOOKUP($AC311,'oddspedia-matches'!$A:$AD,AK$2,0)</f>
        <v>#N/A</v>
      </c>
      <c r="AL311" t="e">
        <f>VLOOKUP($AC311,'oddspedia-matches'!$A:$AD,AL$2,0)</f>
        <v>#N/A</v>
      </c>
      <c r="AM311" t="e">
        <f>VLOOKUP($AC311,'oddspedia-matches'!$A:$AD,AM$2,0)</f>
        <v>#N/A</v>
      </c>
      <c r="AN311" t="e">
        <f>VLOOKUP($AC311,'oddspedia-matches'!$A:$AD,AN$2,0)</f>
        <v>#N/A</v>
      </c>
      <c r="AO311" t="e">
        <f>VLOOKUP($AC311,'oddspedia-matches'!$A:$AD,AO$2,0)</f>
        <v>#N/A</v>
      </c>
      <c r="AP311" t="e">
        <f>VLOOKUP($AC311,'oddspedia-matches'!$A:$AD,AP$2,0)</f>
        <v>#N/A</v>
      </c>
      <c r="AQ311" t="e">
        <f>VLOOKUP($AC311,'oddspedia-matches'!$A:$AD,AQ$2,0)</f>
        <v>#N/A</v>
      </c>
      <c r="AR311" t="e">
        <f>VLOOKUP($AC311,'oddspedia-matches'!$A:$AD,AR$2,0)</f>
        <v>#N/A</v>
      </c>
      <c r="AS311" t="e">
        <f>VLOOKUP($AC311,'oddspedia-matches'!$A:$AD,AS$2,0)</f>
        <v>#N/A</v>
      </c>
      <c r="AT311" t="e">
        <f>VLOOKUP($AC311,'oddspedia-matches'!$A:$AD,AT$2,0)</f>
        <v>#N/A</v>
      </c>
    </row>
    <row r="312" spans="2:46" x14ac:dyDescent="0.25">
      <c r="B312" s="9" t="s">
        <v>485</v>
      </c>
      <c r="C312" s="7" t="s">
        <v>508</v>
      </c>
      <c r="D312" s="20">
        <v>0.95833333333333337</v>
      </c>
      <c r="E312" s="7" t="s">
        <v>813</v>
      </c>
      <c r="F312" s="7" t="s">
        <v>814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s="7">
        <v>12.5</v>
      </c>
      <c r="Y312" s="7">
        <v>20</v>
      </c>
      <c r="Z312" s="21"/>
      <c r="AA312" t="str">
        <f>VLOOKUP(E312,'Transform table'!A:B,2,0)</f>
        <v>Monterrey not found</v>
      </c>
      <c r="AB312" t="e">
        <f>VLOOKUP(F312,'Transform table'!A:B,2,0)</f>
        <v>#N/A</v>
      </c>
      <c r="AC312" t="e">
        <f t="shared" si="4"/>
        <v>#N/A</v>
      </c>
      <c r="AD312" t="e">
        <f>VLOOKUP($AC312,'oddspedia-matches'!$A:$AD,AD$2,0)</f>
        <v>#N/A</v>
      </c>
      <c r="AE312" t="e">
        <f>VLOOKUP($AC312,'oddspedia-matches'!$A:$AD,AE$2,0)</f>
        <v>#N/A</v>
      </c>
      <c r="AF312" t="e">
        <f>VLOOKUP($AC312,'oddspedia-matches'!$A:$AD,AF$2,0)</f>
        <v>#N/A</v>
      </c>
      <c r="AG312" t="e">
        <f>VLOOKUP($AC312,'oddspedia-matches'!$A:$AD,AG$2,0)</f>
        <v>#N/A</v>
      </c>
      <c r="AH312" t="e">
        <f>VLOOKUP($AC312,'oddspedia-matches'!$A:$AD,AH$2,0)</f>
        <v>#N/A</v>
      </c>
      <c r="AI312" t="e">
        <f>VLOOKUP($AC312,'oddspedia-matches'!$A:$AD,AI$2,0)</f>
        <v>#N/A</v>
      </c>
      <c r="AJ312" t="e">
        <f>VLOOKUP($AC312,'oddspedia-matches'!$A:$AD,AJ$2,0)</f>
        <v>#N/A</v>
      </c>
      <c r="AK312" t="e">
        <f>VLOOKUP($AC312,'oddspedia-matches'!$A:$AD,AK$2,0)</f>
        <v>#N/A</v>
      </c>
      <c r="AL312" t="e">
        <f>VLOOKUP($AC312,'oddspedia-matches'!$A:$AD,AL$2,0)</f>
        <v>#N/A</v>
      </c>
      <c r="AM312" t="e">
        <f>VLOOKUP($AC312,'oddspedia-matches'!$A:$AD,AM$2,0)</f>
        <v>#N/A</v>
      </c>
      <c r="AN312" t="e">
        <f>VLOOKUP($AC312,'oddspedia-matches'!$A:$AD,AN$2,0)</f>
        <v>#N/A</v>
      </c>
      <c r="AO312" t="e">
        <f>VLOOKUP($AC312,'oddspedia-matches'!$A:$AD,AO$2,0)</f>
        <v>#N/A</v>
      </c>
      <c r="AP312" t="e">
        <f>VLOOKUP($AC312,'oddspedia-matches'!$A:$AD,AP$2,0)</f>
        <v>#N/A</v>
      </c>
      <c r="AQ312" t="e">
        <f>VLOOKUP($AC312,'oddspedia-matches'!$A:$AD,AQ$2,0)</f>
        <v>#N/A</v>
      </c>
      <c r="AR312" t="e">
        <f>VLOOKUP($AC312,'oddspedia-matches'!$A:$AD,AR$2,0)</f>
        <v>#N/A</v>
      </c>
      <c r="AS312" t="e">
        <f>VLOOKUP($AC312,'oddspedia-matches'!$A:$AD,AS$2,0)</f>
        <v>#N/A</v>
      </c>
      <c r="AT312" t="e">
        <f>VLOOKUP($AC312,'oddspedia-matches'!$A:$AD,AT$2,0)</f>
        <v>#N/A</v>
      </c>
    </row>
    <row r="313" spans="2:46" x14ac:dyDescent="0.25">
      <c r="B313" s="17" t="s">
        <v>485</v>
      </c>
      <c r="C313" s="8" t="s">
        <v>508</v>
      </c>
      <c r="D313" s="18">
        <v>0.95833333333333337</v>
      </c>
      <c r="E313" s="8" t="s">
        <v>50</v>
      </c>
      <c r="F313" s="8" t="s">
        <v>815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s="8">
        <v>50</v>
      </c>
      <c r="Y313" s="8">
        <v>0</v>
      </c>
      <c r="Z313" s="19"/>
      <c r="AA313" t="str">
        <f>VLOOKUP(E313,'Transform table'!A:B,2,0)</f>
        <v>Oakland Roots</v>
      </c>
      <c r="AB313" t="e">
        <f>VLOOKUP(F313,'Transform table'!A:B,2,0)</f>
        <v>#N/A</v>
      </c>
      <c r="AC313" t="e">
        <f t="shared" si="4"/>
        <v>#N/A</v>
      </c>
      <c r="AD313" t="e">
        <f>VLOOKUP($AC313,'oddspedia-matches'!$A:$AD,AD$2,0)</f>
        <v>#N/A</v>
      </c>
      <c r="AE313" t="e">
        <f>VLOOKUP($AC313,'oddspedia-matches'!$A:$AD,AE$2,0)</f>
        <v>#N/A</v>
      </c>
      <c r="AF313" t="e">
        <f>VLOOKUP($AC313,'oddspedia-matches'!$A:$AD,AF$2,0)</f>
        <v>#N/A</v>
      </c>
      <c r="AG313" t="e">
        <f>VLOOKUP($AC313,'oddspedia-matches'!$A:$AD,AG$2,0)</f>
        <v>#N/A</v>
      </c>
      <c r="AH313" t="e">
        <f>VLOOKUP($AC313,'oddspedia-matches'!$A:$AD,AH$2,0)</f>
        <v>#N/A</v>
      </c>
      <c r="AI313" t="e">
        <f>VLOOKUP($AC313,'oddspedia-matches'!$A:$AD,AI$2,0)</f>
        <v>#N/A</v>
      </c>
      <c r="AJ313" t="e">
        <f>VLOOKUP($AC313,'oddspedia-matches'!$A:$AD,AJ$2,0)</f>
        <v>#N/A</v>
      </c>
      <c r="AK313" t="e">
        <f>VLOOKUP($AC313,'oddspedia-matches'!$A:$AD,AK$2,0)</f>
        <v>#N/A</v>
      </c>
      <c r="AL313" t="e">
        <f>VLOOKUP($AC313,'oddspedia-matches'!$A:$AD,AL$2,0)</f>
        <v>#N/A</v>
      </c>
      <c r="AM313" t="e">
        <f>VLOOKUP($AC313,'oddspedia-matches'!$A:$AD,AM$2,0)</f>
        <v>#N/A</v>
      </c>
      <c r="AN313" t="e">
        <f>VLOOKUP($AC313,'oddspedia-matches'!$A:$AD,AN$2,0)</f>
        <v>#N/A</v>
      </c>
      <c r="AO313" t="e">
        <f>VLOOKUP($AC313,'oddspedia-matches'!$A:$AD,AO$2,0)</f>
        <v>#N/A</v>
      </c>
      <c r="AP313" t="e">
        <f>VLOOKUP($AC313,'oddspedia-matches'!$A:$AD,AP$2,0)</f>
        <v>#N/A</v>
      </c>
      <c r="AQ313" t="e">
        <f>VLOOKUP($AC313,'oddspedia-matches'!$A:$AD,AQ$2,0)</f>
        <v>#N/A</v>
      </c>
      <c r="AR313" t="e">
        <f>VLOOKUP($AC313,'oddspedia-matches'!$A:$AD,AR$2,0)</f>
        <v>#N/A</v>
      </c>
      <c r="AS313" t="e">
        <f>VLOOKUP($AC313,'oddspedia-matches'!$A:$AD,AS$2,0)</f>
        <v>#N/A</v>
      </c>
      <c r="AT313" t="e">
        <f>VLOOKUP($AC313,'oddspedia-matches'!$A:$AD,AT$2,0)</f>
        <v>#N/A</v>
      </c>
    </row>
    <row r="314" spans="2:46" x14ac:dyDescent="0.25">
      <c r="B314" s="9" t="s">
        <v>486</v>
      </c>
      <c r="C314" s="7" t="s">
        <v>508</v>
      </c>
      <c r="D314" s="20">
        <v>0.97916666666666663</v>
      </c>
      <c r="E314" s="7" t="s">
        <v>91</v>
      </c>
      <c r="F314" s="7" t="s">
        <v>81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s="7">
        <v>12.5</v>
      </c>
      <c r="Y314" s="7">
        <v>25</v>
      </c>
      <c r="Z314" s="21"/>
      <c r="AA314" t="str">
        <f>VLOOKUP(E314,'Transform table'!A:B,2,0)</f>
        <v>Los Angeles FC</v>
      </c>
      <c r="AB314" t="str">
        <f>VLOOKUP(F314,'Transform table'!A:B,2,0)</f>
        <v>Sporting Kansas City</v>
      </c>
      <c r="AC314" t="str">
        <f t="shared" si="4"/>
        <v>25/07/2026Los Angeles FCSporting Kansas City</v>
      </c>
      <c r="AD314" t="e">
        <f>VLOOKUP($AC314,'oddspedia-matches'!$A:$AD,AD$2,0)</f>
        <v>#N/A</v>
      </c>
      <c r="AE314" t="e">
        <f>VLOOKUP($AC314,'oddspedia-matches'!$A:$AD,AE$2,0)</f>
        <v>#N/A</v>
      </c>
      <c r="AF314" t="e">
        <f>VLOOKUP($AC314,'oddspedia-matches'!$A:$AD,AF$2,0)</f>
        <v>#N/A</v>
      </c>
      <c r="AG314" t="e">
        <f>VLOOKUP($AC314,'oddspedia-matches'!$A:$AD,AG$2,0)</f>
        <v>#N/A</v>
      </c>
      <c r="AH314" t="e">
        <f>VLOOKUP($AC314,'oddspedia-matches'!$A:$AD,AH$2,0)</f>
        <v>#N/A</v>
      </c>
      <c r="AI314" t="e">
        <f>VLOOKUP($AC314,'oddspedia-matches'!$A:$AD,AI$2,0)</f>
        <v>#N/A</v>
      </c>
      <c r="AJ314" t="e">
        <f>VLOOKUP($AC314,'oddspedia-matches'!$A:$AD,AJ$2,0)</f>
        <v>#N/A</v>
      </c>
      <c r="AK314" t="e">
        <f>VLOOKUP($AC314,'oddspedia-matches'!$A:$AD,AK$2,0)</f>
        <v>#N/A</v>
      </c>
      <c r="AL314" t="e">
        <f>VLOOKUP($AC314,'oddspedia-matches'!$A:$AD,AL$2,0)</f>
        <v>#N/A</v>
      </c>
      <c r="AM314" t="e">
        <f>VLOOKUP($AC314,'oddspedia-matches'!$A:$AD,AM$2,0)</f>
        <v>#N/A</v>
      </c>
      <c r="AN314" t="e">
        <f>VLOOKUP($AC314,'oddspedia-matches'!$A:$AD,AN$2,0)</f>
        <v>#N/A</v>
      </c>
      <c r="AO314" t="e">
        <f>VLOOKUP($AC314,'oddspedia-matches'!$A:$AD,AO$2,0)</f>
        <v>#N/A</v>
      </c>
      <c r="AP314" t="e">
        <f>VLOOKUP($AC314,'oddspedia-matches'!$A:$AD,AP$2,0)</f>
        <v>#N/A</v>
      </c>
      <c r="AQ314" t="e">
        <f>VLOOKUP($AC314,'oddspedia-matches'!$A:$AD,AQ$2,0)</f>
        <v>#N/A</v>
      </c>
      <c r="AR314" t="e">
        <f>VLOOKUP($AC314,'oddspedia-matches'!$A:$AD,AR$2,0)</f>
        <v>#N/A</v>
      </c>
      <c r="AS314" t="e">
        <f>VLOOKUP($AC314,'oddspedia-matches'!$A:$AD,AS$2,0)</f>
        <v>#N/A</v>
      </c>
      <c r="AT314" t="e">
        <f>VLOOKUP($AC314,'oddspedia-matches'!$A:$AD,AT$2,0)</f>
        <v>#N/A</v>
      </c>
    </row>
    <row r="315" spans="2:46" x14ac:dyDescent="0.25">
      <c r="B315" s="17" t="s">
        <v>486</v>
      </c>
      <c r="C315" s="8" t="s">
        <v>508</v>
      </c>
      <c r="D315" s="18">
        <v>0.97916666666666663</v>
      </c>
      <c r="E315" s="8" t="s">
        <v>93</v>
      </c>
      <c r="F315" s="8" t="s">
        <v>92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s="8">
        <v>50</v>
      </c>
      <c r="Y315" s="8">
        <v>16.7</v>
      </c>
      <c r="Z315" s="19"/>
      <c r="AA315" t="str">
        <f>VLOOKUP(E315,'Transform table'!A:B,2,0)</f>
        <v>Portland Timbers</v>
      </c>
      <c r="AB315" t="str">
        <f>VLOOKUP(F315,'Transform table'!A:B,2,0)</f>
        <v>Real Salt Lake</v>
      </c>
      <c r="AC315" t="str">
        <f t="shared" si="4"/>
        <v>25/07/2026Portland TimbersReal Salt Lake</v>
      </c>
      <c r="AD315" t="e">
        <f>VLOOKUP($AC315,'oddspedia-matches'!$A:$AD,AD$2,0)</f>
        <v>#N/A</v>
      </c>
      <c r="AE315" t="e">
        <f>VLOOKUP($AC315,'oddspedia-matches'!$A:$AD,AE$2,0)</f>
        <v>#N/A</v>
      </c>
      <c r="AF315" t="e">
        <f>VLOOKUP($AC315,'oddspedia-matches'!$A:$AD,AF$2,0)</f>
        <v>#N/A</v>
      </c>
      <c r="AG315" t="e">
        <f>VLOOKUP($AC315,'oddspedia-matches'!$A:$AD,AG$2,0)</f>
        <v>#N/A</v>
      </c>
      <c r="AH315" t="e">
        <f>VLOOKUP($AC315,'oddspedia-matches'!$A:$AD,AH$2,0)</f>
        <v>#N/A</v>
      </c>
      <c r="AI315" t="e">
        <f>VLOOKUP($AC315,'oddspedia-matches'!$A:$AD,AI$2,0)</f>
        <v>#N/A</v>
      </c>
      <c r="AJ315" t="e">
        <f>VLOOKUP($AC315,'oddspedia-matches'!$A:$AD,AJ$2,0)</f>
        <v>#N/A</v>
      </c>
      <c r="AK315" t="e">
        <f>VLOOKUP($AC315,'oddspedia-matches'!$A:$AD,AK$2,0)</f>
        <v>#N/A</v>
      </c>
      <c r="AL315" t="e">
        <f>VLOOKUP($AC315,'oddspedia-matches'!$A:$AD,AL$2,0)</f>
        <v>#N/A</v>
      </c>
      <c r="AM315" t="e">
        <f>VLOOKUP($AC315,'oddspedia-matches'!$A:$AD,AM$2,0)</f>
        <v>#N/A</v>
      </c>
      <c r="AN315" t="e">
        <f>VLOOKUP($AC315,'oddspedia-matches'!$A:$AD,AN$2,0)</f>
        <v>#N/A</v>
      </c>
      <c r="AO315" t="e">
        <f>VLOOKUP($AC315,'oddspedia-matches'!$A:$AD,AO$2,0)</f>
        <v>#N/A</v>
      </c>
      <c r="AP315" t="e">
        <f>VLOOKUP($AC315,'oddspedia-matches'!$A:$AD,AP$2,0)</f>
        <v>#N/A</v>
      </c>
      <c r="AQ315" t="e">
        <f>VLOOKUP($AC315,'oddspedia-matches'!$A:$AD,AQ$2,0)</f>
        <v>#N/A</v>
      </c>
      <c r="AR315" t="e">
        <f>VLOOKUP($AC315,'oddspedia-matches'!$A:$AD,AR$2,0)</f>
        <v>#N/A</v>
      </c>
      <c r="AS315" t="e">
        <f>VLOOKUP($AC315,'oddspedia-matches'!$A:$AD,AS$2,0)</f>
        <v>#N/A</v>
      </c>
      <c r="AT315" t="e">
        <f>VLOOKUP($AC315,'oddspedia-matches'!$A:$AD,AT$2,0)</f>
        <v>#N/A</v>
      </c>
    </row>
    <row r="316" spans="2:46" x14ac:dyDescent="0.25">
      <c r="B316" s="9" t="s">
        <v>486</v>
      </c>
      <c r="C316" s="7" t="s">
        <v>508</v>
      </c>
      <c r="D316" s="20">
        <v>0.97916666666666663</v>
      </c>
      <c r="E316" s="7" t="s">
        <v>95</v>
      </c>
      <c r="F316" s="7" t="s">
        <v>89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s="7">
        <v>42.9</v>
      </c>
      <c r="Y316" s="7">
        <v>12.5</v>
      </c>
      <c r="Z316" s="21"/>
      <c r="AA316" t="str">
        <f>VLOOKUP(E316,'Transform table'!A:B,2,0)</f>
        <v>San Jose Earthquakes</v>
      </c>
      <c r="AB316" t="str">
        <f>VLOOKUP(F316,'Transform table'!A:B,2,0)</f>
        <v>LA Galaxy</v>
      </c>
      <c r="AC316" t="str">
        <f t="shared" si="4"/>
        <v>25/07/2026San Jose EarthquakesLA Galaxy</v>
      </c>
      <c r="AD316" t="e">
        <f>VLOOKUP($AC316,'oddspedia-matches'!$A:$AD,AD$2,0)</f>
        <v>#N/A</v>
      </c>
      <c r="AE316" t="e">
        <f>VLOOKUP($AC316,'oddspedia-matches'!$A:$AD,AE$2,0)</f>
        <v>#N/A</v>
      </c>
      <c r="AF316" t="e">
        <f>VLOOKUP($AC316,'oddspedia-matches'!$A:$AD,AF$2,0)</f>
        <v>#N/A</v>
      </c>
      <c r="AG316" t="e">
        <f>VLOOKUP($AC316,'oddspedia-matches'!$A:$AD,AG$2,0)</f>
        <v>#N/A</v>
      </c>
      <c r="AH316" t="e">
        <f>VLOOKUP($AC316,'oddspedia-matches'!$A:$AD,AH$2,0)</f>
        <v>#N/A</v>
      </c>
      <c r="AI316" t="e">
        <f>VLOOKUP($AC316,'oddspedia-matches'!$A:$AD,AI$2,0)</f>
        <v>#N/A</v>
      </c>
      <c r="AJ316" t="e">
        <f>VLOOKUP($AC316,'oddspedia-matches'!$A:$AD,AJ$2,0)</f>
        <v>#N/A</v>
      </c>
      <c r="AK316" t="e">
        <f>VLOOKUP($AC316,'oddspedia-matches'!$A:$AD,AK$2,0)</f>
        <v>#N/A</v>
      </c>
      <c r="AL316" t="e">
        <f>VLOOKUP($AC316,'oddspedia-matches'!$A:$AD,AL$2,0)</f>
        <v>#N/A</v>
      </c>
      <c r="AM316" t="e">
        <f>VLOOKUP($AC316,'oddspedia-matches'!$A:$AD,AM$2,0)</f>
        <v>#N/A</v>
      </c>
      <c r="AN316" t="e">
        <f>VLOOKUP($AC316,'oddspedia-matches'!$A:$AD,AN$2,0)</f>
        <v>#N/A</v>
      </c>
      <c r="AO316" t="e">
        <f>VLOOKUP($AC316,'oddspedia-matches'!$A:$AD,AO$2,0)</f>
        <v>#N/A</v>
      </c>
      <c r="AP316" t="e">
        <f>VLOOKUP($AC316,'oddspedia-matches'!$A:$AD,AP$2,0)</f>
        <v>#N/A</v>
      </c>
      <c r="AQ316" t="e">
        <f>VLOOKUP($AC316,'oddspedia-matches'!$A:$AD,AQ$2,0)</f>
        <v>#N/A</v>
      </c>
      <c r="AR316" t="e">
        <f>VLOOKUP($AC316,'oddspedia-matches'!$A:$AD,AR$2,0)</f>
        <v>#N/A</v>
      </c>
      <c r="AS316" t="e">
        <f>VLOOKUP($AC316,'oddspedia-matches'!$A:$AD,AS$2,0)</f>
        <v>#N/A</v>
      </c>
      <c r="AT316" t="e">
        <f>VLOOKUP($AC316,'oddspedia-matches'!$A:$AD,AT$2,0)</f>
        <v>#N/A</v>
      </c>
    </row>
    <row r="317" spans="2:46" x14ac:dyDescent="0.25">
      <c r="B317" s="17" t="s">
        <v>485</v>
      </c>
      <c r="C317" s="8" t="s">
        <v>508</v>
      </c>
      <c r="D317" s="18">
        <v>0.97916666666666663</v>
      </c>
      <c r="E317" s="8" t="s">
        <v>816</v>
      </c>
      <c r="F317" s="8" t="s">
        <v>817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s="8">
        <v>0</v>
      </c>
      <c r="Y317" s="8">
        <v>0</v>
      </c>
      <c r="Z317" s="19"/>
      <c r="AA317" t="str">
        <f>VLOOKUP(E317,'Transform table'!A:B,2,0)</f>
        <v>Phoenix not found</v>
      </c>
      <c r="AB317" t="e">
        <f>VLOOKUP(F317,'Transform table'!A:B,2,0)</f>
        <v>#N/A</v>
      </c>
      <c r="AC317" t="e">
        <f t="shared" si="4"/>
        <v>#N/A</v>
      </c>
      <c r="AD317" t="e">
        <f>VLOOKUP($AC317,'oddspedia-matches'!$A:$AD,AD$2,0)</f>
        <v>#N/A</v>
      </c>
      <c r="AE317" t="e">
        <f>VLOOKUP($AC317,'oddspedia-matches'!$A:$AD,AE$2,0)</f>
        <v>#N/A</v>
      </c>
      <c r="AF317" t="e">
        <f>VLOOKUP($AC317,'oddspedia-matches'!$A:$AD,AF$2,0)</f>
        <v>#N/A</v>
      </c>
      <c r="AG317" t="e">
        <f>VLOOKUP($AC317,'oddspedia-matches'!$A:$AD,AG$2,0)</f>
        <v>#N/A</v>
      </c>
      <c r="AH317" t="e">
        <f>VLOOKUP($AC317,'oddspedia-matches'!$A:$AD,AH$2,0)</f>
        <v>#N/A</v>
      </c>
      <c r="AI317" t="e">
        <f>VLOOKUP($AC317,'oddspedia-matches'!$A:$AD,AI$2,0)</f>
        <v>#N/A</v>
      </c>
      <c r="AJ317" t="e">
        <f>VLOOKUP($AC317,'oddspedia-matches'!$A:$AD,AJ$2,0)</f>
        <v>#N/A</v>
      </c>
      <c r="AK317" t="e">
        <f>VLOOKUP($AC317,'oddspedia-matches'!$A:$AD,AK$2,0)</f>
        <v>#N/A</v>
      </c>
      <c r="AL317" t="e">
        <f>VLOOKUP($AC317,'oddspedia-matches'!$A:$AD,AL$2,0)</f>
        <v>#N/A</v>
      </c>
      <c r="AM317" t="e">
        <f>VLOOKUP($AC317,'oddspedia-matches'!$A:$AD,AM$2,0)</f>
        <v>#N/A</v>
      </c>
      <c r="AN317" t="e">
        <f>VLOOKUP($AC317,'oddspedia-matches'!$A:$AD,AN$2,0)</f>
        <v>#N/A</v>
      </c>
      <c r="AO317" t="e">
        <f>VLOOKUP($AC317,'oddspedia-matches'!$A:$AD,AO$2,0)</f>
        <v>#N/A</v>
      </c>
      <c r="AP317" t="e">
        <f>VLOOKUP($AC317,'oddspedia-matches'!$A:$AD,AP$2,0)</f>
        <v>#N/A</v>
      </c>
      <c r="AQ317" t="e">
        <f>VLOOKUP($AC317,'oddspedia-matches'!$A:$AD,AQ$2,0)</f>
        <v>#N/A</v>
      </c>
      <c r="AR317" t="e">
        <f>VLOOKUP($AC317,'oddspedia-matches'!$A:$AD,AR$2,0)</f>
        <v>#N/A</v>
      </c>
      <c r="AS317" t="e">
        <f>VLOOKUP($AC317,'oddspedia-matches'!$A:$AD,AS$2,0)</f>
        <v>#N/A</v>
      </c>
      <c r="AT317" t="e">
        <f>VLOOKUP($AC317,'oddspedia-matches'!$A:$AD,AT$2,0)</f>
        <v>#N/A</v>
      </c>
    </row>
    <row r="318" spans="2:46" x14ac:dyDescent="0.25">
      <c r="B318" t="s">
        <v>481</v>
      </c>
      <c r="C318" t="s">
        <v>948</v>
      </c>
      <c r="D318" s="25">
        <v>0</v>
      </c>
      <c r="E318" t="s">
        <v>949</v>
      </c>
      <c r="F318" t="s">
        <v>20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>
        <v>12.5</v>
      </c>
      <c r="Y318">
        <v>44.4</v>
      </c>
      <c r="AA318" t="str">
        <f>VLOOKUP(E318,'Transform table'!A:B,2,0)</f>
        <v>Edgeworth Eagles Reserves</v>
      </c>
      <c r="AB318" t="str">
        <f>VLOOKUP(F318,'Transform table'!A:B,2,0)</f>
        <v>Hamilton Olympic</v>
      </c>
      <c r="AC318" t="str">
        <f t="shared" si="4"/>
        <v>26/07/2026Edgeworth Eagles ReservesHamilton Olympic</v>
      </c>
      <c r="AD318" t="e">
        <f>VLOOKUP($AC318,'oddspedia-matches'!$A:$AD,AD$2,0)</f>
        <v>#N/A</v>
      </c>
      <c r="AE318" t="e">
        <f>VLOOKUP($AC318,'oddspedia-matches'!$A:$AD,AE$2,0)</f>
        <v>#N/A</v>
      </c>
      <c r="AF318" t="e">
        <f>VLOOKUP($AC318,'oddspedia-matches'!$A:$AD,AF$2,0)</f>
        <v>#N/A</v>
      </c>
      <c r="AG318" t="e">
        <f>VLOOKUP($AC318,'oddspedia-matches'!$A:$AD,AG$2,0)</f>
        <v>#N/A</v>
      </c>
      <c r="AH318" t="e">
        <f>VLOOKUP($AC318,'oddspedia-matches'!$A:$AD,AH$2,0)</f>
        <v>#N/A</v>
      </c>
      <c r="AI318" t="e">
        <f>VLOOKUP($AC318,'oddspedia-matches'!$A:$AD,AI$2,0)</f>
        <v>#N/A</v>
      </c>
      <c r="AJ318" t="e">
        <f>VLOOKUP($AC318,'oddspedia-matches'!$A:$AD,AJ$2,0)</f>
        <v>#N/A</v>
      </c>
      <c r="AK318" t="e">
        <f>VLOOKUP($AC318,'oddspedia-matches'!$A:$AD,AK$2,0)</f>
        <v>#N/A</v>
      </c>
      <c r="AL318" t="e">
        <f>VLOOKUP($AC318,'oddspedia-matches'!$A:$AD,AL$2,0)</f>
        <v>#N/A</v>
      </c>
      <c r="AM318" t="e">
        <f>VLOOKUP($AC318,'oddspedia-matches'!$A:$AD,AM$2,0)</f>
        <v>#N/A</v>
      </c>
      <c r="AN318" t="e">
        <f>VLOOKUP($AC318,'oddspedia-matches'!$A:$AD,AN$2,0)</f>
        <v>#N/A</v>
      </c>
      <c r="AO318" t="e">
        <f>VLOOKUP($AC318,'oddspedia-matches'!$A:$AD,AO$2,0)</f>
        <v>#N/A</v>
      </c>
      <c r="AP318" t="e">
        <f>VLOOKUP($AC318,'oddspedia-matches'!$A:$AD,AP$2,0)</f>
        <v>#N/A</v>
      </c>
      <c r="AQ318" t="e">
        <f>VLOOKUP($AC318,'oddspedia-matches'!$A:$AD,AQ$2,0)</f>
        <v>#N/A</v>
      </c>
      <c r="AR318" t="e">
        <f>VLOOKUP($AC318,'oddspedia-matches'!$A:$AD,AR$2,0)</f>
        <v>#N/A</v>
      </c>
      <c r="AS318" t="e">
        <f>VLOOKUP($AC318,'oddspedia-matches'!$A:$AD,AS$2,0)</f>
        <v>#N/A</v>
      </c>
      <c r="AT318" t="e">
        <f>VLOOKUP($AC318,'oddspedia-matches'!$A:$AD,AT$2,0)</f>
        <v>#N/A</v>
      </c>
    </row>
    <row r="319" spans="2:46" x14ac:dyDescent="0.25">
      <c r="B319" t="s">
        <v>950</v>
      </c>
      <c r="C319" t="s">
        <v>948</v>
      </c>
      <c r="D319" s="25">
        <v>0</v>
      </c>
      <c r="E319" t="s">
        <v>762</v>
      </c>
      <c r="F319" t="s">
        <v>671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">
        <v>22</v>
      </c>
      <c r="Y319">
        <v>100</v>
      </c>
      <c r="AA319" t="str">
        <f>VLOOKUP(E319,'Transform table'!A:B,2,0)</f>
        <v>Santos</v>
      </c>
      <c r="AB319" t="str">
        <f>VLOOKUP(F319,'Transform table'!A:B,2,0)</f>
        <v>CA Atlas</v>
      </c>
      <c r="AC319" t="str">
        <f t="shared" si="4"/>
        <v>26/07/2026SantosCA Atlas</v>
      </c>
      <c r="AD319" t="e">
        <f>VLOOKUP($AC319,'oddspedia-matches'!$A:$AD,AD$2,0)</f>
        <v>#N/A</v>
      </c>
      <c r="AE319" t="e">
        <f>VLOOKUP($AC319,'oddspedia-matches'!$A:$AD,AE$2,0)</f>
        <v>#N/A</v>
      </c>
      <c r="AF319" t="e">
        <f>VLOOKUP($AC319,'oddspedia-matches'!$A:$AD,AF$2,0)</f>
        <v>#N/A</v>
      </c>
      <c r="AG319" t="e">
        <f>VLOOKUP($AC319,'oddspedia-matches'!$A:$AD,AG$2,0)</f>
        <v>#N/A</v>
      </c>
      <c r="AH319" t="e">
        <f>VLOOKUP($AC319,'oddspedia-matches'!$A:$AD,AH$2,0)</f>
        <v>#N/A</v>
      </c>
      <c r="AI319" t="e">
        <f>VLOOKUP($AC319,'oddspedia-matches'!$A:$AD,AI$2,0)</f>
        <v>#N/A</v>
      </c>
      <c r="AJ319" t="e">
        <f>VLOOKUP($AC319,'oddspedia-matches'!$A:$AD,AJ$2,0)</f>
        <v>#N/A</v>
      </c>
      <c r="AK319" t="e">
        <f>VLOOKUP($AC319,'oddspedia-matches'!$A:$AD,AK$2,0)</f>
        <v>#N/A</v>
      </c>
      <c r="AL319" t="e">
        <f>VLOOKUP($AC319,'oddspedia-matches'!$A:$AD,AL$2,0)</f>
        <v>#N/A</v>
      </c>
      <c r="AM319" t="e">
        <f>VLOOKUP($AC319,'oddspedia-matches'!$A:$AD,AM$2,0)</f>
        <v>#N/A</v>
      </c>
      <c r="AN319" t="e">
        <f>VLOOKUP($AC319,'oddspedia-matches'!$A:$AD,AN$2,0)</f>
        <v>#N/A</v>
      </c>
      <c r="AO319" t="e">
        <f>VLOOKUP($AC319,'oddspedia-matches'!$A:$AD,AO$2,0)</f>
        <v>#N/A</v>
      </c>
      <c r="AP319" t="e">
        <f>VLOOKUP($AC319,'oddspedia-matches'!$A:$AD,AP$2,0)</f>
        <v>#N/A</v>
      </c>
      <c r="AQ319" t="e">
        <f>VLOOKUP($AC319,'oddspedia-matches'!$A:$AD,AQ$2,0)</f>
        <v>#N/A</v>
      </c>
      <c r="AR319" t="e">
        <f>VLOOKUP($AC319,'oddspedia-matches'!$A:$AD,AR$2,0)</f>
        <v>#N/A</v>
      </c>
      <c r="AS319" t="e">
        <f>VLOOKUP($AC319,'oddspedia-matches'!$A:$AD,AS$2,0)</f>
        <v>#N/A</v>
      </c>
      <c r="AT319" t="e">
        <f>VLOOKUP($AC319,'oddspedia-matches'!$A:$AD,AT$2,0)</f>
        <v>#N/A</v>
      </c>
    </row>
    <row r="320" spans="2:46" x14ac:dyDescent="0.25">
      <c r="B320" t="s">
        <v>950</v>
      </c>
      <c r="C320" t="s">
        <v>948</v>
      </c>
      <c r="D320" s="25">
        <v>0</v>
      </c>
      <c r="E320" t="s">
        <v>951</v>
      </c>
      <c r="F320" t="s">
        <v>952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">
        <v>22</v>
      </c>
      <c r="Y320" t="s">
        <v>22</v>
      </c>
      <c r="AA320" t="str">
        <f>VLOOKUP(E320,'Transform table'!A:B,2,0)</f>
        <v>Club Atletico Tigre</v>
      </c>
      <c r="AB320" t="e">
        <f>VLOOKUP(F320,'Transform table'!A:B,2,0)</f>
        <v>#N/A</v>
      </c>
      <c r="AC320" t="e">
        <f t="shared" si="4"/>
        <v>#N/A</v>
      </c>
      <c r="AD320" t="e">
        <f>VLOOKUP($AC320,'oddspedia-matches'!$A:$AD,AD$2,0)</f>
        <v>#N/A</v>
      </c>
      <c r="AE320" t="e">
        <f>VLOOKUP($AC320,'oddspedia-matches'!$A:$AD,AE$2,0)</f>
        <v>#N/A</v>
      </c>
      <c r="AF320" t="e">
        <f>VLOOKUP($AC320,'oddspedia-matches'!$A:$AD,AF$2,0)</f>
        <v>#N/A</v>
      </c>
      <c r="AG320" t="e">
        <f>VLOOKUP($AC320,'oddspedia-matches'!$A:$AD,AG$2,0)</f>
        <v>#N/A</v>
      </c>
      <c r="AH320" t="e">
        <f>VLOOKUP($AC320,'oddspedia-matches'!$A:$AD,AH$2,0)</f>
        <v>#N/A</v>
      </c>
      <c r="AI320" t="e">
        <f>VLOOKUP($AC320,'oddspedia-matches'!$A:$AD,AI$2,0)</f>
        <v>#N/A</v>
      </c>
      <c r="AJ320" t="e">
        <f>VLOOKUP($AC320,'oddspedia-matches'!$A:$AD,AJ$2,0)</f>
        <v>#N/A</v>
      </c>
      <c r="AK320" t="e">
        <f>VLOOKUP($AC320,'oddspedia-matches'!$A:$AD,AK$2,0)</f>
        <v>#N/A</v>
      </c>
      <c r="AL320" t="e">
        <f>VLOOKUP($AC320,'oddspedia-matches'!$A:$AD,AL$2,0)</f>
        <v>#N/A</v>
      </c>
      <c r="AM320" t="e">
        <f>VLOOKUP($AC320,'oddspedia-matches'!$A:$AD,AM$2,0)</f>
        <v>#N/A</v>
      </c>
      <c r="AN320" t="e">
        <f>VLOOKUP($AC320,'oddspedia-matches'!$A:$AD,AN$2,0)</f>
        <v>#N/A</v>
      </c>
      <c r="AO320" t="e">
        <f>VLOOKUP($AC320,'oddspedia-matches'!$A:$AD,AO$2,0)</f>
        <v>#N/A</v>
      </c>
      <c r="AP320" t="e">
        <f>VLOOKUP($AC320,'oddspedia-matches'!$A:$AD,AP$2,0)</f>
        <v>#N/A</v>
      </c>
      <c r="AQ320" t="e">
        <f>VLOOKUP($AC320,'oddspedia-matches'!$A:$AD,AQ$2,0)</f>
        <v>#N/A</v>
      </c>
      <c r="AR320" t="e">
        <f>VLOOKUP($AC320,'oddspedia-matches'!$A:$AD,AR$2,0)</f>
        <v>#N/A</v>
      </c>
      <c r="AS320" t="e">
        <f>VLOOKUP($AC320,'oddspedia-matches'!$A:$AD,AS$2,0)</f>
        <v>#N/A</v>
      </c>
      <c r="AT320" t="e">
        <f>VLOOKUP($AC320,'oddspedia-matches'!$A:$AD,AT$2,0)</f>
        <v>#N/A</v>
      </c>
    </row>
    <row r="321" spans="2:46" x14ac:dyDescent="0.25">
      <c r="B321" t="s">
        <v>489</v>
      </c>
      <c r="C321" t="s">
        <v>948</v>
      </c>
      <c r="D321" s="25">
        <v>8.3333333333333329E-2</v>
      </c>
      <c r="E321" t="s">
        <v>953</v>
      </c>
      <c r="F321" t="s">
        <v>954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>
        <v>10</v>
      </c>
      <c r="Y321">
        <v>15.4</v>
      </c>
      <c r="AA321" t="str">
        <f>VLOOKUP(E321,'Transform table'!A:B,2,0)</f>
        <v>Rockdale not found</v>
      </c>
      <c r="AB321" t="e">
        <f>VLOOKUP(F321,'Transform table'!A:B,2,0)</f>
        <v>#N/A</v>
      </c>
      <c r="AC321" t="e">
        <f t="shared" si="4"/>
        <v>#N/A</v>
      </c>
      <c r="AD321" t="e">
        <f>VLOOKUP($AC321,'oddspedia-matches'!$A:$AD,AD$2,0)</f>
        <v>#N/A</v>
      </c>
      <c r="AE321" t="e">
        <f>VLOOKUP($AC321,'oddspedia-matches'!$A:$AD,AE$2,0)</f>
        <v>#N/A</v>
      </c>
      <c r="AF321" t="e">
        <f>VLOOKUP($AC321,'oddspedia-matches'!$A:$AD,AF$2,0)</f>
        <v>#N/A</v>
      </c>
      <c r="AG321" t="e">
        <f>VLOOKUP($AC321,'oddspedia-matches'!$A:$AD,AG$2,0)</f>
        <v>#N/A</v>
      </c>
      <c r="AH321" t="e">
        <f>VLOOKUP($AC321,'oddspedia-matches'!$A:$AD,AH$2,0)</f>
        <v>#N/A</v>
      </c>
      <c r="AI321" t="e">
        <f>VLOOKUP($AC321,'oddspedia-matches'!$A:$AD,AI$2,0)</f>
        <v>#N/A</v>
      </c>
      <c r="AJ321" t="e">
        <f>VLOOKUP($AC321,'oddspedia-matches'!$A:$AD,AJ$2,0)</f>
        <v>#N/A</v>
      </c>
      <c r="AK321" t="e">
        <f>VLOOKUP($AC321,'oddspedia-matches'!$A:$AD,AK$2,0)</f>
        <v>#N/A</v>
      </c>
      <c r="AL321" t="e">
        <f>VLOOKUP($AC321,'oddspedia-matches'!$A:$AD,AL$2,0)</f>
        <v>#N/A</v>
      </c>
      <c r="AM321" t="e">
        <f>VLOOKUP($AC321,'oddspedia-matches'!$A:$AD,AM$2,0)</f>
        <v>#N/A</v>
      </c>
      <c r="AN321" t="e">
        <f>VLOOKUP($AC321,'oddspedia-matches'!$A:$AD,AN$2,0)</f>
        <v>#N/A</v>
      </c>
      <c r="AO321" t="e">
        <f>VLOOKUP($AC321,'oddspedia-matches'!$A:$AD,AO$2,0)</f>
        <v>#N/A</v>
      </c>
      <c r="AP321" t="e">
        <f>VLOOKUP($AC321,'oddspedia-matches'!$A:$AD,AP$2,0)</f>
        <v>#N/A</v>
      </c>
      <c r="AQ321" t="e">
        <f>VLOOKUP($AC321,'oddspedia-matches'!$A:$AD,AQ$2,0)</f>
        <v>#N/A</v>
      </c>
      <c r="AR321" t="e">
        <f>VLOOKUP($AC321,'oddspedia-matches'!$A:$AD,AR$2,0)</f>
        <v>#N/A</v>
      </c>
      <c r="AS321" t="e">
        <f>VLOOKUP($AC321,'oddspedia-matches'!$A:$AD,AS$2,0)</f>
        <v>#N/A</v>
      </c>
      <c r="AT321" t="e">
        <f>VLOOKUP($AC321,'oddspedia-matches'!$A:$AD,AT$2,0)</f>
        <v>#N/A</v>
      </c>
    </row>
    <row r="322" spans="2:46" x14ac:dyDescent="0.25">
      <c r="B322" t="s">
        <v>489</v>
      </c>
      <c r="C322" t="s">
        <v>948</v>
      </c>
      <c r="D322" s="25">
        <v>8.3333333333333329E-2</v>
      </c>
      <c r="E322" t="s">
        <v>955</v>
      </c>
      <c r="F322" t="s">
        <v>956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>
        <v>25</v>
      </c>
      <c r="Y322">
        <v>16.7</v>
      </c>
      <c r="AA322" t="str">
        <f>VLOOKUP(E322,'Transform table'!A:B,2,0)</f>
        <v>Wolves</v>
      </c>
      <c r="AB322" t="e">
        <f>VLOOKUP(F322,'Transform table'!A:B,2,0)</f>
        <v>#N/A</v>
      </c>
      <c r="AC322" t="e">
        <f t="shared" si="4"/>
        <v>#N/A</v>
      </c>
      <c r="AD322" t="e">
        <f>VLOOKUP($AC322,'oddspedia-matches'!$A:$AD,AD$2,0)</f>
        <v>#N/A</v>
      </c>
      <c r="AE322" t="e">
        <f>VLOOKUP($AC322,'oddspedia-matches'!$A:$AD,AE$2,0)</f>
        <v>#N/A</v>
      </c>
      <c r="AF322" t="e">
        <f>VLOOKUP($AC322,'oddspedia-matches'!$A:$AD,AF$2,0)</f>
        <v>#N/A</v>
      </c>
      <c r="AG322" t="e">
        <f>VLOOKUP($AC322,'oddspedia-matches'!$A:$AD,AG$2,0)</f>
        <v>#N/A</v>
      </c>
      <c r="AH322" t="e">
        <f>VLOOKUP($AC322,'oddspedia-matches'!$A:$AD,AH$2,0)</f>
        <v>#N/A</v>
      </c>
      <c r="AI322" t="e">
        <f>VLOOKUP($AC322,'oddspedia-matches'!$A:$AD,AI$2,0)</f>
        <v>#N/A</v>
      </c>
      <c r="AJ322" t="e">
        <f>VLOOKUP($AC322,'oddspedia-matches'!$A:$AD,AJ$2,0)</f>
        <v>#N/A</v>
      </c>
      <c r="AK322" t="e">
        <f>VLOOKUP($AC322,'oddspedia-matches'!$A:$AD,AK$2,0)</f>
        <v>#N/A</v>
      </c>
      <c r="AL322" t="e">
        <f>VLOOKUP($AC322,'oddspedia-matches'!$A:$AD,AL$2,0)</f>
        <v>#N/A</v>
      </c>
      <c r="AM322" t="e">
        <f>VLOOKUP($AC322,'oddspedia-matches'!$A:$AD,AM$2,0)</f>
        <v>#N/A</v>
      </c>
      <c r="AN322" t="e">
        <f>VLOOKUP($AC322,'oddspedia-matches'!$A:$AD,AN$2,0)</f>
        <v>#N/A</v>
      </c>
      <c r="AO322" t="e">
        <f>VLOOKUP($AC322,'oddspedia-matches'!$A:$AD,AO$2,0)</f>
        <v>#N/A</v>
      </c>
      <c r="AP322" t="e">
        <f>VLOOKUP($AC322,'oddspedia-matches'!$A:$AD,AP$2,0)</f>
        <v>#N/A</v>
      </c>
      <c r="AQ322" t="e">
        <f>VLOOKUP($AC322,'oddspedia-matches'!$A:$AD,AQ$2,0)</f>
        <v>#N/A</v>
      </c>
      <c r="AR322" t="e">
        <f>VLOOKUP($AC322,'oddspedia-matches'!$A:$AD,AR$2,0)</f>
        <v>#N/A</v>
      </c>
      <c r="AS322" t="e">
        <f>VLOOKUP($AC322,'oddspedia-matches'!$A:$AD,AS$2,0)</f>
        <v>#N/A</v>
      </c>
      <c r="AT322" t="e">
        <f>VLOOKUP($AC322,'oddspedia-matches'!$A:$AD,AT$2,0)</f>
        <v>#N/A</v>
      </c>
    </row>
    <row r="323" spans="2:46" x14ac:dyDescent="0.25">
      <c r="B323" t="s">
        <v>481</v>
      </c>
      <c r="C323" t="s">
        <v>948</v>
      </c>
      <c r="D323" s="25">
        <v>8.3333333333333329E-2</v>
      </c>
      <c r="E323" t="s">
        <v>957</v>
      </c>
      <c r="F323" t="s">
        <v>21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">
        <v>22</v>
      </c>
      <c r="Y323" t="s">
        <v>22</v>
      </c>
      <c r="AA323" t="str">
        <f>VLOOKUP(E323,'Transform table'!A:B,2,0)</f>
        <v>Kahibah FC Reserves</v>
      </c>
      <c r="AB323" t="str">
        <f>VLOOKUP(F323,'Transform table'!A:B,2,0)</f>
        <v>Belmont Swansea United SC</v>
      </c>
      <c r="AC323" t="str">
        <f t="shared" si="4"/>
        <v>26/07/2026Kahibah FC ReservesBelmont Swansea United SC</v>
      </c>
      <c r="AD323" t="e">
        <f>VLOOKUP($AC323,'oddspedia-matches'!$A:$AD,AD$2,0)</f>
        <v>#N/A</v>
      </c>
      <c r="AE323" t="e">
        <f>VLOOKUP($AC323,'oddspedia-matches'!$A:$AD,AE$2,0)</f>
        <v>#N/A</v>
      </c>
      <c r="AF323" t="e">
        <f>VLOOKUP($AC323,'oddspedia-matches'!$A:$AD,AF$2,0)</f>
        <v>#N/A</v>
      </c>
      <c r="AG323" t="e">
        <f>VLOOKUP($AC323,'oddspedia-matches'!$A:$AD,AG$2,0)</f>
        <v>#N/A</v>
      </c>
      <c r="AH323" t="e">
        <f>VLOOKUP($AC323,'oddspedia-matches'!$A:$AD,AH$2,0)</f>
        <v>#N/A</v>
      </c>
      <c r="AI323" t="e">
        <f>VLOOKUP($AC323,'oddspedia-matches'!$A:$AD,AI$2,0)</f>
        <v>#N/A</v>
      </c>
      <c r="AJ323" t="e">
        <f>VLOOKUP($AC323,'oddspedia-matches'!$A:$AD,AJ$2,0)</f>
        <v>#N/A</v>
      </c>
      <c r="AK323" t="e">
        <f>VLOOKUP($AC323,'oddspedia-matches'!$A:$AD,AK$2,0)</f>
        <v>#N/A</v>
      </c>
      <c r="AL323" t="e">
        <f>VLOOKUP($AC323,'oddspedia-matches'!$A:$AD,AL$2,0)</f>
        <v>#N/A</v>
      </c>
      <c r="AM323" t="e">
        <f>VLOOKUP($AC323,'oddspedia-matches'!$A:$AD,AM$2,0)</f>
        <v>#N/A</v>
      </c>
      <c r="AN323" t="e">
        <f>VLOOKUP($AC323,'oddspedia-matches'!$A:$AD,AN$2,0)</f>
        <v>#N/A</v>
      </c>
      <c r="AO323" t="e">
        <f>VLOOKUP($AC323,'oddspedia-matches'!$A:$AD,AO$2,0)</f>
        <v>#N/A</v>
      </c>
      <c r="AP323" t="e">
        <f>VLOOKUP($AC323,'oddspedia-matches'!$A:$AD,AP$2,0)</f>
        <v>#N/A</v>
      </c>
      <c r="AQ323" t="e">
        <f>VLOOKUP($AC323,'oddspedia-matches'!$A:$AD,AQ$2,0)</f>
        <v>#N/A</v>
      </c>
      <c r="AR323" t="e">
        <f>VLOOKUP($AC323,'oddspedia-matches'!$A:$AD,AR$2,0)</f>
        <v>#N/A</v>
      </c>
      <c r="AS323" t="e">
        <f>VLOOKUP($AC323,'oddspedia-matches'!$A:$AD,AS$2,0)</f>
        <v>#N/A</v>
      </c>
      <c r="AT323" t="e">
        <f>VLOOKUP($AC323,'oddspedia-matches'!$A:$AD,AT$2,0)</f>
        <v>#N/A</v>
      </c>
    </row>
    <row r="324" spans="2:46" x14ac:dyDescent="0.25">
      <c r="B324" t="s">
        <v>463</v>
      </c>
      <c r="C324" t="s">
        <v>948</v>
      </c>
      <c r="D324" s="25">
        <v>0.14583333333333334</v>
      </c>
      <c r="E324" t="s">
        <v>216</v>
      </c>
      <c r="F324" t="s">
        <v>958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">
        <v>22</v>
      </c>
      <c r="Y324" t="s">
        <v>22</v>
      </c>
      <c r="AA324" t="str">
        <f>VLOOKUP(E324,'Transform table'!A:B,2,0)</f>
        <v>Gungahlin Juventus U23</v>
      </c>
      <c r="AB324" t="e">
        <f>VLOOKUP(F324,'Transform table'!A:B,2,0)</f>
        <v>#N/A</v>
      </c>
      <c r="AC324" t="e">
        <f t="shared" si="4"/>
        <v>#N/A</v>
      </c>
      <c r="AD324" t="e">
        <f>VLOOKUP($AC324,'oddspedia-matches'!$A:$AD,AD$2,0)</f>
        <v>#N/A</v>
      </c>
      <c r="AE324" t="e">
        <f>VLOOKUP($AC324,'oddspedia-matches'!$A:$AD,AE$2,0)</f>
        <v>#N/A</v>
      </c>
      <c r="AF324" t="e">
        <f>VLOOKUP($AC324,'oddspedia-matches'!$A:$AD,AF$2,0)</f>
        <v>#N/A</v>
      </c>
      <c r="AG324" t="e">
        <f>VLOOKUP($AC324,'oddspedia-matches'!$A:$AD,AG$2,0)</f>
        <v>#N/A</v>
      </c>
      <c r="AH324" t="e">
        <f>VLOOKUP($AC324,'oddspedia-matches'!$A:$AD,AH$2,0)</f>
        <v>#N/A</v>
      </c>
      <c r="AI324" t="e">
        <f>VLOOKUP($AC324,'oddspedia-matches'!$A:$AD,AI$2,0)</f>
        <v>#N/A</v>
      </c>
      <c r="AJ324" t="e">
        <f>VLOOKUP($AC324,'oddspedia-matches'!$A:$AD,AJ$2,0)</f>
        <v>#N/A</v>
      </c>
      <c r="AK324" t="e">
        <f>VLOOKUP($AC324,'oddspedia-matches'!$A:$AD,AK$2,0)</f>
        <v>#N/A</v>
      </c>
      <c r="AL324" t="e">
        <f>VLOOKUP($AC324,'oddspedia-matches'!$A:$AD,AL$2,0)</f>
        <v>#N/A</v>
      </c>
      <c r="AM324" t="e">
        <f>VLOOKUP($AC324,'oddspedia-matches'!$A:$AD,AM$2,0)</f>
        <v>#N/A</v>
      </c>
      <c r="AN324" t="e">
        <f>VLOOKUP($AC324,'oddspedia-matches'!$A:$AD,AN$2,0)</f>
        <v>#N/A</v>
      </c>
      <c r="AO324" t="e">
        <f>VLOOKUP($AC324,'oddspedia-matches'!$A:$AD,AO$2,0)</f>
        <v>#N/A</v>
      </c>
      <c r="AP324" t="e">
        <f>VLOOKUP($AC324,'oddspedia-matches'!$A:$AD,AP$2,0)</f>
        <v>#N/A</v>
      </c>
      <c r="AQ324" t="e">
        <f>VLOOKUP($AC324,'oddspedia-matches'!$A:$AD,AQ$2,0)</f>
        <v>#N/A</v>
      </c>
      <c r="AR324" t="e">
        <f>VLOOKUP($AC324,'oddspedia-matches'!$A:$AD,AR$2,0)</f>
        <v>#N/A</v>
      </c>
      <c r="AS324" t="e">
        <f>VLOOKUP($AC324,'oddspedia-matches'!$A:$AD,AS$2,0)</f>
        <v>#N/A</v>
      </c>
      <c r="AT324" t="e">
        <f>VLOOKUP($AC324,'oddspedia-matches'!$A:$AD,AT$2,0)</f>
        <v>#N/A</v>
      </c>
    </row>
    <row r="325" spans="2:46" x14ac:dyDescent="0.25">
      <c r="B325" t="s">
        <v>564</v>
      </c>
      <c r="C325" t="s">
        <v>948</v>
      </c>
      <c r="D325" s="25">
        <v>0.20833333333333334</v>
      </c>
      <c r="E325" t="s">
        <v>959</v>
      </c>
      <c r="F325" t="s">
        <v>960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>
        <v>0</v>
      </c>
      <c r="Y325">
        <v>12.5</v>
      </c>
      <c r="AA325">
        <f>VLOOKUP(E325,'Transform table'!A:B,2,0)</f>
        <v>0</v>
      </c>
      <c r="AB325" t="e">
        <f>VLOOKUP(F325,'Transform table'!A:B,2,0)</f>
        <v>#N/A</v>
      </c>
      <c r="AC325" t="e">
        <f t="shared" ref="AC325:AC388" si="5">C325&amp;AA325&amp;AB325</f>
        <v>#N/A</v>
      </c>
      <c r="AD325" t="e">
        <f>VLOOKUP($AC325,'oddspedia-matches'!$A:$AD,AD$2,0)</f>
        <v>#N/A</v>
      </c>
      <c r="AE325" t="e">
        <f>VLOOKUP($AC325,'oddspedia-matches'!$A:$AD,AE$2,0)</f>
        <v>#N/A</v>
      </c>
      <c r="AF325" t="e">
        <f>VLOOKUP($AC325,'oddspedia-matches'!$A:$AD,AF$2,0)</f>
        <v>#N/A</v>
      </c>
      <c r="AG325" t="e">
        <f>VLOOKUP($AC325,'oddspedia-matches'!$A:$AD,AG$2,0)</f>
        <v>#N/A</v>
      </c>
      <c r="AH325" t="e">
        <f>VLOOKUP($AC325,'oddspedia-matches'!$A:$AD,AH$2,0)</f>
        <v>#N/A</v>
      </c>
      <c r="AI325" t="e">
        <f>VLOOKUP($AC325,'oddspedia-matches'!$A:$AD,AI$2,0)</f>
        <v>#N/A</v>
      </c>
      <c r="AJ325" t="e">
        <f>VLOOKUP($AC325,'oddspedia-matches'!$A:$AD,AJ$2,0)</f>
        <v>#N/A</v>
      </c>
      <c r="AK325" t="e">
        <f>VLOOKUP($AC325,'oddspedia-matches'!$A:$AD,AK$2,0)</f>
        <v>#N/A</v>
      </c>
      <c r="AL325" t="e">
        <f>VLOOKUP($AC325,'oddspedia-matches'!$A:$AD,AL$2,0)</f>
        <v>#N/A</v>
      </c>
      <c r="AM325" t="e">
        <f>VLOOKUP($AC325,'oddspedia-matches'!$A:$AD,AM$2,0)</f>
        <v>#N/A</v>
      </c>
      <c r="AN325" t="e">
        <f>VLOOKUP($AC325,'oddspedia-matches'!$A:$AD,AN$2,0)</f>
        <v>#N/A</v>
      </c>
      <c r="AO325" t="e">
        <f>VLOOKUP($AC325,'oddspedia-matches'!$A:$AD,AO$2,0)</f>
        <v>#N/A</v>
      </c>
      <c r="AP325" t="e">
        <f>VLOOKUP($AC325,'oddspedia-matches'!$A:$AD,AP$2,0)</f>
        <v>#N/A</v>
      </c>
      <c r="AQ325" t="e">
        <f>VLOOKUP($AC325,'oddspedia-matches'!$A:$AD,AQ$2,0)</f>
        <v>#N/A</v>
      </c>
      <c r="AR325" t="e">
        <f>VLOOKUP($AC325,'oddspedia-matches'!$A:$AD,AR$2,0)</f>
        <v>#N/A</v>
      </c>
      <c r="AS325" t="e">
        <f>VLOOKUP($AC325,'oddspedia-matches'!$A:$AD,AS$2,0)</f>
        <v>#N/A</v>
      </c>
      <c r="AT325" t="e">
        <f>VLOOKUP($AC325,'oddspedia-matches'!$A:$AD,AT$2,0)</f>
        <v>#N/A</v>
      </c>
    </row>
    <row r="326" spans="2:46" x14ac:dyDescent="0.25">
      <c r="B326" t="s">
        <v>564</v>
      </c>
      <c r="C326" t="s">
        <v>948</v>
      </c>
      <c r="D326" s="25">
        <v>0.20833333333333334</v>
      </c>
      <c r="E326" t="s">
        <v>961</v>
      </c>
      <c r="F326" t="s">
        <v>962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t="s">
        <v>22</v>
      </c>
      <c r="Y326" t="s">
        <v>22</v>
      </c>
      <c r="AA326">
        <f>VLOOKUP(E326,'Transform table'!A:B,2,0)</f>
        <v>0</v>
      </c>
      <c r="AB326" t="e">
        <f>VLOOKUP(F326,'Transform table'!A:B,2,0)</f>
        <v>#N/A</v>
      </c>
      <c r="AC326" t="e">
        <f t="shared" si="5"/>
        <v>#N/A</v>
      </c>
      <c r="AD326" t="e">
        <f>VLOOKUP($AC326,'oddspedia-matches'!$A:$AD,AD$2,0)</f>
        <v>#N/A</v>
      </c>
      <c r="AE326" t="e">
        <f>VLOOKUP($AC326,'oddspedia-matches'!$A:$AD,AE$2,0)</f>
        <v>#N/A</v>
      </c>
      <c r="AF326" t="e">
        <f>VLOOKUP($AC326,'oddspedia-matches'!$A:$AD,AF$2,0)</f>
        <v>#N/A</v>
      </c>
      <c r="AG326" t="e">
        <f>VLOOKUP($AC326,'oddspedia-matches'!$A:$AD,AG$2,0)</f>
        <v>#N/A</v>
      </c>
      <c r="AH326" t="e">
        <f>VLOOKUP($AC326,'oddspedia-matches'!$A:$AD,AH$2,0)</f>
        <v>#N/A</v>
      </c>
      <c r="AI326" t="e">
        <f>VLOOKUP($AC326,'oddspedia-matches'!$A:$AD,AI$2,0)</f>
        <v>#N/A</v>
      </c>
      <c r="AJ326" t="e">
        <f>VLOOKUP($AC326,'oddspedia-matches'!$A:$AD,AJ$2,0)</f>
        <v>#N/A</v>
      </c>
      <c r="AK326" t="e">
        <f>VLOOKUP($AC326,'oddspedia-matches'!$A:$AD,AK$2,0)</f>
        <v>#N/A</v>
      </c>
      <c r="AL326" t="e">
        <f>VLOOKUP($AC326,'oddspedia-matches'!$A:$AD,AL$2,0)</f>
        <v>#N/A</v>
      </c>
      <c r="AM326" t="e">
        <f>VLOOKUP($AC326,'oddspedia-matches'!$A:$AD,AM$2,0)</f>
        <v>#N/A</v>
      </c>
      <c r="AN326" t="e">
        <f>VLOOKUP($AC326,'oddspedia-matches'!$A:$AD,AN$2,0)</f>
        <v>#N/A</v>
      </c>
      <c r="AO326" t="e">
        <f>VLOOKUP($AC326,'oddspedia-matches'!$A:$AD,AO$2,0)</f>
        <v>#N/A</v>
      </c>
      <c r="AP326" t="e">
        <f>VLOOKUP($AC326,'oddspedia-matches'!$A:$AD,AP$2,0)</f>
        <v>#N/A</v>
      </c>
      <c r="AQ326" t="e">
        <f>VLOOKUP($AC326,'oddspedia-matches'!$A:$AD,AQ$2,0)</f>
        <v>#N/A</v>
      </c>
      <c r="AR326" t="e">
        <f>VLOOKUP($AC326,'oddspedia-matches'!$A:$AD,AR$2,0)</f>
        <v>#N/A</v>
      </c>
      <c r="AS326" t="e">
        <f>VLOOKUP($AC326,'oddspedia-matches'!$A:$AD,AS$2,0)</f>
        <v>#N/A</v>
      </c>
      <c r="AT326" t="e">
        <f>VLOOKUP($AC326,'oddspedia-matches'!$A:$AD,AT$2,0)</f>
        <v>#N/A</v>
      </c>
    </row>
    <row r="327" spans="2:46" x14ac:dyDescent="0.25">
      <c r="B327" t="s">
        <v>564</v>
      </c>
      <c r="C327" t="s">
        <v>948</v>
      </c>
      <c r="D327" s="25">
        <v>0.22916666666666666</v>
      </c>
      <c r="E327" t="s">
        <v>963</v>
      </c>
      <c r="F327" t="s">
        <v>964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">
        <v>22</v>
      </c>
      <c r="Y327" t="s">
        <v>22</v>
      </c>
      <c r="AA327" t="str">
        <f>VLOOKUP(E327,'Transform table'!A:B,2,0)</f>
        <v>Shanghai Greenland Shenhua</v>
      </c>
      <c r="AB327" t="e">
        <f>VLOOKUP(F327,'Transform table'!A:B,2,0)</f>
        <v>#N/A</v>
      </c>
      <c r="AC327" t="e">
        <f t="shared" si="5"/>
        <v>#N/A</v>
      </c>
      <c r="AD327" t="e">
        <f>VLOOKUP($AC327,'oddspedia-matches'!$A:$AD,AD$2,0)</f>
        <v>#N/A</v>
      </c>
      <c r="AE327" t="e">
        <f>VLOOKUP($AC327,'oddspedia-matches'!$A:$AD,AE$2,0)</f>
        <v>#N/A</v>
      </c>
      <c r="AF327" t="e">
        <f>VLOOKUP($AC327,'oddspedia-matches'!$A:$AD,AF$2,0)</f>
        <v>#N/A</v>
      </c>
      <c r="AG327" t="e">
        <f>VLOOKUP($AC327,'oddspedia-matches'!$A:$AD,AG$2,0)</f>
        <v>#N/A</v>
      </c>
      <c r="AH327" t="e">
        <f>VLOOKUP($AC327,'oddspedia-matches'!$A:$AD,AH$2,0)</f>
        <v>#N/A</v>
      </c>
      <c r="AI327" t="e">
        <f>VLOOKUP($AC327,'oddspedia-matches'!$A:$AD,AI$2,0)</f>
        <v>#N/A</v>
      </c>
      <c r="AJ327" t="e">
        <f>VLOOKUP($AC327,'oddspedia-matches'!$A:$AD,AJ$2,0)</f>
        <v>#N/A</v>
      </c>
      <c r="AK327" t="e">
        <f>VLOOKUP($AC327,'oddspedia-matches'!$A:$AD,AK$2,0)</f>
        <v>#N/A</v>
      </c>
      <c r="AL327" t="e">
        <f>VLOOKUP($AC327,'oddspedia-matches'!$A:$AD,AL$2,0)</f>
        <v>#N/A</v>
      </c>
      <c r="AM327" t="e">
        <f>VLOOKUP($AC327,'oddspedia-matches'!$A:$AD,AM$2,0)</f>
        <v>#N/A</v>
      </c>
      <c r="AN327" t="e">
        <f>VLOOKUP($AC327,'oddspedia-matches'!$A:$AD,AN$2,0)</f>
        <v>#N/A</v>
      </c>
      <c r="AO327" t="e">
        <f>VLOOKUP($AC327,'oddspedia-matches'!$A:$AD,AO$2,0)</f>
        <v>#N/A</v>
      </c>
      <c r="AP327" t="e">
        <f>VLOOKUP($AC327,'oddspedia-matches'!$A:$AD,AP$2,0)</f>
        <v>#N/A</v>
      </c>
      <c r="AQ327" t="e">
        <f>VLOOKUP($AC327,'oddspedia-matches'!$A:$AD,AQ$2,0)</f>
        <v>#N/A</v>
      </c>
      <c r="AR327" t="e">
        <f>VLOOKUP($AC327,'oddspedia-matches'!$A:$AD,AR$2,0)</f>
        <v>#N/A</v>
      </c>
      <c r="AS327" t="e">
        <f>VLOOKUP($AC327,'oddspedia-matches'!$A:$AD,AS$2,0)</f>
        <v>#N/A</v>
      </c>
      <c r="AT327" t="e">
        <f>VLOOKUP($AC327,'oddspedia-matches'!$A:$AD,AT$2,0)</f>
        <v>#N/A</v>
      </c>
    </row>
    <row r="328" spans="2:46" x14ac:dyDescent="0.25">
      <c r="B328" t="s">
        <v>965</v>
      </c>
      <c r="C328" t="s">
        <v>948</v>
      </c>
      <c r="D328" s="25">
        <v>0.25</v>
      </c>
      <c r="E328" t="s">
        <v>966</v>
      </c>
      <c r="F328" t="s">
        <v>967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t="s">
        <v>22</v>
      </c>
      <c r="Y328" t="s">
        <v>22</v>
      </c>
      <c r="AA328">
        <f>VLOOKUP(E328,'Transform table'!A:B,2,0)</f>
        <v>0</v>
      </c>
      <c r="AB328" t="e">
        <f>VLOOKUP(F328,'Transform table'!A:B,2,0)</f>
        <v>#N/A</v>
      </c>
      <c r="AC328" t="e">
        <f t="shared" si="5"/>
        <v>#N/A</v>
      </c>
      <c r="AD328" t="e">
        <f>VLOOKUP($AC328,'oddspedia-matches'!$A:$AD,AD$2,0)</f>
        <v>#N/A</v>
      </c>
      <c r="AE328" t="e">
        <f>VLOOKUP($AC328,'oddspedia-matches'!$A:$AD,AE$2,0)</f>
        <v>#N/A</v>
      </c>
      <c r="AF328" t="e">
        <f>VLOOKUP($AC328,'oddspedia-matches'!$A:$AD,AF$2,0)</f>
        <v>#N/A</v>
      </c>
      <c r="AG328" t="e">
        <f>VLOOKUP($AC328,'oddspedia-matches'!$A:$AD,AG$2,0)</f>
        <v>#N/A</v>
      </c>
      <c r="AH328" t="e">
        <f>VLOOKUP($AC328,'oddspedia-matches'!$A:$AD,AH$2,0)</f>
        <v>#N/A</v>
      </c>
      <c r="AI328" t="e">
        <f>VLOOKUP($AC328,'oddspedia-matches'!$A:$AD,AI$2,0)</f>
        <v>#N/A</v>
      </c>
      <c r="AJ328" t="e">
        <f>VLOOKUP($AC328,'oddspedia-matches'!$A:$AD,AJ$2,0)</f>
        <v>#N/A</v>
      </c>
      <c r="AK328" t="e">
        <f>VLOOKUP($AC328,'oddspedia-matches'!$A:$AD,AK$2,0)</f>
        <v>#N/A</v>
      </c>
      <c r="AL328" t="e">
        <f>VLOOKUP($AC328,'oddspedia-matches'!$A:$AD,AL$2,0)</f>
        <v>#N/A</v>
      </c>
      <c r="AM328" t="e">
        <f>VLOOKUP($AC328,'oddspedia-matches'!$A:$AD,AM$2,0)</f>
        <v>#N/A</v>
      </c>
      <c r="AN328" t="e">
        <f>VLOOKUP($AC328,'oddspedia-matches'!$A:$AD,AN$2,0)</f>
        <v>#N/A</v>
      </c>
      <c r="AO328" t="e">
        <f>VLOOKUP($AC328,'oddspedia-matches'!$A:$AD,AO$2,0)</f>
        <v>#N/A</v>
      </c>
      <c r="AP328" t="e">
        <f>VLOOKUP($AC328,'oddspedia-matches'!$A:$AD,AP$2,0)</f>
        <v>#N/A</v>
      </c>
      <c r="AQ328" t="e">
        <f>VLOOKUP($AC328,'oddspedia-matches'!$A:$AD,AQ$2,0)</f>
        <v>#N/A</v>
      </c>
      <c r="AR328" t="e">
        <f>VLOOKUP($AC328,'oddspedia-matches'!$A:$AD,AR$2,0)</f>
        <v>#N/A</v>
      </c>
      <c r="AS328" t="e">
        <f>VLOOKUP($AC328,'oddspedia-matches'!$A:$AD,AS$2,0)</f>
        <v>#N/A</v>
      </c>
      <c r="AT328" t="e">
        <f>VLOOKUP($AC328,'oddspedia-matches'!$A:$AD,AT$2,0)</f>
        <v>#N/A</v>
      </c>
    </row>
    <row r="329" spans="2:46" x14ac:dyDescent="0.25">
      <c r="B329" t="s">
        <v>576</v>
      </c>
      <c r="C329" t="s">
        <v>948</v>
      </c>
      <c r="D329" s="25">
        <v>0.29166666666666669</v>
      </c>
      <c r="E329" t="s">
        <v>968</v>
      </c>
      <c r="F329" t="s">
        <v>969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>
        <v>42.9</v>
      </c>
      <c r="Y329">
        <v>42.9</v>
      </c>
      <c r="AA329">
        <f>VLOOKUP(E329,'Transform table'!A:B,2,0)</f>
        <v>0</v>
      </c>
      <c r="AB329" t="e">
        <f>VLOOKUP(F329,'Transform table'!A:B,2,0)</f>
        <v>#N/A</v>
      </c>
      <c r="AC329" t="e">
        <f t="shared" si="5"/>
        <v>#N/A</v>
      </c>
      <c r="AD329" t="e">
        <f>VLOOKUP($AC329,'oddspedia-matches'!$A:$AD,AD$2,0)</f>
        <v>#N/A</v>
      </c>
      <c r="AE329" t="e">
        <f>VLOOKUP($AC329,'oddspedia-matches'!$A:$AD,AE$2,0)</f>
        <v>#N/A</v>
      </c>
      <c r="AF329" t="e">
        <f>VLOOKUP($AC329,'oddspedia-matches'!$A:$AD,AF$2,0)</f>
        <v>#N/A</v>
      </c>
      <c r="AG329" t="e">
        <f>VLOOKUP($AC329,'oddspedia-matches'!$A:$AD,AG$2,0)</f>
        <v>#N/A</v>
      </c>
      <c r="AH329" t="e">
        <f>VLOOKUP($AC329,'oddspedia-matches'!$A:$AD,AH$2,0)</f>
        <v>#N/A</v>
      </c>
      <c r="AI329" t="e">
        <f>VLOOKUP($AC329,'oddspedia-matches'!$A:$AD,AI$2,0)</f>
        <v>#N/A</v>
      </c>
      <c r="AJ329" t="e">
        <f>VLOOKUP($AC329,'oddspedia-matches'!$A:$AD,AJ$2,0)</f>
        <v>#N/A</v>
      </c>
      <c r="AK329" t="e">
        <f>VLOOKUP($AC329,'oddspedia-matches'!$A:$AD,AK$2,0)</f>
        <v>#N/A</v>
      </c>
      <c r="AL329" t="e">
        <f>VLOOKUP($AC329,'oddspedia-matches'!$A:$AD,AL$2,0)</f>
        <v>#N/A</v>
      </c>
      <c r="AM329" t="e">
        <f>VLOOKUP($AC329,'oddspedia-matches'!$A:$AD,AM$2,0)</f>
        <v>#N/A</v>
      </c>
      <c r="AN329" t="e">
        <f>VLOOKUP($AC329,'oddspedia-matches'!$A:$AD,AN$2,0)</f>
        <v>#N/A</v>
      </c>
      <c r="AO329" t="e">
        <f>VLOOKUP($AC329,'oddspedia-matches'!$A:$AD,AO$2,0)</f>
        <v>#N/A</v>
      </c>
      <c r="AP329" t="e">
        <f>VLOOKUP($AC329,'oddspedia-matches'!$A:$AD,AP$2,0)</f>
        <v>#N/A</v>
      </c>
      <c r="AQ329" t="e">
        <f>VLOOKUP($AC329,'oddspedia-matches'!$A:$AD,AQ$2,0)</f>
        <v>#N/A</v>
      </c>
      <c r="AR329" t="e">
        <f>VLOOKUP($AC329,'oddspedia-matches'!$A:$AD,AR$2,0)</f>
        <v>#N/A</v>
      </c>
      <c r="AS329" t="e">
        <f>VLOOKUP($AC329,'oddspedia-matches'!$A:$AD,AS$2,0)</f>
        <v>#N/A</v>
      </c>
      <c r="AT329" t="e">
        <f>VLOOKUP($AC329,'oddspedia-matches'!$A:$AD,AT$2,0)</f>
        <v>#N/A</v>
      </c>
    </row>
    <row r="330" spans="2:46" x14ac:dyDescent="0.25">
      <c r="B330" t="s">
        <v>464</v>
      </c>
      <c r="C330" t="s">
        <v>948</v>
      </c>
      <c r="D330" s="25">
        <v>0.3125</v>
      </c>
      <c r="E330" t="s">
        <v>28</v>
      </c>
      <c r="F330" t="s">
        <v>219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>
        <v>33.299999999999997</v>
      </c>
      <c r="Y330">
        <v>0</v>
      </c>
      <c r="AA330" t="str">
        <f>VLOOKUP(E330,'Transform table'!A:B,2,0)</f>
        <v>Anyang</v>
      </c>
      <c r="AB330" t="str">
        <f>VLOOKUP(F330,'Transform table'!A:B,2,0)</f>
        <v>Gangwon</v>
      </c>
      <c r="AC330" t="str">
        <f t="shared" si="5"/>
        <v>26/07/2026AnyangGangwon</v>
      </c>
      <c r="AD330" t="e">
        <f>VLOOKUP($AC330,'oddspedia-matches'!$A:$AD,AD$2,0)</f>
        <v>#N/A</v>
      </c>
      <c r="AE330" t="e">
        <f>VLOOKUP($AC330,'oddspedia-matches'!$A:$AD,AE$2,0)</f>
        <v>#N/A</v>
      </c>
      <c r="AF330" t="e">
        <f>VLOOKUP($AC330,'oddspedia-matches'!$A:$AD,AF$2,0)</f>
        <v>#N/A</v>
      </c>
      <c r="AG330" t="e">
        <f>VLOOKUP($AC330,'oddspedia-matches'!$A:$AD,AG$2,0)</f>
        <v>#N/A</v>
      </c>
      <c r="AH330" t="e">
        <f>VLOOKUP($AC330,'oddspedia-matches'!$A:$AD,AH$2,0)</f>
        <v>#N/A</v>
      </c>
      <c r="AI330" t="e">
        <f>VLOOKUP($AC330,'oddspedia-matches'!$A:$AD,AI$2,0)</f>
        <v>#N/A</v>
      </c>
      <c r="AJ330" t="e">
        <f>VLOOKUP($AC330,'oddspedia-matches'!$A:$AD,AJ$2,0)</f>
        <v>#N/A</v>
      </c>
      <c r="AK330" t="e">
        <f>VLOOKUP($AC330,'oddspedia-matches'!$A:$AD,AK$2,0)</f>
        <v>#N/A</v>
      </c>
      <c r="AL330" t="e">
        <f>VLOOKUP($AC330,'oddspedia-matches'!$A:$AD,AL$2,0)</f>
        <v>#N/A</v>
      </c>
      <c r="AM330" t="e">
        <f>VLOOKUP($AC330,'oddspedia-matches'!$A:$AD,AM$2,0)</f>
        <v>#N/A</v>
      </c>
      <c r="AN330" t="e">
        <f>VLOOKUP($AC330,'oddspedia-matches'!$A:$AD,AN$2,0)</f>
        <v>#N/A</v>
      </c>
      <c r="AO330" t="e">
        <f>VLOOKUP($AC330,'oddspedia-matches'!$A:$AD,AO$2,0)</f>
        <v>#N/A</v>
      </c>
      <c r="AP330" t="e">
        <f>VLOOKUP($AC330,'oddspedia-matches'!$A:$AD,AP$2,0)</f>
        <v>#N/A</v>
      </c>
      <c r="AQ330" t="e">
        <f>VLOOKUP($AC330,'oddspedia-matches'!$A:$AD,AQ$2,0)</f>
        <v>#N/A</v>
      </c>
      <c r="AR330" t="e">
        <f>VLOOKUP($AC330,'oddspedia-matches'!$A:$AD,AR$2,0)</f>
        <v>#N/A</v>
      </c>
      <c r="AS330" t="e">
        <f>VLOOKUP($AC330,'oddspedia-matches'!$A:$AD,AS$2,0)</f>
        <v>#N/A</v>
      </c>
      <c r="AT330" t="e">
        <f>VLOOKUP($AC330,'oddspedia-matches'!$A:$AD,AT$2,0)</f>
        <v>#N/A</v>
      </c>
    </row>
    <row r="331" spans="2:46" x14ac:dyDescent="0.25">
      <c r="B331" t="s">
        <v>464</v>
      </c>
      <c r="C331" t="s">
        <v>948</v>
      </c>
      <c r="D331" s="25">
        <v>0.3125</v>
      </c>
      <c r="E331" t="s">
        <v>29</v>
      </c>
      <c r="F331" t="s">
        <v>222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>
        <v>11.1</v>
      </c>
      <c r="Y331">
        <v>33.299999999999997</v>
      </c>
      <c r="AA331" t="str">
        <f>VLOOKUP(E331,'Transform table'!A:B,2,0)</f>
        <v>FC Seoul</v>
      </c>
      <c r="AB331" t="str">
        <f>VLOOKUP(F331,'Transform table'!A:B,2,0)</f>
        <v>Ulsan Hyundai</v>
      </c>
      <c r="AC331" t="str">
        <f t="shared" si="5"/>
        <v>26/07/2026FC SeoulUlsan Hyundai</v>
      </c>
      <c r="AD331" t="e">
        <f>VLOOKUP($AC331,'oddspedia-matches'!$A:$AD,AD$2,0)</f>
        <v>#N/A</v>
      </c>
      <c r="AE331" t="e">
        <f>VLOOKUP($AC331,'oddspedia-matches'!$A:$AD,AE$2,0)</f>
        <v>#N/A</v>
      </c>
      <c r="AF331" t="e">
        <f>VLOOKUP($AC331,'oddspedia-matches'!$A:$AD,AF$2,0)</f>
        <v>#N/A</v>
      </c>
      <c r="AG331" t="e">
        <f>VLOOKUP($AC331,'oddspedia-matches'!$A:$AD,AG$2,0)</f>
        <v>#N/A</v>
      </c>
      <c r="AH331" t="e">
        <f>VLOOKUP($AC331,'oddspedia-matches'!$A:$AD,AH$2,0)</f>
        <v>#N/A</v>
      </c>
      <c r="AI331" t="e">
        <f>VLOOKUP($AC331,'oddspedia-matches'!$A:$AD,AI$2,0)</f>
        <v>#N/A</v>
      </c>
      <c r="AJ331" t="e">
        <f>VLOOKUP($AC331,'oddspedia-matches'!$A:$AD,AJ$2,0)</f>
        <v>#N/A</v>
      </c>
      <c r="AK331" t="e">
        <f>VLOOKUP($AC331,'oddspedia-matches'!$A:$AD,AK$2,0)</f>
        <v>#N/A</v>
      </c>
      <c r="AL331" t="e">
        <f>VLOOKUP($AC331,'oddspedia-matches'!$A:$AD,AL$2,0)</f>
        <v>#N/A</v>
      </c>
      <c r="AM331" t="e">
        <f>VLOOKUP($AC331,'oddspedia-matches'!$A:$AD,AM$2,0)</f>
        <v>#N/A</v>
      </c>
      <c r="AN331" t="e">
        <f>VLOOKUP($AC331,'oddspedia-matches'!$A:$AD,AN$2,0)</f>
        <v>#N/A</v>
      </c>
      <c r="AO331" t="e">
        <f>VLOOKUP($AC331,'oddspedia-matches'!$A:$AD,AO$2,0)</f>
        <v>#N/A</v>
      </c>
      <c r="AP331" t="e">
        <f>VLOOKUP($AC331,'oddspedia-matches'!$A:$AD,AP$2,0)</f>
        <v>#N/A</v>
      </c>
      <c r="AQ331" t="e">
        <f>VLOOKUP($AC331,'oddspedia-matches'!$A:$AD,AQ$2,0)</f>
        <v>#N/A</v>
      </c>
      <c r="AR331" t="e">
        <f>VLOOKUP($AC331,'oddspedia-matches'!$A:$AD,AR$2,0)</f>
        <v>#N/A</v>
      </c>
      <c r="AS331" t="e">
        <f>VLOOKUP($AC331,'oddspedia-matches'!$A:$AD,AS$2,0)</f>
        <v>#N/A</v>
      </c>
      <c r="AT331" t="e">
        <f>VLOOKUP($AC331,'oddspedia-matches'!$A:$AD,AT$2,0)</f>
        <v>#N/A</v>
      </c>
    </row>
    <row r="332" spans="2:46" x14ac:dyDescent="0.25">
      <c r="B332" t="s">
        <v>464</v>
      </c>
      <c r="C332" t="s">
        <v>948</v>
      </c>
      <c r="D332" s="25">
        <v>0.3125</v>
      </c>
      <c r="E332" t="s">
        <v>31</v>
      </c>
      <c r="F332" t="s">
        <v>218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>
        <v>20</v>
      </c>
      <c r="Y332">
        <v>0</v>
      </c>
      <c r="AA332" t="str">
        <f>VLOOKUP(E332,'Transform table'!A:B,2,0)</f>
        <v>Gwangju</v>
      </c>
      <c r="AB332" t="str">
        <f>VLOOKUP(F332,'Transform table'!A:B,2,0)</f>
        <v>Jeju United</v>
      </c>
      <c r="AC332" t="str">
        <f t="shared" si="5"/>
        <v>26/07/2026GwangjuJeju United</v>
      </c>
      <c r="AD332" t="e">
        <f>VLOOKUP($AC332,'oddspedia-matches'!$A:$AD,AD$2,0)</f>
        <v>#N/A</v>
      </c>
      <c r="AE332" t="e">
        <f>VLOOKUP($AC332,'oddspedia-matches'!$A:$AD,AE$2,0)</f>
        <v>#N/A</v>
      </c>
      <c r="AF332" t="e">
        <f>VLOOKUP($AC332,'oddspedia-matches'!$A:$AD,AF$2,0)</f>
        <v>#N/A</v>
      </c>
      <c r="AG332" t="e">
        <f>VLOOKUP($AC332,'oddspedia-matches'!$A:$AD,AG$2,0)</f>
        <v>#N/A</v>
      </c>
      <c r="AH332" t="e">
        <f>VLOOKUP($AC332,'oddspedia-matches'!$A:$AD,AH$2,0)</f>
        <v>#N/A</v>
      </c>
      <c r="AI332" t="e">
        <f>VLOOKUP($AC332,'oddspedia-matches'!$A:$AD,AI$2,0)</f>
        <v>#N/A</v>
      </c>
      <c r="AJ332" t="e">
        <f>VLOOKUP($AC332,'oddspedia-matches'!$A:$AD,AJ$2,0)</f>
        <v>#N/A</v>
      </c>
      <c r="AK332" t="e">
        <f>VLOOKUP($AC332,'oddspedia-matches'!$A:$AD,AK$2,0)</f>
        <v>#N/A</v>
      </c>
      <c r="AL332" t="e">
        <f>VLOOKUP($AC332,'oddspedia-matches'!$A:$AD,AL$2,0)</f>
        <v>#N/A</v>
      </c>
      <c r="AM332" t="e">
        <f>VLOOKUP($AC332,'oddspedia-matches'!$A:$AD,AM$2,0)</f>
        <v>#N/A</v>
      </c>
      <c r="AN332" t="e">
        <f>VLOOKUP($AC332,'oddspedia-matches'!$A:$AD,AN$2,0)</f>
        <v>#N/A</v>
      </c>
      <c r="AO332" t="e">
        <f>VLOOKUP($AC332,'oddspedia-matches'!$A:$AD,AO$2,0)</f>
        <v>#N/A</v>
      </c>
      <c r="AP332" t="e">
        <f>VLOOKUP($AC332,'oddspedia-matches'!$A:$AD,AP$2,0)</f>
        <v>#N/A</v>
      </c>
      <c r="AQ332" t="e">
        <f>VLOOKUP($AC332,'oddspedia-matches'!$A:$AD,AQ$2,0)</f>
        <v>#N/A</v>
      </c>
      <c r="AR332" t="e">
        <f>VLOOKUP($AC332,'oddspedia-matches'!$A:$AD,AR$2,0)</f>
        <v>#N/A</v>
      </c>
      <c r="AS332" t="e">
        <f>VLOOKUP($AC332,'oddspedia-matches'!$A:$AD,AS$2,0)</f>
        <v>#N/A</v>
      </c>
      <c r="AT332" t="e">
        <f>VLOOKUP($AC332,'oddspedia-matches'!$A:$AD,AT$2,0)</f>
        <v>#N/A</v>
      </c>
    </row>
    <row r="333" spans="2:46" x14ac:dyDescent="0.25">
      <c r="B333" t="s">
        <v>464</v>
      </c>
      <c r="C333" t="s">
        <v>948</v>
      </c>
      <c r="D333" s="25">
        <v>0.3125</v>
      </c>
      <c r="E333" t="s">
        <v>223</v>
      </c>
      <c r="F333" t="s">
        <v>27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>
        <v>22.2</v>
      </c>
      <c r="Y333">
        <v>0</v>
      </c>
      <c r="AA333" t="str">
        <f>VLOOKUP(E333,'Transform table'!A:B,2,0)</f>
        <v>Incheon United</v>
      </c>
      <c r="AB333" t="str">
        <f>VLOOKUP(F333,'Transform table'!A:B,2,0)</f>
        <v>Bucheon 1995</v>
      </c>
      <c r="AC333" t="str">
        <f t="shared" si="5"/>
        <v>26/07/2026Incheon UnitedBucheon 1995</v>
      </c>
      <c r="AD333" t="e">
        <f>VLOOKUP($AC333,'oddspedia-matches'!$A:$AD,AD$2,0)</f>
        <v>#N/A</v>
      </c>
      <c r="AE333" t="e">
        <f>VLOOKUP($AC333,'oddspedia-matches'!$A:$AD,AE$2,0)</f>
        <v>#N/A</v>
      </c>
      <c r="AF333" t="e">
        <f>VLOOKUP($AC333,'oddspedia-matches'!$A:$AD,AF$2,0)</f>
        <v>#N/A</v>
      </c>
      <c r="AG333" t="e">
        <f>VLOOKUP($AC333,'oddspedia-matches'!$A:$AD,AG$2,0)</f>
        <v>#N/A</v>
      </c>
      <c r="AH333" t="e">
        <f>VLOOKUP($AC333,'oddspedia-matches'!$A:$AD,AH$2,0)</f>
        <v>#N/A</v>
      </c>
      <c r="AI333" t="e">
        <f>VLOOKUP($AC333,'oddspedia-matches'!$A:$AD,AI$2,0)</f>
        <v>#N/A</v>
      </c>
      <c r="AJ333" t="e">
        <f>VLOOKUP($AC333,'oddspedia-matches'!$A:$AD,AJ$2,0)</f>
        <v>#N/A</v>
      </c>
      <c r="AK333" t="e">
        <f>VLOOKUP($AC333,'oddspedia-matches'!$A:$AD,AK$2,0)</f>
        <v>#N/A</v>
      </c>
      <c r="AL333" t="e">
        <f>VLOOKUP($AC333,'oddspedia-matches'!$A:$AD,AL$2,0)</f>
        <v>#N/A</v>
      </c>
      <c r="AM333" t="e">
        <f>VLOOKUP($AC333,'oddspedia-matches'!$A:$AD,AM$2,0)</f>
        <v>#N/A</v>
      </c>
      <c r="AN333" t="e">
        <f>VLOOKUP($AC333,'oddspedia-matches'!$A:$AD,AN$2,0)</f>
        <v>#N/A</v>
      </c>
      <c r="AO333" t="e">
        <f>VLOOKUP($AC333,'oddspedia-matches'!$A:$AD,AO$2,0)</f>
        <v>#N/A</v>
      </c>
      <c r="AP333" t="e">
        <f>VLOOKUP($AC333,'oddspedia-matches'!$A:$AD,AP$2,0)</f>
        <v>#N/A</v>
      </c>
      <c r="AQ333" t="e">
        <f>VLOOKUP($AC333,'oddspedia-matches'!$A:$AD,AQ$2,0)</f>
        <v>#N/A</v>
      </c>
      <c r="AR333" t="e">
        <f>VLOOKUP($AC333,'oddspedia-matches'!$A:$AD,AR$2,0)</f>
        <v>#N/A</v>
      </c>
      <c r="AS333" t="e">
        <f>VLOOKUP($AC333,'oddspedia-matches'!$A:$AD,AS$2,0)</f>
        <v>#N/A</v>
      </c>
      <c r="AT333" t="e">
        <f>VLOOKUP($AC333,'oddspedia-matches'!$A:$AD,AT$2,0)</f>
        <v>#N/A</v>
      </c>
    </row>
    <row r="334" spans="2:46" x14ac:dyDescent="0.25">
      <c r="B334" t="s">
        <v>491</v>
      </c>
      <c r="C334" t="s">
        <v>948</v>
      </c>
      <c r="D334" s="25">
        <v>0.3125</v>
      </c>
      <c r="E334" t="s">
        <v>970</v>
      </c>
      <c r="F334" t="s">
        <v>971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>
        <v>66.7</v>
      </c>
      <c r="Y334">
        <v>14.3</v>
      </c>
      <c r="AA334" t="str">
        <f>VLOOKUP(E334,'Transform table'!A:B,2,0)</f>
        <v>Gil Vicente</v>
      </c>
      <c r="AB334" t="e">
        <f>VLOOKUP(F334,'Transform table'!A:B,2,0)</f>
        <v>#N/A</v>
      </c>
      <c r="AC334" t="e">
        <f t="shared" si="5"/>
        <v>#N/A</v>
      </c>
      <c r="AD334" t="e">
        <f>VLOOKUP($AC334,'oddspedia-matches'!$A:$AD,AD$2,0)</f>
        <v>#N/A</v>
      </c>
      <c r="AE334" t="e">
        <f>VLOOKUP($AC334,'oddspedia-matches'!$A:$AD,AE$2,0)</f>
        <v>#N/A</v>
      </c>
      <c r="AF334" t="e">
        <f>VLOOKUP($AC334,'oddspedia-matches'!$A:$AD,AF$2,0)</f>
        <v>#N/A</v>
      </c>
      <c r="AG334" t="e">
        <f>VLOOKUP($AC334,'oddspedia-matches'!$A:$AD,AG$2,0)</f>
        <v>#N/A</v>
      </c>
      <c r="AH334" t="e">
        <f>VLOOKUP($AC334,'oddspedia-matches'!$A:$AD,AH$2,0)</f>
        <v>#N/A</v>
      </c>
      <c r="AI334" t="e">
        <f>VLOOKUP($AC334,'oddspedia-matches'!$A:$AD,AI$2,0)</f>
        <v>#N/A</v>
      </c>
      <c r="AJ334" t="e">
        <f>VLOOKUP($AC334,'oddspedia-matches'!$A:$AD,AJ$2,0)</f>
        <v>#N/A</v>
      </c>
      <c r="AK334" t="e">
        <f>VLOOKUP($AC334,'oddspedia-matches'!$A:$AD,AK$2,0)</f>
        <v>#N/A</v>
      </c>
      <c r="AL334" t="e">
        <f>VLOOKUP($AC334,'oddspedia-matches'!$A:$AD,AL$2,0)</f>
        <v>#N/A</v>
      </c>
      <c r="AM334" t="e">
        <f>VLOOKUP($AC334,'oddspedia-matches'!$A:$AD,AM$2,0)</f>
        <v>#N/A</v>
      </c>
      <c r="AN334" t="e">
        <f>VLOOKUP($AC334,'oddspedia-matches'!$A:$AD,AN$2,0)</f>
        <v>#N/A</v>
      </c>
      <c r="AO334" t="e">
        <f>VLOOKUP($AC334,'oddspedia-matches'!$A:$AD,AO$2,0)</f>
        <v>#N/A</v>
      </c>
      <c r="AP334" t="e">
        <f>VLOOKUP($AC334,'oddspedia-matches'!$A:$AD,AP$2,0)</f>
        <v>#N/A</v>
      </c>
      <c r="AQ334" t="e">
        <f>VLOOKUP($AC334,'oddspedia-matches'!$A:$AD,AQ$2,0)</f>
        <v>#N/A</v>
      </c>
      <c r="AR334" t="e">
        <f>VLOOKUP($AC334,'oddspedia-matches'!$A:$AD,AR$2,0)</f>
        <v>#N/A</v>
      </c>
      <c r="AS334" t="e">
        <f>VLOOKUP($AC334,'oddspedia-matches'!$A:$AD,AS$2,0)</f>
        <v>#N/A</v>
      </c>
      <c r="AT334" t="e">
        <f>VLOOKUP($AC334,'oddspedia-matches'!$A:$AD,AT$2,0)</f>
        <v>#N/A</v>
      </c>
    </row>
    <row r="335" spans="2:46" x14ac:dyDescent="0.25">
      <c r="B335" t="s">
        <v>491</v>
      </c>
      <c r="C335" t="s">
        <v>948</v>
      </c>
      <c r="D335" s="25">
        <v>0.3125</v>
      </c>
      <c r="E335" t="s">
        <v>972</v>
      </c>
      <c r="F335" t="s">
        <v>973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>
        <v>0</v>
      </c>
      <c r="Y335">
        <v>16.7</v>
      </c>
      <c r="AA335">
        <f>VLOOKUP(E335,'Transform table'!A:B,2,0)</f>
        <v>0</v>
      </c>
      <c r="AB335" t="e">
        <f>VLOOKUP(F335,'Transform table'!A:B,2,0)</f>
        <v>#N/A</v>
      </c>
      <c r="AC335" t="e">
        <f t="shared" si="5"/>
        <v>#N/A</v>
      </c>
      <c r="AD335" t="e">
        <f>VLOOKUP($AC335,'oddspedia-matches'!$A:$AD,AD$2,0)</f>
        <v>#N/A</v>
      </c>
      <c r="AE335" t="e">
        <f>VLOOKUP($AC335,'oddspedia-matches'!$A:$AD,AE$2,0)</f>
        <v>#N/A</v>
      </c>
      <c r="AF335" t="e">
        <f>VLOOKUP($AC335,'oddspedia-matches'!$A:$AD,AF$2,0)</f>
        <v>#N/A</v>
      </c>
      <c r="AG335" t="e">
        <f>VLOOKUP($AC335,'oddspedia-matches'!$A:$AD,AG$2,0)</f>
        <v>#N/A</v>
      </c>
      <c r="AH335" t="e">
        <f>VLOOKUP($AC335,'oddspedia-matches'!$A:$AD,AH$2,0)</f>
        <v>#N/A</v>
      </c>
      <c r="AI335" t="e">
        <f>VLOOKUP($AC335,'oddspedia-matches'!$A:$AD,AI$2,0)</f>
        <v>#N/A</v>
      </c>
      <c r="AJ335" t="e">
        <f>VLOOKUP($AC335,'oddspedia-matches'!$A:$AD,AJ$2,0)</f>
        <v>#N/A</v>
      </c>
      <c r="AK335" t="e">
        <f>VLOOKUP($AC335,'oddspedia-matches'!$A:$AD,AK$2,0)</f>
        <v>#N/A</v>
      </c>
      <c r="AL335" t="e">
        <f>VLOOKUP($AC335,'oddspedia-matches'!$A:$AD,AL$2,0)</f>
        <v>#N/A</v>
      </c>
      <c r="AM335" t="e">
        <f>VLOOKUP($AC335,'oddspedia-matches'!$A:$AD,AM$2,0)</f>
        <v>#N/A</v>
      </c>
      <c r="AN335" t="e">
        <f>VLOOKUP($AC335,'oddspedia-matches'!$A:$AD,AN$2,0)</f>
        <v>#N/A</v>
      </c>
      <c r="AO335" t="e">
        <f>VLOOKUP($AC335,'oddspedia-matches'!$A:$AD,AO$2,0)</f>
        <v>#N/A</v>
      </c>
      <c r="AP335" t="e">
        <f>VLOOKUP($AC335,'oddspedia-matches'!$A:$AD,AP$2,0)</f>
        <v>#N/A</v>
      </c>
      <c r="AQ335" t="e">
        <f>VLOOKUP($AC335,'oddspedia-matches'!$A:$AD,AQ$2,0)</f>
        <v>#N/A</v>
      </c>
      <c r="AR335" t="e">
        <f>VLOOKUP($AC335,'oddspedia-matches'!$A:$AD,AR$2,0)</f>
        <v>#N/A</v>
      </c>
      <c r="AS335" t="e">
        <f>VLOOKUP($AC335,'oddspedia-matches'!$A:$AD,AS$2,0)</f>
        <v>#N/A</v>
      </c>
      <c r="AT335" t="e">
        <f>VLOOKUP($AC335,'oddspedia-matches'!$A:$AD,AT$2,0)</f>
        <v>#N/A</v>
      </c>
    </row>
    <row r="336" spans="2:46" x14ac:dyDescent="0.25">
      <c r="B336" t="s">
        <v>561</v>
      </c>
      <c r="C336" t="s">
        <v>948</v>
      </c>
      <c r="D336" s="25">
        <v>0.33333333333333331</v>
      </c>
      <c r="E336" t="s">
        <v>416</v>
      </c>
      <c r="F336" t="s">
        <v>974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">
        <v>22</v>
      </c>
      <c r="Y336" t="s">
        <v>22</v>
      </c>
      <c r="AA336" t="str">
        <f>VLOOKUP(E336,'Transform table'!A:B,2,0)</f>
        <v>Yunnan Yukun</v>
      </c>
      <c r="AB336" t="e">
        <f>VLOOKUP(F336,'Transform table'!A:B,2,0)</f>
        <v>#N/A</v>
      </c>
      <c r="AC336" t="e">
        <f t="shared" si="5"/>
        <v>#N/A</v>
      </c>
      <c r="AD336" t="e">
        <f>VLOOKUP($AC336,'oddspedia-matches'!$A:$AD,AD$2,0)</f>
        <v>#N/A</v>
      </c>
      <c r="AE336" t="e">
        <f>VLOOKUP($AC336,'oddspedia-matches'!$A:$AD,AE$2,0)</f>
        <v>#N/A</v>
      </c>
      <c r="AF336" t="e">
        <f>VLOOKUP($AC336,'oddspedia-matches'!$A:$AD,AF$2,0)</f>
        <v>#N/A</v>
      </c>
      <c r="AG336" t="e">
        <f>VLOOKUP($AC336,'oddspedia-matches'!$A:$AD,AG$2,0)</f>
        <v>#N/A</v>
      </c>
      <c r="AH336" t="e">
        <f>VLOOKUP($AC336,'oddspedia-matches'!$A:$AD,AH$2,0)</f>
        <v>#N/A</v>
      </c>
      <c r="AI336" t="e">
        <f>VLOOKUP($AC336,'oddspedia-matches'!$A:$AD,AI$2,0)</f>
        <v>#N/A</v>
      </c>
      <c r="AJ336" t="e">
        <f>VLOOKUP($AC336,'oddspedia-matches'!$A:$AD,AJ$2,0)</f>
        <v>#N/A</v>
      </c>
      <c r="AK336" t="e">
        <f>VLOOKUP($AC336,'oddspedia-matches'!$A:$AD,AK$2,0)</f>
        <v>#N/A</v>
      </c>
      <c r="AL336" t="e">
        <f>VLOOKUP($AC336,'oddspedia-matches'!$A:$AD,AL$2,0)</f>
        <v>#N/A</v>
      </c>
      <c r="AM336" t="e">
        <f>VLOOKUP($AC336,'oddspedia-matches'!$A:$AD,AM$2,0)</f>
        <v>#N/A</v>
      </c>
      <c r="AN336" t="e">
        <f>VLOOKUP($AC336,'oddspedia-matches'!$A:$AD,AN$2,0)</f>
        <v>#N/A</v>
      </c>
      <c r="AO336" t="e">
        <f>VLOOKUP($AC336,'oddspedia-matches'!$A:$AD,AO$2,0)</f>
        <v>#N/A</v>
      </c>
      <c r="AP336" t="e">
        <f>VLOOKUP($AC336,'oddspedia-matches'!$A:$AD,AP$2,0)</f>
        <v>#N/A</v>
      </c>
      <c r="AQ336" t="e">
        <f>VLOOKUP($AC336,'oddspedia-matches'!$A:$AD,AQ$2,0)</f>
        <v>#N/A</v>
      </c>
      <c r="AR336" t="e">
        <f>VLOOKUP($AC336,'oddspedia-matches'!$A:$AD,AR$2,0)</f>
        <v>#N/A</v>
      </c>
      <c r="AS336" t="e">
        <f>VLOOKUP($AC336,'oddspedia-matches'!$A:$AD,AS$2,0)</f>
        <v>#N/A</v>
      </c>
      <c r="AT336" t="e">
        <f>VLOOKUP($AC336,'oddspedia-matches'!$A:$AD,AT$2,0)</f>
        <v>#N/A</v>
      </c>
    </row>
    <row r="337" spans="2:46" x14ac:dyDescent="0.25">
      <c r="B337" t="s">
        <v>576</v>
      </c>
      <c r="C337" t="s">
        <v>948</v>
      </c>
      <c r="D337" s="25">
        <v>0.33333333333333331</v>
      </c>
      <c r="E337" t="s">
        <v>975</v>
      </c>
      <c r="F337" t="s">
        <v>976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>
        <v>42.9</v>
      </c>
      <c r="Y337">
        <v>0</v>
      </c>
      <c r="AA337">
        <f>VLOOKUP(E337,'Transform table'!A:B,2,0)</f>
        <v>0</v>
      </c>
      <c r="AB337" t="e">
        <f>VLOOKUP(F337,'Transform table'!A:B,2,0)</f>
        <v>#N/A</v>
      </c>
      <c r="AC337" t="e">
        <f t="shared" si="5"/>
        <v>#N/A</v>
      </c>
      <c r="AD337" t="e">
        <f>VLOOKUP($AC337,'oddspedia-matches'!$A:$AD,AD$2,0)</f>
        <v>#N/A</v>
      </c>
      <c r="AE337" t="e">
        <f>VLOOKUP($AC337,'oddspedia-matches'!$A:$AD,AE$2,0)</f>
        <v>#N/A</v>
      </c>
      <c r="AF337" t="e">
        <f>VLOOKUP($AC337,'oddspedia-matches'!$A:$AD,AF$2,0)</f>
        <v>#N/A</v>
      </c>
      <c r="AG337" t="e">
        <f>VLOOKUP($AC337,'oddspedia-matches'!$A:$AD,AG$2,0)</f>
        <v>#N/A</v>
      </c>
      <c r="AH337" t="e">
        <f>VLOOKUP($AC337,'oddspedia-matches'!$A:$AD,AH$2,0)</f>
        <v>#N/A</v>
      </c>
      <c r="AI337" t="e">
        <f>VLOOKUP($AC337,'oddspedia-matches'!$A:$AD,AI$2,0)</f>
        <v>#N/A</v>
      </c>
      <c r="AJ337" t="e">
        <f>VLOOKUP($AC337,'oddspedia-matches'!$A:$AD,AJ$2,0)</f>
        <v>#N/A</v>
      </c>
      <c r="AK337" t="e">
        <f>VLOOKUP($AC337,'oddspedia-matches'!$A:$AD,AK$2,0)</f>
        <v>#N/A</v>
      </c>
      <c r="AL337" t="e">
        <f>VLOOKUP($AC337,'oddspedia-matches'!$A:$AD,AL$2,0)</f>
        <v>#N/A</v>
      </c>
      <c r="AM337" t="e">
        <f>VLOOKUP($AC337,'oddspedia-matches'!$A:$AD,AM$2,0)</f>
        <v>#N/A</v>
      </c>
      <c r="AN337" t="e">
        <f>VLOOKUP($AC337,'oddspedia-matches'!$A:$AD,AN$2,0)</f>
        <v>#N/A</v>
      </c>
      <c r="AO337" t="e">
        <f>VLOOKUP($AC337,'oddspedia-matches'!$A:$AD,AO$2,0)</f>
        <v>#N/A</v>
      </c>
      <c r="AP337" t="e">
        <f>VLOOKUP($AC337,'oddspedia-matches'!$A:$AD,AP$2,0)</f>
        <v>#N/A</v>
      </c>
      <c r="AQ337" t="e">
        <f>VLOOKUP($AC337,'oddspedia-matches'!$A:$AD,AQ$2,0)</f>
        <v>#N/A</v>
      </c>
      <c r="AR337" t="e">
        <f>VLOOKUP($AC337,'oddspedia-matches'!$A:$AD,AR$2,0)</f>
        <v>#N/A</v>
      </c>
      <c r="AS337" t="e">
        <f>VLOOKUP($AC337,'oddspedia-matches'!$A:$AD,AS$2,0)</f>
        <v>#N/A</v>
      </c>
      <c r="AT337" t="e">
        <f>VLOOKUP($AC337,'oddspedia-matches'!$A:$AD,AT$2,0)</f>
        <v>#N/A</v>
      </c>
    </row>
    <row r="338" spans="2:46" x14ac:dyDescent="0.25">
      <c r="B338" t="s">
        <v>469</v>
      </c>
      <c r="C338" t="s">
        <v>948</v>
      </c>
      <c r="D338" s="25">
        <v>0.33333333333333331</v>
      </c>
      <c r="E338" t="s">
        <v>262</v>
      </c>
      <c r="F338" t="s">
        <v>228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">
        <v>22</v>
      </c>
      <c r="Y338" t="s">
        <v>22</v>
      </c>
      <c r="AA338" t="str">
        <f>VLOOKUP(E338,'Transform table'!A:B,2,0)</f>
        <v>Sundsvall</v>
      </c>
      <c r="AB338" t="str">
        <f>VLOOKUP(F338,'Transform table'!A:B,2,0)</f>
        <v>Falkenberg</v>
      </c>
      <c r="AC338" t="str">
        <f t="shared" si="5"/>
        <v>26/07/2026SundsvallFalkenberg</v>
      </c>
      <c r="AD338" t="e">
        <f>VLOOKUP($AC338,'oddspedia-matches'!$A:$AD,AD$2,0)</f>
        <v>#N/A</v>
      </c>
      <c r="AE338" t="e">
        <f>VLOOKUP($AC338,'oddspedia-matches'!$A:$AD,AE$2,0)</f>
        <v>#N/A</v>
      </c>
      <c r="AF338" t="e">
        <f>VLOOKUP($AC338,'oddspedia-matches'!$A:$AD,AF$2,0)</f>
        <v>#N/A</v>
      </c>
      <c r="AG338" t="e">
        <f>VLOOKUP($AC338,'oddspedia-matches'!$A:$AD,AG$2,0)</f>
        <v>#N/A</v>
      </c>
      <c r="AH338" t="e">
        <f>VLOOKUP($AC338,'oddspedia-matches'!$A:$AD,AH$2,0)</f>
        <v>#N/A</v>
      </c>
      <c r="AI338" t="e">
        <f>VLOOKUP($AC338,'oddspedia-matches'!$A:$AD,AI$2,0)</f>
        <v>#N/A</v>
      </c>
      <c r="AJ338" t="e">
        <f>VLOOKUP($AC338,'oddspedia-matches'!$A:$AD,AJ$2,0)</f>
        <v>#N/A</v>
      </c>
      <c r="AK338" t="e">
        <f>VLOOKUP($AC338,'oddspedia-matches'!$A:$AD,AK$2,0)</f>
        <v>#N/A</v>
      </c>
      <c r="AL338" t="e">
        <f>VLOOKUP($AC338,'oddspedia-matches'!$A:$AD,AL$2,0)</f>
        <v>#N/A</v>
      </c>
      <c r="AM338" t="e">
        <f>VLOOKUP($AC338,'oddspedia-matches'!$A:$AD,AM$2,0)</f>
        <v>#N/A</v>
      </c>
      <c r="AN338" t="e">
        <f>VLOOKUP($AC338,'oddspedia-matches'!$A:$AD,AN$2,0)</f>
        <v>#N/A</v>
      </c>
      <c r="AO338" t="e">
        <f>VLOOKUP($AC338,'oddspedia-matches'!$A:$AD,AO$2,0)</f>
        <v>#N/A</v>
      </c>
      <c r="AP338" t="e">
        <f>VLOOKUP($AC338,'oddspedia-matches'!$A:$AD,AP$2,0)</f>
        <v>#N/A</v>
      </c>
      <c r="AQ338" t="e">
        <f>VLOOKUP($AC338,'oddspedia-matches'!$A:$AD,AQ$2,0)</f>
        <v>#N/A</v>
      </c>
      <c r="AR338" t="e">
        <f>VLOOKUP($AC338,'oddspedia-matches'!$A:$AD,AR$2,0)</f>
        <v>#N/A</v>
      </c>
      <c r="AS338" t="e">
        <f>VLOOKUP($AC338,'oddspedia-matches'!$A:$AD,AS$2,0)</f>
        <v>#N/A</v>
      </c>
      <c r="AT338" t="e">
        <f>VLOOKUP($AC338,'oddspedia-matches'!$A:$AD,AT$2,0)</f>
        <v>#N/A</v>
      </c>
    </row>
    <row r="339" spans="2:46" x14ac:dyDescent="0.25">
      <c r="B339" t="s">
        <v>576</v>
      </c>
      <c r="C339" t="s">
        <v>948</v>
      </c>
      <c r="D339" s="25">
        <v>0.35416666666666669</v>
      </c>
      <c r="E339" t="s">
        <v>977</v>
      </c>
      <c r="F339" t="s">
        <v>978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>
        <v>14.3</v>
      </c>
      <c r="Y339">
        <v>50</v>
      </c>
      <c r="AA339">
        <f>VLOOKUP(E339,'Transform table'!A:B,2,0)</f>
        <v>0</v>
      </c>
      <c r="AB339" t="e">
        <f>VLOOKUP(F339,'Transform table'!A:B,2,0)</f>
        <v>#N/A</v>
      </c>
      <c r="AC339" t="e">
        <f t="shared" si="5"/>
        <v>#N/A</v>
      </c>
      <c r="AD339" t="e">
        <f>VLOOKUP($AC339,'oddspedia-matches'!$A:$AD,AD$2,0)</f>
        <v>#N/A</v>
      </c>
      <c r="AE339" t="e">
        <f>VLOOKUP($AC339,'oddspedia-matches'!$A:$AD,AE$2,0)</f>
        <v>#N/A</v>
      </c>
      <c r="AF339" t="e">
        <f>VLOOKUP($AC339,'oddspedia-matches'!$A:$AD,AF$2,0)</f>
        <v>#N/A</v>
      </c>
      <c r="AG339" t="e">
        <f>VLOOKUP($AC339,'oddspedia-matches'!$A:$AD,AG$2,0)</f>
        <v>#N/A</v>
      </c>
      <c r="AH339" t="e">
        <f>VLOOKUP($AC339,'oddspedia-matches'!$A:$AD,AH$2,0)</f>
        <v>#N/A</v>
      </c>
      <c r="AI339" t="e">
        <f>VLOOKUP($AC339,'oddspedia-matches'!$A:$AD,AI$2,0)</f>
        <v>#N/A</v>
      </c>
      <c r="AJ339" t="e">
        <f>VLOOKUP($AC339,'oddspedia-matches'!$A:$AD,AJ$2,0)</f>
        <v>#N/A</v>
      </c>
      <c r="AK339" t="e">
        <f>VLOOKUP($AC339,'oddspedia-matches'!$A:$AD,AK$2,0)</f>
        <v>#N/A</v>
      </c>
      <c r="AL339" t="e">
        <f>VLOOKUP($AC339,'oddspedia-matches'!$A:$AD,AL$2,0)</f>
        <v>#N/A</v>
      </c>
      <c r="AM339" t="e">
        <f>VLOOKUP($AC339,'oddspedia-matches'!$A:$AD,AM$2,0)</f>
        <v>#N/A</v>
      </c>
      <c r="AN339" t="e">
        <f>VLOOKUP($AC339,'oddspedia-matches'!$A:$AD,AN$2,0)</f>
        <v>#N/A</v>
      </c>
      <c r="AO339" t="e">
        <f>VLOOKUP($AC339,'oddspedia-matches'!$A:$AD,AO$2,0)</f>
        <v>#N/A</v>
      </c>
      <c r="AP339" t="e">
        <f>VLOOKUP($AC339,'oddspedia-matches'!$A:$AD,AP$2,0)</f>
        <v>#N/A</v>
      </c>
      <c r="AQ339" t="e">
        <f>VLOOKUP($AC339,'oddspedia-matches'!$A:$AD,AQ$2,0)</f>
        <v>#N/A</v>
      </c>
      <c r="AR339" t="e">
        <f>VLOOKUP($AC339,'oddspedia-matches'!$A:$AD,AR$2,0)</f>
        <v>#N/A</v>
      </c>
      <c r="AS339" t="e">
        <f>VLOOKUP($AC339,'oddspedia-matches'!$A:$AD,AS$2,0)</f>
        <v>#N/A</v>
      </c>
      <c r="AT339" t="e">
        <f>VLOOKUP($AC339,'oddspedia-matches'!$A:$AD,AT$2,0)</f>
        <v>#N/A</v>
      </c>
    </row>
    <row r="340" spans="2:46" x14ac:dyDescent="0.25">
      <c r="B340" t="s">
        <v>564</v>
      </c>
      <c r="C340" t="s">
        <v>948</v>
      </c>
      <c r="D340" s="25">
        <v>0.35416666666666669</v>
      </c>
      <c r="E340" t="s">
        <v>979</v>
      </c>
      <c r="F340" t="s">
        <v>980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>
        <v>25</v>
      </c>
      <c r="Y340">
        <v>11.1</v>
      </c>
      <c r="AA340">
        <f>VLOOKUP(E340,'Transform table'!A:B,2,0)</f>
        <v>0</v>
      </c>
      <c r="AB340" t="e">
        <f>VLOOKUP(F340,'Transform table'!A:B,2,0)</f>
        <v>#N/A</v>
      </c>
      <c r="AC340" t="e">
        <f t="shared" si="5"/>
        <v>#N/A</v>
      </c>
      <c r="AD340" t="e">
        <f>VLOOKUP($AC340,'oddspedia-matches'!$A:$AD,AD$2,0)</f>
        <v>#N/A</v>
      </c>
      <c r="AE340" t="e">
        <f>VLOOKUP($AC340,'oddspedia-matches'!$A:$AD,AE$2,0)</f>
        <v>#N/A</v>
      </c>
      <c r="AF340" t="e">
        <f>VLOOKUP($AC340,'oddspedia-matches'!$A:$AD,AF$2,0)</f>
        <v>#N/A</v>
      </c>
      <c r="AG340" t="e">
        <f>VLOOKUP($AC340,'oddspedia-matches'!$A:$AD,AG$2,0)</f>
        <v>#N/A</v>
      </c>
      <c r="AH340" t="e">
        <f>VLOOKUP($AC340,'oddspedia-matches'!$A:$AD,AH$2,0)</f>
        <v>#N/A</v>
      </c>
      <c r="AI340" t="e">
        <f>VLOOKUP($AC340,'oddspedia-matches'!$A:$AD,AI$2,0)</f>
        <v>#N/A</v>
      </c>
      <c r="AJ340" t="e">
        <f>VLOOKUP($AC340,'oddspedia-matches'!$A:$AD,AJ$2,0)</f>
        <v>#N/A</v>
      </c>
      <c r="AK340" t="e">
        <f>VLOOKUP($AC340,'oddspedia-matches'!$A:$AD,AK$2,0)</f>
        <v>#N/A</v>
      </c>
      <c r="AL340" t="e">
        <f>VLOOKUP($AC340,'oddspedia-matches'!$A:$AD,AL$2,0)</f>
        <v>#N/A</v>
      </c>
      <c r="AM340" t="e">
        <f>VLOOKUP($AC340,'oddspedia-matches'!$A:$AD,AM$2,0)</f>
        <v>#N/A</v>
      </c>
      <c r="AN340" t="e">
        <f>VLOOKUP($AC340,'oddspedia-matches'!$A:$AD,AN$2,0)</f>
        <v>#N/A</v>
      </c>
      <c r="AO340" t="e">
        <f>VLOOKUP($AC340,'oddspedia-matches'!$A:$AD,AO$2,0)</f>
        <v>#N/A</v>
      </c>
      <c r="AP340" t="e">
        <f>VLOOKUP($AC340,'oddspedia-matches'!$A:$AD,AP$2,0)</f>
        <v>#N/A</v>
      </c>
      <c r="AQ340" t="e">
        <f>VLOOKUP($AC340,'oddspedia-matches'!$A:$AD,AQ$2,0)</f>
        <v>#N/A</v>
      </c>
      <c r="AR340" t="e">
        <f>VLOOKUP($AC340,'oddspedia-matches'!$A:$AD,AR$2,0)</f>
        <v>#N/A</v>
      </c>
      <c r="AS340" t="e">
        <f>VLOOKUP($AC340,'oddspedia-matches'!$A:$AD,AS$2,0)</f>
        <v>#N/A</v>
      </c>
      <c r="AT340" t="e">
        <f>VLOOKUP($AC340,'oddspedia-matches'!$A:$AD,AT$2,0)</f>
        <v>#N/A</v>
      </c>
    </row>
    <row r="341" spans="2:46" x14ac:dyDescent="0.25">
      <c r="B341" t="s">
        <v>564</v>
      </c>
      <c r="C341" t="s">
        <v>948</v>
      </c>
      <c r="D341" s="25">
        <v>0.35416666666666669</v>
      </c>
      <c r="E341" t="s">
        <v>981</v>
      </c>
      <c r="F341" t="s">
        <v>982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t="s">
        <v>22</v>
      </c>
      <c r="Y341" t="s">
        <v>22</v>
      </c>
      <c r="AA341">
        <f>VLOOKUP(E341,'Transform table'!A:B,2,0)</f>
        <v>0</v>
      </c>
      <c r="AB341" t="e">
        <f>VLOOKUP(F341,'Transform table'!A:B,2,0)</f>
        <v>#N/A</v>
      </c>
      <c r="AC341" t="e">
        <f t="shared" si="5"/>
        <v>#N/A</v>
      </c>
      <c r="AD341" t="e">
        <f>VLOOKUP($AC341,'oddspedia-matches'!$A:$AD,AD$2,0)</f>
        <v>#N/A</v>
      </c>
      <c r="AE341" t="e">
        <f>VLOOKUP($AC341,'oddspedia-matches'!$A:$AD,AE$2,0)</f>
        <v>#N/A</v>
      </c>
      <c r="AF341" t="e">
        <f>VLOOKUP($AC341,'oddspedia-matches'!$A:$AD,AF$2,0)</f>
        <v>#N/A</v>
      </c>
      <c r="AG341" t="e">
        <f>VLOOKUP($AC341,'oddspedia-matches'!$A:$AD,AG$2,0)</f>
        <v>#N/A</v>
      </c>
      <c r="AH341" t="e">
        <f>VLOOKUP($AC341,'oddspedia-matches'!$A:$AD,AH$2,0)</f>
        <v>#N/A</v>
      </c>
      <c r="AI341" t="e">
        <f>VLOOKUP($AC341,'oddspedia-matches'!$A:$AD,AI$2,0)</f>
        <v>#N/A</v>
      </c>
      <c r="AJ341" t="e">
        <f>VLOOKUP($AC341,'oddspedia-matches'!$A:$AD,AJ$2,0)</f>
        <v>#N/A</v>
      </c>
      <c r="AK341" t="e">
        <f>VLOOKUP($AC341,'oddspedia-matches'!$A:$AD,AK$2,0)</f>
        <v>#N/A</v>
      </c>
      <c r="AL341" t="e">
        <f>VLOOKUP($AC341,'oddspedia-matches'!$A:$AD,AL$2,0)</f>
        <v>#N/A</v>
      </c>
      <c r="AM341" t="e">
        <f>VLOOKUP($AC341,'oddspedia-matches'!$A:$AD,AM$2,0)</f>
        <v>#N/A</v>
      </c>
      <c r="AN341" t="e">
        <f>VLOOKUP($AC341,'oddspedia-matches'!$A:$AD,AN$2,0)</f>
        <v>#N/A</v>
      </c>
      <c r="AO341" t="e">
        <f>VLOOKUP($AC341,'oddspedia-matches'!$A:$AD,AO$2,0)</f>
        <v>#N/A</v>
      </c>
      <c r="AP341" t="e">
        <f>VLOOKUP($AC341,'oddspedia-matches'!$A:$AD,AP$2,0)</f>
        <v>#N/A</v>
      </c>
      <c r="AQ341" t="e">
        <f>VLOOKUP($AC341,'oddspedia-matches'!$A:$AD,AQ$2,0)</f>
        <v>#N/A</v>
      </c>
      <c r="AR341" t="e">
        <f>VLOOKUP($AC341,'oddspedia-matches'!$A:$AD,AR$2,0)</f>
        <v>#N/A</v>
      </c>
      <c r="AS341" t="e">
        <f>VLOOKUP($AC341,'oddspedia-matches'!$A:$AD,AS$2,0)</f>
        <v>#N/A</v>
      </c>
      <c r="AT341" t="e">
        <f>VLOOKUP($AC341,'oddspedia-matches'!$A:$AD,AT$2,0)</f>
        <v>#N/A</v>
      </c>
    </row>
    <row r="342" spans="2:46" x14ac:dyDescent="0.25">
      <c r="B342" t="s">
        <v>983</v>
      </c>
      <c r="C342" t="s">
        <v>948</v>
      </c>
      <c r="D342" s="25">
        <v>0.35416666666666669</v>
      </c>
      <c r="E342" t="s">
        <v>984</v>
      </c>
      <c r="F342" t="s">
        <v>985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s">
        <v>22</v>
      </c>
      <c r="Y342" t="s">
        <v>22</v>
      </c>
      <c r="AA342" t="str">
        <f>VLOOKUP(E342,'Transform table'!A:B,2,0)</f>
        <v>Gazovik Orenburg</v>
      </c>
      <c r="AB342" t="e">
        <f>VLOOKUP(F342,'Transform table'!A:B,2,0)</f>
        <v>#N/A</v>
      </c>
      <c r="AC342" t="e">
        <f t="shared" si="5"/>
        <v>#N/A</v>
      </c>
      <c r="AD342" t="e">
        <f>VLOOKUP($AC342,'oddspedia-matches'!$A:$AD,AD$2,0)</f>
        <v>#N/A</v>
      </c>
      <c r="AE342" t="e">
        <f>VLOOKUP($AC342,'oddspedia-matches'!$A:$AD,AE$2,0)</f>
        <v>#N/A</v>
      </c>
      <c r="AF342" t="e">
        <f>VLOOKUP($AC342,'oddspedia-matches'!$A:$AD,AF$2,0)</f>
        <v>#N/A</v>
      </c>
      <c r="AG342" t="e">
        <f>VLOOKUP($AC342,'oddspedia-matches'!$A:$AD,AG$2,0)</f>
        <v>#N/A</v>
      </c>
      <c r="AH342" t="e">
        <f>VLOOKUP($AC342,'oddspedia-matches'!$A:$AD,AH$2,0)</f>
        <v>#N/A</v>
      </c>
      <c r="AI342" t="e">
        <f>VLOOKUP($AC342,'oddspedia-matches'!$A:$AD,AI$2,0)</f>
        <v>#N/A</v>
      </c>
      <c r="AJ342" t="e">
        <f>VLOOKUP($AC342,'oddspedia-matches'!$A:$AD,AJ$2,0)</f>
        <v>#N/A</v>
      </c>
      <c r="AK342" t="e">
        <f>VLOOKUP($AC342,'oddspedia-matches'!$A:$AD,AK$2,0)</f>
        <v>#N/A</v>
      </c>
      <c r="AL342" t="e">
        <f>VLOOKUP($AC342,'oddspedia-matches'!$A:$AD,AL$2,0)</f>
        <v>#N/A</v>
      </c>
      <c r="AM342" t="e">
        <f>VLOOKUP($AC342,'oddspedia-matches'!$A:$AD,AM$2,0)</f>
        <v>#N/A</v>
      </c>
      <c r="AN342" t="e">
        <f>VLOOKUP($AC342,'oddspedia-matches'!$A:$AD,AN$2,0)</f>
        <v>#N/A</v>
      </c>
      <c r="AO342" t="e">
        <f>VLOOKUP($AC342,'oddspedia-matches'!$A:$AD,AO$2,0)</f>
        <v>#N/A</v>
      </c>
      <c r="AP342" t="e">
        <f>VLOOKUP($AC342,'oddspedia-matches'!$A:$AD,AP$2,0)</f>
        <v>#N/A</v>
      </c>
      <c r="AQ342" t="e">
        <f>VLOOKUP($AC342,'oddspedia-matches'!$A:$AD,AQ$2,0)</f>
        <v>#N/A</v>
      </c>
      <c r="AR342" t="e">
        <f>VLOOKUP($AC342,'oddspedia-matches'!$A:$AD,AR$2,0)</f>
        <v>#N/A</v>
      </c>
      <c r="AS342" t="e">
        <f>VLOOKUP($AC342,'oddspedia-matches'!$A:$AD,AS$2,0)</f>
        <v>#N/A</v>
      </c>
      <c r="AT342" t="e">
        <f>VLOOKUP($AC342,'oddspedia-matches'!$A:$AD,AT$2,0)</f>
        <v>#N/A</v>
      </c>
    </row>
    <row r="343" spans="2:46" x14ac:dyDescent="0.25">
      <c r="B343" t="s">
        <v>561</v>
      </c>
      <c r="C343" t="s">
        <v>948</v>
      </c>
      <c r="D343" s="25">
        <v>0.3576388888888889</v>
      </c>
      <c r="E343" t="s">
        <v>986</v>
      </c>
      <c r="F343" t="s">
        <v>987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>
        <v>22.2</v>
      </c>
      <c r="Y343">
        <v>0</v>
      </c>
      <c r="AA343" t="str">
        <f>VLOOKUP(E343,'Transform table'!A:B,2,0)</f>
        <v>Chengdu Qianbao</v>
      </c>
      <c r="AB343" t="e">
        <f>VLOOKUP(F343,'Transform table'!A:B,2,0)</f>
        <v>#N/A</v>
      </c>
      <c r="AC343" t="e">
        <f t="shared" si="5"/>
        <v>#N/A</v>
      </c>
      <c r="AD343" t="e">
        <f>VLOOKUP($AC343,'oddspedia-matches'!$A:$AD,AD$2,0)</f>
        <v>#N/A</v>
      </c>
      <c r="AE343" t="e">
        <f>VLOOKUP($AC343,'oddspedia-matches'!$A:$AD,AE$2,0)</f>
        <v>#N/A</v>
      </c>
      <c r="AF343" t="e">
        <f>VLOOKUP($AC343,'oddspedia-matches'!$A:$AD,AF$2,0)</f>
        <v>#N/A</v>
      </c>
      <c r="AG343" t="e">
        <f>VLOOKUP($AC343,'oddspedia-matches'!$A:$AD,AG$2,0)</f>
        <v>#N/A</v>
      </c>
      <c r="AH343" t="e">
        <f>VLOOKUP($AC343,'oddspedia-matches'!$A:$AD,AH$2,0)</f>
        <v>#N/A</v>
      </c>
      <c r="AI343" t="e">
        <f>VLOOKUP($AC343,'oddspedia-matches'!$A:$AD,AI$2,0)</f>
        <v>#N/A</v>
      </c>
      <c r="AJ343" t="e">
        <f>VLOOKUP($AC343,'oddspedia-matches'!$A:$AD,AJ$2,0)</f>
        <v>#N/A</v>
      </c>
      <c r="AK343" t="e">
        <f>VLOOKUP($AC343,'oddspedia-matches'!$A:$AD,AK$2,0)</f>
        <v>#N/A</v>
      </c>
      <c r="AL343" t="e">
        <f>VLOOKUP($AC343,'oddspedia-matches'!$A:$AD,AL$2,0)</f>
        <v>#N/A</v>
      </c>
      <c r="AM343" t="e">
        <f>VLOOKUP($AC343,'oddspedia-matches'!$A:$AD,AM$2,0)</f>
        <v>#N/A</v>
      </c>
      <c r="AN343" t="e">
        <f>VLOOKUP($AC343,'oddspedia-matches'!$A:$AD,AN$2,0)</f>
        <v>#N/A</v>
      </c>
      <c r="AO343" t="e">
        <f>VLOOKUP($AC343,'oddspedia-matches'!$A:$AD,AO$2,0)</f>
        <v>#N/A</v>
      </c>
      <c r="AP343" t="e">
        <f>VLOOKUP($AC343,'oddspedia-matches'!$A:$AD,AP$2,0)</f>
        <v>#N/A</v>
      </c>
      <c r="AQ343" t="e">
        <f>VLOOKUP($AC343,'oddspedia-matches'!$A:$AD,AQ$2,0)</f>
        <v>#N/A</v>
      </c>
      <c r="AR343" t="e">
        <f>VLOOKUP($AC343,'oddspedia-matches'!$A:$AD,AR$2,0)</f>
        <v>#N/A</v>
      </c>
      <c r="AS343" t="e">
        <f>VLOOKUP($AC343,'oddspedia-matches'!$A:$AD,AS$2,0)</f>
        <v>#N/A</v>
      </c>
      <c r="AT343" t="e">
        <f>VLOOKUP($AC343,'oddspedia-matches'!$A:$AD,AT$2,0)</f>
        <v>#N/A</v>
      </c>
    </row>
    <row r="344" spans="2:46" x14ac:dyDescent="0.25">
      <c r="B344" t="s">
        <v>561</v>
      </c>
      <c r="C344" t="s">
        <v>948</v>
      </c>
      <c r="D344" s="25">
        <v>0.3576388888888889</v>
      </c>
      <c r="E344" t="s">
        <v>988</v>
      </c>
      <c r="F344" t="s">
        <v>989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>
        <v>33.299999999999997</v>
      </c>
      <c r="Y344">
        <v>11.1</v>
      </c>
      <c r="AA344" t="str">
        <f>VLOOKUP(E344,'Transform table'!A:B,2,0)</f>
        <v>Shandong Luneng Taishan</v>
      </c>
      <c r="AB344" t="e">
        <f>VLOOKUP(F344,'Transform table'!A:B,2,0)</f>
        <v>#N/A</v>
      </c>
      <c r="AC344" t="e">
        <f t="shared" si="5"/>
        <v>#N/A</v>
      </c>
      <c r="AD344" t="e">
        <f>VLOOKUP($AC344,'oddspedia-matches'!$A:$AD,AD$2,0)</f>
        <v>#N/A</v>
      </c>
      <c r="AE344" t="e">
        <f>VLOOKUP($AC344,'oddspedia-matches'!$A:$AD,AE$2,0)</f>
        <v>#N/A</v>
      </c>
      <c r="AF344" t="e">
        <f>VLOOKUP($AC344,'oddspedia-matches'!$A:$AD,AF$2,0)</f>
        <v>#N/A</v>
      </c>
      <c r="AG344" t="e">
        <f>VLOOKUP($AC344,'oddspedia-matches'!$A:$AD,AG$2,0)</f>
        <v>#N/A</v>
      </c>
      <c r="AH344" t="e">
        <f>VLOOKUP($AC344,'oddspedia-matches'!$A:$AD,AH$2,0)</f>
        <v>#N/A</v>
      </c>
      <c r="AI344" t="e">
        <f>VLOOKUP($AC344,'oddspedia-matches'!$A:$AD,AI$2,0)</f>
        <v>#N/A</v>
      </c>
      <c r="AJ344" t="e">
        <f>VLOOKUP($AC344,'oddspedia-matches'!$A:$AD,AJ$2,0)</f>
        <v>#N/A</v>
      </c>
      <c r="AK344" t="e">
        <f>VLOOKUP($AC344,'oddspedia-matches'!$A:$AD,AK$2,0)</f>
        <v>#N/A</v>
      </c>
      <c r="AL344" t="e">
        <f>VLOOKUP($AC344,'oddspedia-matches'!$A:$AD,AL$2,0)</f>
        <v>#N/A</v>
      </c>
      <c r="AM344" t="e">
        <f>VLOOKUP($AC344,'oddspedia-matches'!$A:$AD,AM$2,0)</f>
        <v>#N/A</v>
      </c>
      <c r="AN344" t="e">
        <f>VLOOKUP($AC344,'oddspedia-matches'!$A:$AD,AN$2,0)</f>
        <v>#N/A</v>
      </c>
      <c r="AO344" t="e">
        <f>VLOOKUP($AC344,'oddspedia-matches'!$A:$AD,AO$2,0)</f>
        <v>#N/A</v>
      </c>
      <c r="AP344" t="e">
        <f>VLOOKUP($AC344,'oddspedia-matches'!$A:$AD,AP$2,0)</f>
        <v>#N/A</v>
      </c>
      <c r="AQ344" t="e">
        <f>VLOOKUP($AC344,'oddspedia-matches'!$A:$AD,AQ$2,0)</f>
        <v>#N/A</v>
      </c>
      <c r="AR344" t="e">
        <f>VLOOKUP($AC344,'oddspedia-matches'!$A:$AD,AR$2,0)</f>
        <v>#N/A</v>
      </c>
      <c r="AS344" t="e">
        <f>VLOOKUP($AC344,'oddspedia-matches'!$A:$AD,AS$2,0)</f>
        <v>#N/A</v>
      </c>
      <c r="AT344" t="e">
        <f>VLOOKUP($AC344,'oddspedia-matches'!$A:$AD,AT$2,0)</f>
        <v>#N/A</v>
      </c>
    </row>
    <row r="345" spans="2:46" x14ac:dyDescent="0.25">
      <c r="B345" t="s">
        <v>990</v>
      </c>
      <c r="C345" t="s">
        <v>948</v>
      </c>
      <c r="D345" s="25">
        <v>0.375</v>
      </c>
      <c r="E345" t="s">
        <v>991</v>
      </c>
      <c r="F345" t="s">
        <v>992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t="s">
        <v>22</v>
      </c>
      <c r="Y345" t="s">
        <v>22</v>
      </c>
      <c r="AA345">
        <f>VLOOKUP(E345,'Transform table'!A:B,2,0)</f>
        <v>0</v>
      </c>
      <c r="AB345" t="e">
        <f>VLOOKUP(F345,'Transform table'!A:B,2,0)</f>
        <v>#N/A</v>
      </c>
      <c r="AC345" t="e">
        <f t="shared" si="5"/>
        <v>#N/A</v>
      </c>
      <c r="AD345" t="e">
        <f>VLOOKUP($AC345,'oddspedia-matches'!$A:$AD,AD$2,0)</f>
        <v>#N/A</v>
      </c>
      <c r="AE345" t="e">
        <f>VLOOKUP($AC345,'oddspedia-matches'!$A:$AD,AE$2,0)</f>
        <v>#N/A</v>
      </c>
      <c r="AF345" t="e">
        <f>VLOOKUP($AC345,'oddspedia-matches'!$A:$AD,AF$2,0)</f>
        <v>#N/A</v>
      </c>
      <c r="AG345" t="e">
        <f>VLOOKUP($AC345,'oddspedia-matches'!$A:$AD,AG$2,0)</f>
        <v>#N/A</v>
      </c>
      <c r="AH345" t="e">
        <f>VLOOKUP($AC345,'oddspedia-matches'!$A:$AD,AH$2,0)</f>
        <v>#N/A</v>
      </c>
      <c r="AI345" t="e">
        <f>VLOOKUP($AC345,'oddspedia-matches'!$A:$AD,AI$2,0)</f>
        <v>#N/A</v>
      </c>
      <c r="AJ345" t="e">
        <f>VLOOKUP($AC345,'oddspedia-matches'!$A:$AD,AJ$2,0)</f>
        <v>#N/A</v>
      </c>
      <c r="AK345" t="e">
        <f>VLOOKUP($AC345,'oddspedia-matches'!$A:$AD,AK$2,0)</f>
        <v>#N/A</v>
      </c>
      <c r="AL345" t="e">
        <f>VLOOKUP($AC345,'oddspedia-matches'!$A:$AD,AL$2,0)</f>
        <v>#N/A</v>
      </c>
      <c r="AM345" t="e">
        <f>VLOOKUP($AC345,'oddspedia-matches'!$A:$AD,AM$2,0)</f>
        <v>#N/A</v>
      </c>
      <c r="AN345" t="e">
        <f>VLOOKUP($AC345,'oddspedia-matches'!$A:$AD,AN$2,0)</f>
        <v>#N/A</v>
      </c>
      <c r="AO345" t="e">
        <f>VLOOKUP($AC345,'oddspedia-matches'!$A:$AD,AO$2,0)</f>
        <v>#N/A</v>
      </c>
      <c r="AP345" t="e">
        <f>VLOOKUP($AC345,'oddspedia-matches'!$A:$AD,AP$2,0)</f>
        <v>#N/A</v>
      </c>
      <c r="AQ345" t="e">
        <f>VLOOKUP($AC345,'oddspedia-matches'!$A:$AD,AQ$2,0)</f>
        <v>#N/A</v>
      </c>
      <c r="AR345" t="e">
        <f>VLOOKUP($AC345,'oddspedia-matches'!$A:$AD,AR$2,0)</f>
        <v>#N/A</v>
      </c>
      <c r="AS345" t="e">
        <f>VLOOKUP($AC345,'oddspedia-matches'!$A:$AD,AS$2,0)</f>
        <v>#N/A</v>
      </c>
      <c r="AT345" t="e">
        <f>VLOOKUP($AC345,'oddspedia-matches'!$A:$AD,AT$2,0)</f>
        <v>#N/A</v>
      </c>
    </row>
    <row r="346" spans="2:46" x14ac:dyDescent="0.25">
      <c r="B346" t="s">
        <v>990</v>
      </c>
      <c r="C346" t="s">
        <v>948</v>
      </c>
      <c r="D346" s="25">
        <v>0.375</v>
      </c>
      <c r="E346" t="s">
        <v>993</v>
      </c>
      <c r="F346" t="s">
        <v>994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">
        <v>22</v>
      </c>
      <c r="Y346" t="s">
        <v>22</v>
      </c>
      <c r="AA346" t="str">
        <f>VLOOKUP(E346,'Transform table'!A:B,2,0)</f>
        <v>Carlisle United</v>
      </c>
      <c r="AB346" t="e">
        <f>VLOOKUP(F346,'Transform table'!A:B,2,0)</f>
        <v>#N/A</v>
      </c>
      <c r="AC346" t="e">
        <f t="shared" si="5"/>
        <v>#N/A</v>
      </c>
      <c r="AD346" t="e">
        <f>VLOOKUP($AC346,'oddspedia-matches'!$A:$AD,AD$2,0)</f>
        <v>#N/A</v>
      </c>
      <c r="AE346" t="e">
        <f>VLOOKUP($AC346,'oddspedia-matches'!$A:$AD,AE$2,0)</f>
        <v>#N/A</v>
      </c>
      <c r="AF346" t="e">
        <f>VLOOKUP($AC346,'oddspedia-matches'!$A:$AD,AF$2,0)</f>
        <v>#N/A</v>
      </c>
      <c r="AG346" t="e">
        <f>VLOOKUP($AC346,'oddspedia-matches'!$A:$AD,AG$2,0)</f>
        <v>#N/A</v>
      </c>
      <c r="AH346" t="e">
        <f>VLOOKUP($AC346,'oddspedia-matches'!$A:$AD,AH$2,0)</f>
        <v>#N/A</v>
      </c>
      <c r="AI346" t="e">
        <f>VLOOKUP($AC346,'oddspedia-matches'!$A:$AD,AI$2,0)</f>
        <v>#N/A</v>
      </c>
      <c r="AJ346" t="e">
        <f>VLOOKUP($AC346,'oddspedia-matches'!$A:$AD,AJ$2,0)</f>
        <v>#N/A</v>
      </c>
      <c r="AK346" t="e">
        <f>VLOOKUP($AC346,'oddspedia-matches'!$A:$AD,AK$2,0)</f>
        <v>#N/A</v>
      </c>
      <c r="AL346" t="e">
        <f>VLOOKUP($AC346,'oddspedia-matches'!$A:$AD,AL$2,0)</f>
        <v>#N/A</v>
      </c>
      <c r="AM346" t="e">
        <f>VLOOKUP($AC346,'oddspedia-matches'!$A:$AD,AM$2,0)</f>
        <v>#N/A</v>
      </c>
      <c r="AN346" t="e">
        <f>VLOOKUP($AC346,'oddspedia-matches'!$A:$AD,AN$2,0)</f>
        <v>#N/A</v>
      </c>
      <c r="AO346" t="e">
        <f>VLOOKUP($AC346,'oddspedia-matches'!$A:$AD,AO$2,0)</f>
        <v>#N/A</v>
      </c>
      <c r="AP346" t="e">
        <f>VLOOKUP($AC346,'oddspedia-matches'!$A:$AD,AP$2,0)</f>
        <v>#N/A</v>
      </c>
      <c r="AQ346" t="e">
        <f>VLOOKUP($AC346,'oddspedia-matches'!$A:$AD,AQ$2,0)</f>
        <v>#N/A</v>
      </c>
      <c r="AR346" t="e">
        <f>VLOOKUP($AC346,'oddspedia-matches'!$A:$AD,AR$2,0)</f>
        <v>#N/A</v>
      </c>
      <c r="AS346" t="e">
        <f>VLOOKUP($AC346,'oddspedia-matches'!$A:$AD,AS$2,0)</f>
        <v>#N/A</v>
      </c>
      <c r="AT346" t="e">
        <f>VLOOKUP($AC346,'oddspedia-matches'!$A:$AD,AT$2,0)</f>
        <v>#N/A</v>
      </c>
    </row>
    <row r="347" spans="2:46" x14ac:dyDescent="0.25">
      <c r="B347" t="s">
        <v>990</v>
      </c>
      <c r="C347" t="s">
        <v>948</v>
      </c>
      <c r="D347" s="25">
        <v>0.375</v>
      </c>
      <c r="E347" t="s">
        <v>995</v>
      </c>
      <c r="F347" t="s">
        <v>996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t="s">
        <v>22</v>
      </c>
      <c r="Y347" t="s">
        <v>22</v>
      </c>
      <c r="AA347">
        <f>VLOOKUP(E347,'Transform table'!A:B,2,0)</f>
        <v>0</v>
      </c>
      <c r="AB347" t="e">
        <f>VLOOKUP(F347,'Transform table'!A:B,2,0)</f>
        <v>#N/A</v>
      </c>
      <c r="AC347" t="e">
        <f t="shared" si="5"/>
        <v>#N/A</v>
      </c>
      <c r="AD347" t="e">
        <f>VLOOKUP($AC347,'oddspedia-matches'!$A:$AD,AD$2,0)</f>
        <v>#N/A</v>
      </c>
      <c r="AE347" t="e">
        <f>VLOOKUP($AC347,'oddspedia-matches'!$A:$AD,AE$2,0)</f>
        <v>#N/A</v>
      </c>
      <c r="AF347" t="e">
        <f>VLOOKUP($AC347,'oddspedia-matches'!$A:$AD,AF$2,0)</f>
        <v>#N/A</v>
      </c>
      <c r="AG347" t="e">
        <f>VLOOKUP($AC347,'oddspedia-matches'!$A:$AD,AG$2,0)</f>
        <v>#N/A</v>
      </c>
      <c r="AH347" t="e">
        <f>VLOOKUP($AC347,'oddspedia-matches'!$A:$AD,AH$2,0)</f>
        <v>#N/A</v>
      </c>
      <c r="AI347" t="e">
        <f>VLOOKUP($AC347,'oddspedia-matches'!$A:$AD,AI$2,0)</f>
        <v>#N/A</v>
      </c>
      <c r="AJ347" t="e">
        <f>VLOOKUP($AC347,'oddspedia-matches'!$A:$AD,AJ$2,0)</f>
        <v>#N/A</v>
      </c>
      <c r="AK347" t="e">
        <f>VLOOKUP($AC347,'oddspedia-matches'!$A:$AD,AK$2,0)</f>
        <v>#N/A</v>
      </c>
      <c r="AL347" t="e">
        <f>VLOOKUP($AC347,'oddspedia-matches'!$A:$AD,AL$2,0)</f>
        <v>#N/A</v>
      </c>
      <c r="AM347" t="e">
        <f>VLOOKUP($AC347,'oddspedia-matches'!$A:$AD,AM$2,0)</f>
        <v>#N/A</v>
      </c>
      <c r="AN347" t="e">
        <f>VLOOKUP($AC347,'oddspedia-matches'!$A:$AD,AN$2,0)</f>
        <v>#N/A</v>
      </c>
      <c r="AO347" t="e">
        <f>VLOOKUP($AC347,'oddspedia-matches'!$A:$AD,AO$2,0)</f>
        <v>#N/A</v>
      </c>
      <c r="AP347" t="e">
        <f>VLOOKUP($AC347,'oddspedia-matches'!$A:$AD,AP$2,0)</f>
        <v>#N/A</v>
      </c>
      <c r="AQ347" t="e">
        <f>VLOOKUP($AC347,'oddspedia-matches'!$A:$AD,AQ$2,0)</f>
        <v>#N/A</v>
      </c>
      <c r="AR347" t="e">
        <f>VLOOKUP($AC347,'oddspedia-matches'!$A:$AD,AR$2,0)</f>
        <v>#N/A</v>
      </c>
      <c r="AS347" t="e">
        <f>VLOOKUP($AC347,'oddspedia-matches'!$A:$AD,AS$2,0)</f>
        <v>#N/A</v>
      </c>
      <c r="AT347" t="e">
        <f>VLOOKUP($AC347,'oddspedia-matches'!$A:$AD,AT$2,0)</f>
        <v>#N/A</v>
      </c>
    </row>
    <row r="348" spans="2:46" x14ac:dyDescent="0.25">
      <c r="B348" t="s">
        <v>602</v>
      </c>
      <c r="C348" t="s">
        <v>948</v>
      </c>
      <c r="D348" s="25">
        <v>0.375</v>
      </c>
      <c r="E348" t="s">
        <v>997</v>
      </c>
      <c r="F348" t="s">
        <v>998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t="s">
        <v>22</v>
      </c>
      <c r="Y348" t="s">
        <v>22</v>
      </c>
      <c r="AA348">
        <f>VLOOKUP(E348,'Transform table'!A:B,2,0)</f>
        <v>0</v>
      </c>
      <c r="AB348" t="e">
        <f>VLOOKUP(F348,'Transform table'!A:B,2,0)</f>
        <v>#N/A</v>
      </c>
      <c r="AC348" t="e">
        <f t="shared" si="5"/>
        <v>#N/A</v>
      </c>
      <c r="AD348" t="e">
        <f>VLOOKUP($AC348,'oddspedia-matches'!$A:$AD,AD$2,0)</f>
        <v>#N/A</v>
      </c>
      <c r="AE348" t="e">
        <f>VLOOKUP($AC348,'oddspedia-matches'!$A:$AD,AE$2,0)</f>
        <v>#N/A</v>
      </c>
      <c r="AF348" t="e">
        <f>VLOOKUP($AC348,'oddspedia-matches'!$A:$AD,AF$2,0)</f>
        <v>#N/A</v>
      </c>
      <c r="AG348" t="e">
        <f>VLOOKUP($AC348,'oddspedia-matches'!$A:$AD,AG$2,0)</f>
        <v>#N/A</v>
      </c>
      <c r="AH348" t="e">
        <f>VLOOKUP($AC348,'oddspedia-matches'!$A:$AD,AH$2,0)</f>
        <v>#N/A</v>
      </c>
      <c r="AI348" t="e">
        <f>VLOOKUP($AC348,'oddspedia-matches'!$A:$AD,AI$2,0)</f>
        <v>#N/A</v>
      </c>
      <c r="AJ348" t="e">
        <f>VLOOKUP($AC348,'oddspedia-matches'!$A:$AD,AJ$2,0)</f>
        <v>#N/A</v>
      </c>
      <c r="AK348" t="e">
        <f>VLOOKUP($AC348,'oddspedia-matches'!$A:$AD,AK$2,0)</f>
        <v>#N/A</v>
      </c>
      <c r="AL348" t="e">
        <f>VLOOKUP($AC348,'oddspedia-matches'!$A:$AD,AL$2,0)</f>
        <v>#N/A</v>
      </c>
      <c r="AM348" t="e">
        <f>VLOOKUP($AC348,'oddspedia-matches'!$A:$AD,AM$2,0)</f>
        <v>#N/A</v>
      </c>
      <c r="AN348" t="e">
        <f>VLOOKUP($AC348,'oddspedia-matches'!$A:$AD,AN$2,0)</f>
        <v>#N/A</v>
      </c>
      <c r="AO348" t="e">
        <f>VLOOKUP($AC348,'oddspedia-matches'!$A:$AD,AO$2,0)</f>
        <v>#N/A</v>
      </c>
      <c r="AP348" t="e">
        <f>VLOOKUP($AC348,'oddspedia-matches'!$A:$AD,AP$2,0)</f>
        <v>#N/A</v>
      </c>
      <c r="AQ348" t="e">
        <f>VLOOKUP($AC348,'oddspedia-matches'!$A:$AD,AQ$2,0)</f>
        <v>#N/A</v>
      </c>
      <c r="AR348" t="e">
        <f>VLOOKUP($AC348,'oddspedia-matches'!$A:$AD,AR$2,0)</f>
        <v>#N/A</v>
      </c>
      <c r="AS348" t="e">
        <f>VLOOKUP($AC348,'oddspedia-matches'!$A:$AD,AS$2,0)</f>
        <v>#N/A</v>
      </c>
      <c r="AT348" t="e">
        <f>VLOOKUP($AC348,'oddspedia-matches'!$A:$AD,AT$2,0)</f>
        <v>#N/A</v>
      </c>
    </row>
    <row r="349" spans="2:46" x14ac:dyDescent="0.25">
      <c r="B349" t="s">
        <v>561</v>
      </c>
      <c r="C349" t="s">
        <v>948</v>
      </c>
      <c r="D349" s="25">
        <v>0.375</v>
      </c>
      <c r="E349" t="s">
        <v>999</v>
      </c>
      <c r="F349" t="s">
        <v>415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>
        <v>22.2</v>
      </c>
      <c r="Y349">
        <v>25</v>
      </c>
      <c r="AA349" t="str">
        <f>VLOOKUP(E349,'Transform table'!A:B,2,0)</f>
        <v>Zira IK</v>
      </c>
      <c r="AB349" t="e">
        <f>VLOOKUP(F349,'Transform table'!A:B,2,0)</f>
        <v>#N/A</v>
      </c>
      <c r="AC349" t="e">
        <f t="shared" si="5"/>
        <v>#N/A</v>
      </c>
      <c r="AD349" t="e">
        <f>VLOOKUP($AC349,'oddspedia-matches'!$A:$AD,AD$2,0)</f>
        <v>#N/A</v>
      </c>
      <c r="AE349" t="e">
        <f>VLOOKUP($AC349,'oddspedia-matches'!$A:$AD,AE$2,0)</f>
        <v>#N/A</v>
      </c>
      <c r="AF349" t="e">
        <f>VLOOKUP($AC349,'oddspedia-matches'!$A:$AD,AF$2,0)</f>
        <v>#N/A</v>
      </c>
      <c r="AG349" t="e">
        <f>VLOOKUP($AC349,'oddspedia-matches'!$A:$AD,AG$2,0)</f>
        <v>#N/A</v>
      </c>
      <c r="AH349" t="e">
        <f>VLOOKUP($AC349,'oddspedia-matches'!$A:$AD,AH$2,0)</f>
        <v>#N/A</v>
      </c>
      <c r="AI349" t="e">
        <f>VLOOKUP($AC349,'oddspedia-matches'!$A:$AD,AI$2,0)</f>
        <v>#N/A</v>
      </c>
      <c r="AJ349" t="e">
        <f>VLOOKUP($AC349,'oddspedia-matches'!$A:$AD,AJ$2,0)</f>
        <v>#N/A</v>
      </c>
      <c r="AK349" t="e">
        <f>VLOOKUP($AC349,'oddspedia-matches'!$A:$AD,AK$2,0)</f>
        <v>#N/A</v>
      </c>
      <c r="AL349" t="e">
        <f>VLOOKUP($AC349,'oddspedia-matches'!$A:$AD,AL$2,0)</f>
        <v>#N/A</v>
      </c>
      <c r="AM349" t="e">
        <f>VLOOKUP($AC349,'oddspedia-matches'!$A:$AD,AM$2,0)</f>
        <v>#N/A</v>
      </c>
      <c r="AN349" t="e">
        <f>VLOOKUP($AC349,'oddspedia-matches'!$A:$AD,AN$2,0)</f>
        <v>#N/A</v>
      </c>
      <c r="AO349" t="e">
        <f>VLOOKUP($AC349,'oddspedia-matches'!$A:$AD,AO$2,0)</f>
        <v>#N/A</v>
      </c>
      <c r="AP349" t="e">
        <f>VLOOKUP($AC349,'oddspedia-matches'!$A:$AD,AP$2,0)</f>
        <v>#N/A</v>
      </c>
      <c r="AQ349" t="e">
        <f>VLOOKUP($AC349,'oddspedia-matches'!$A:$AD,AQ$2,0)</f>
        <v>#N/A</v>
      </c>
      <c r="AR349" t="e">
        <f>VLOOKUP($AC349,'oddspedia-matches'!$A:$AD,AR$2,0)</f>
        <v>#N/A</v>
      </c>
      <c r="AS349" t="e">
        <f>VLOOKUP($AC349,'oddspedia-matches'!$A:$AD,AS$2,0)</f>
        <v>#N/A</v>
      </c>
      <c r="AT349" t="e">
        <f>VLOOKUP($AC349,'oddspedia-matches'!$A:$AD,AT$2,0)</f>
        <v>#N/A</v>
      </c>
    </row>
    <row r="350" spans="2:46" x14ac:dyDescent="0.25">
      <c r="B350" t="s">
        <v>1000</v>
      </c>
      <c r="C350" t="s">
        <v>948</v>
      </c>
      <c r="D350" s="25">
        <v>0.375</v>
      </c>
      <c r="E350" t="s">
        <v>1001</v>
      </c>
      <c r="F350" t="s">
        <v>1002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">
        <v>22</v>
      </c>
      <c r="Y350" t="s">
        <v>22</v>
      </c>
      <c r="AA350" t="str">
        <f>VLOOKUP(E350,'Transform table'!A:B,2,0)</f>
        <v>Sonderjyske</v>
      </c>
      <c r="AB350" t="e">
        <f>VLOOKUP(F350,'Transform table'!A:B,2,0)</f>
        <v>#N/A</v>
      </c>
      <c r="AC350" t="e">
        <f t="shared" si="5"/>
        <v>#N/A</v>
      </c>
      <c r="AD350" t="e">
        <f>VLOOKUP($AC350,'oddspedia-matches'!$A:$AD,AD$2,0)</f>
        <v>#N/A</v>
      </c>
      <c r="AE350" t="e">
        <f>VLOOKUP($AC350,'oddspedia-matches'!$A:$AD,AE$2,0)</f>
        <v>#N/A</v>
      </c>
      <c r="AF350" t="e">
        <f>VLOOKUP($AC350,'oddspedia-matches'!$A:$AD,AF$2,0)</f>
        <v>#N/A</v>
      </c>
      <c r="AG350" t="e">
        <f>VLOOKUP($AC350,'oddspedia-matches'!$A:$AD,AG$2,0)</f>
        <v>#N/A</v>
      </c>
      <c r="AH350" t="e">
        <f>VLOOKUP($AC350,'oddspedia-matches'!$A:$AD,AH$2,0)</f>
        <v>#N/A</v>
      </c>
      <c r="AI350" t="e">
        <f>VLOOKUP($AC350,'oddspedia-matches'!$A:$AD,AI$2,0)</f>
        <v>#N/A</v>
      </c>
      <c r="AJ350" t="e">
        <f>VLOOKUP($AC350,'oddspedia-matches'!$A:$AD,AJ$2,0)</f>
        <v>#N/A</v>
      </c>
      <c r="AK350" t="e">
        <f>VLOOKUP($AC350,'oddspedia-matches'!$A:$AD,AK$2,0)</f>
        <v>#N/A</v>
      </c>
      <c r="AL350" t="e">
        <f>VLOOKUP($AC350,'oddspedia-matches'!$A:$AD,AL$2,0)</f>
        <v>#N/A</v>
      </c>
      <c r="AM350" t="e">
        <f>VLOOKUP($AC350,'oddspedia-matches'!$A:$AD,AM$2,0)</f>
        <v>#N/A</v>
      </c>
      <c r="AN350" t="e">
        <f>VLOOKUP($AC350,'oddspedia-matches'!$A:$AD,AN$2,0)</f>
        <v>#N/A</v>
      </c>
      <c r="AO350" t="e">
        <f>VLOOKUP($AC350,'oddspedia-matches'!$A:$AD,AO$2,0)</f>
        <v>#N/A</v>
      </c>
      <c r="AP350" t="e">
        <f>VLOOKUP($AC350,'oddspedia-matches'!$A:$AD,AP$2,0)</f>
        <v>#N/A</v>
      </c>
      <c r="AQ350" t="e">
        <f>VLOOKUP($AC350,'oddspedia-matches'!$A:$AD,AQ$2,0)</f>
        <v>#N/A</v>
      </c>
      <c r="AR350" t="e">
        <f>VLOOKUP($AC350,'oddspedia-matches'!$A:$AD,AR$2,0)</f>
        <v>#N/A</v>
      </c>
      <c r="AS350" t="e">
        <f>VLOOKUP($AC350,'oddspedia-matches'!$A:$AD,AS$2,0)</f>
        <v>#N/A</v>
      </c>
      <c r="AT350" t="e">
        <f>VLOOKUP($AC350,'oddspedia-matches'!$A:$AD,AT$2,0)</f>
        <v>#N/A</v>
      </c>
    </row>
    <row r="351" spans="2:46" x14ac:dyDescent="0.25">
      <c r="B351" t="s">
        <v>1003</v>
      </c>
      <c r="C351" t="s">
        <v>948</v>
      </c>
      <c r="D351" s="25">
        <v>0.375</v>
      </c>
      <c r="E351" t="s">
        <v>1004</v>
      </c>
      <c r="F351" t="s">
        <v>1005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t="s">
        <v>22</v>
      </c>
      <c r="Y351" t="s">
        <v>22</v>
      </c>
      <c r="AA351">
        <f>VLOOKUP(E351,'Transform table'!A:B,2,0)</f>
        <v>0</v>
      </c>
      <c r="AB351" t="e">
        <f>VLOOKUP(F351,'Transform table'!A:B,2,0)</f>
        <v>#N/A</v>
      </c>
      <c r="AC351" t="e">
        <f t="shared" si="5"/>
        <v>#N/A</v>
      </c>
      <c r="AD351" t="e">
        <f>VLOOKUP($AC351,'oddspedia-matches'!$A:$AD,AD$2,0)</f>
        <v>#N/A</v>
      </c>
      <c r="AE351" t="e">
        <f>VLOOKUP($AC351,'oddspedia-matches'!$A:$AD,AE$2,0)</f>
        <v>#N/A</v>
      </c>
      <c r="AF351" t="e">
        <f>VLOOKUP($AC351,'oddspedia-matches'!$A:$AD,AF$2,0)</f>
        <v>#N/A</v>
      </c>
      <c r="AG351" t="e">
        <f>VLOOKUP($AC351,'oddspedia-matches'!$A:$AD,AG$2,0)</f>
        <v>#N/A</v>
      </c>
      <c r="AH351" t="e">
        <f>VLOOKUP($AC351,'oddspedia-matches'!$A:$AD,AH$2,0)</f>
        <v>#N/A</v>
      </c>
      <c r="AI351" t="e">
        <f>VLOOKUP($AC351,'oddspedia-matches'!$A:$AD,AI$2,0)</f>
        <v>#N/A</v>
      </c>
      <c r="AJ351" t="e">
        <f>VLOOKUP($AC351,'oddspedia-matches'!$A:$AD,AJ$2,0)</f>
        <v>#N/A</v>
      </c>
      <c r="AK351" t="e">
        <f>VLOOKUP($AC351,'oddspedia-matches'!$A:$AD,AK$2,0)</f>
        <v>#N/A</v>
      </c>
      <c r="AL351" t="e">
        <f>VLOOKUP($AC351,'oddspedia-matches'!$A:$AD,AL$2,0)</f>
        <v>#N/A</v>
      </c>
      <c r="AM351" t="e">
        <f>VLOOKUP($AC351,'oddspedia-matches'!$A:$AD,AM$2,0)</f>
        <v>#N/A</v>
      </c>
      <c r="AN351" t="e">
        <f>VLOOKUP($AC351,'oddspedia-matches'!$A:$AD,AN$2,0)</f>
        <v>#N/A</v>
      </c>
      <c r="AO351" t="e">
        <f>VLOOKUP($AC351,'oddspedia-matches'!$A:$AD,AO$2,0)</f>
        <v>#N/A</v>
      </c>
      <c r="AP351" t="e">
        <f>VLOOKUP($AC351,'oddspedia-matches'!$A:$AD,AP$2,0)</f>
        <v>#N/A</v>
      </c>
      <c r="AQ351" t="e">
        <f>VLOOKUP($AC351,'oddspedia-matches'!$A:$AD,AQ$2,0)</f>
        <v>#N/A</v>
      </c>
      <c r="AR351" t="e">
        <f>VLOOKUP($AC351,'oddspedia-matches'!$A:$AD,AR$2,0)</f>
        <v>#N/A</v>
      </c>
      <c r="AS351" t="e">
        <f>VLOOKUP($AC351,'oddspedia-matches'!$A:$AD,AS$2,0)</f>
        <v>#N/A</v>
      </c>
      <c r="AT351" t="e">
        <f>VLOOKUP($AC351,'oddspedia-matches'!$A:$AD,AT$2,0)</f>
        <v>#N/A</v>
      </c>
    </row>
    <row r="352" spans="2:46" x14ac:dyDescent="0.25">
      <c r="B352" t="s">
        <v>492</v>
      </c>
      <c r="C352" t="s">
        <v>948</v>
      </c>
      <c r="D352" s="25">
        <v>0.375</v>
      </c>
      <c r="E352" t="s">
        <v>246</v>
      </c>
      <c r="F352" t="s">
        <v>253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>
        <v>28.6</v>
      </c>
      <c r="Y352">
        <v>14.3</v>
      </c>
      <c r="AA352" t="str">
        <f>VLOOKUP(E352,'Transform table'!A:B,2,0)</f>
        <v>Ilves</v>
      </c>
      <c r="AB352" t="str">
        <f>VLOOKUP(F352,'Transform table'!A:B,2,0)</f>
        <v>FC Lahti</v>
      </c>
      <c r="AC352" t="str">
        <f t="shared" si="5"/>
        <v>26/07/2026IlvesFC Lahti</v>
      </c>
      <c r="AD352" t="e">
        <f>VLOOKUP($AC352,'oddspedia-matches'!$A:$AD,AD$2,0)</f>
        <v>#N/A</v>
      </c>
      <c r="AE352" t="e">
        <f>VLOOKUP($AC352,'oddspedia-matches'!$A:$AD,AE$2,0)</f>
        <v>#N/A</v>
      </c>
      <c r="AF352" t="e">
        <f>VLOOKUP($AC352,'oddspedia-matches'!$A:$AD,AF$2,0)</f>
        <v>#N/A</v>
      </c>
      <c r="AG352" t="e">
        <f>VLOOKUP($AC352,'oddspedia-matches'!$A:$AD,AG$2,0)</f>
        <v>#N/A</v>
      </c>
      <c r="AH352" t="e">
        <f>VLOOKUP($AC352,'oddspedia-matches'!$A:$AD,AH$2,0)</f>
        <v>#N/A</v>
      </c>
      <c r="AI352" t="e">
        <f>VLOOKUP($AC352,'oddspedia-matches'!$A:$AD,AI$2,0)</f>
        <v>#N/A</v>
      </c>
      <c r="AJ352" t="e">
        <f>VLOOKUP($AC352,'oddspedia-matches'!$A:$AD,AJ$2,0)</f>
        <v>#N/A</v>
      </c>
      <c r="AK352" t="e">
        <f>VLOOKUP($AC352,'oddspedia-matches'!$A:$AD,AK$2,0)</f>
        <v>#N/A</v>
      </c>
      <c r="AL352" t="e">
        <f>VLOOKUP($AC352,'oddspedia-matches'!$A:$AD,AL$2,0)</f>
        <v>#N/A</v>
      </c>
      <c r="AM352" t="e">
        <f>VLOOKUP($AC352,'oddspedia-matches'!$A:$AD,AM$2,0)</f>
        <v>#N/A</v>
      </c>
      <c r="AN352" t="e">
        <f>VLOOKUP($AC352,'oddspedia-matches'!$A:$AD,AN$2,0)</f>
        <v>#N/A</v>
      </c>
      <c r="AO352" t="e">
        <f>VLOOKUP($AC352,'oddspedia-matches'!$A:$AD,AO$2,0)</f>
        <v>#N/A</v>
      </c>
      <c r="AP352" t="e">
        <f>VLOOKUP($AC352,'oddspedia-matches'!$A:$AD,AP$2,0)</f>
        <v>#N/A</v>
      </c>
      <c r="AQ352" t="e">
        <f>VLOOKUP($AC352,'oddspedia-matches'!$A:$AD,AQ$2,0)</f>
        <v>#N/A</v>
      </c>
      <c r="AR352" t="e">
        <f>VLOOKUP($AC352,'oddspedia-matches'!$A:$AD,AR$2,0)</f>
        <v>#N/A</v>
      </c>
      <c r="AS352" t="e">
        <f>VLOOKUP($AC352,'oddspedia-matches'!$A:$AD,AS$2,0)</f>
        <v>#N/A</v>
      </c>
      <c r="AT352" t="e">
        <f>VLOOKUP($AC352,'oddspedia-matches'!$A:$AD,AT$2,0)</f>
        <v>#N/A</v>
      </c>
    </row>
    <row r="353" spans="2:46" x14ac:dyDescent="0.25">
      <c r="B353" t="s">
        <v>492</v>
      </c>
      <c r="C353" t="s">
        <v>948</v>
      </c>
      <c r="D353" s="25">
        <v>0.375</v>
      </c>
      <c r="E353" t="s">
        <v>1006</v>
      </c>
      <c r="F353" t="s">
        <v>1007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>
        <v>0</v>
      </c>
      <c r="Y353">
        <v>12.5</v>
      </c>
      <c r="AA353" t="str">
        <f>VLOOKUP(E353,'Transform table'!A:B,2,0)</f>
        <v>Inter Turku</v>
      </c>
      <c r="AB353" t="e">
        <f>VLOOKUP(F353,'Transform table'!A:B,2,0)</f>
        <v>#N/A</v>
      </c>
      <c r="AC353" t="e">
        <f t="shared" si="5"/>
        <v>#N/A</v>
      </c>
      <c r="AD353" t="e">
        <f>VLOOKUP($AC353,'oddspedia-matches'!$A:$AD,AD$2,0)</f>
        <v>#N/A</v>
      </c>
      <c r="AE353" t="e">
        <f>VLOOKUP($AC353,'oddspedia-matches'!$A:$AD,AE$2,0)</f>
        <v>#N/A</v>
      </c>
      <c r="AF353" t="e">
        <f>VLOOKUP($AC353,'oddspedia-matches'!$A:$AD,AF$2,0)</f>
        <v>#N/A</v>
      </c>
      <c r="AG353" t="e">
        <f>VLOOKUP($AC353,'oddspedia-matches'!$A:$AD,AG$2,0)</f>
        <v>#N/A</v>
      </c>
      <c r="AH353" t="e">
        <f>VLOOKUP($AC353,'oddspedia-matches'!$A:$AD,AH$2,0)</f>
        <v>#N/A</v>
      </c>
      <c r="AI353" t="e">
        <f>VLOOKUP($AC353,'oddspedia-matches'!$A:$AD,AI$2,0)</f>
        <v>#N/A</v>
      </c>
      <c r="AJ353" t="e">
        <f>VLOOKUP($AC353,'oddspedia-matches'!$A:$AD,AJ$2,0)</f>
        <v>#N/A</v>
      </c>
      <c r="AK353" t="e">
        <f>VLOOKUP($AC353,'oddspedia-matches'!$A:$AD,AK$2,0)</f>
        <v>#N/A</v>
      </c>
      <c r="AL353" t="e">
        <f>VLOOKUP($AC353,'oddspedia-matches'!$A:$AD,AL$2,0)</f>
        <v>#N/A</v>
      </c>
      <c r="AM353" t="e">
        <f>VLOOKUP($AC353,'oddspedia-matches'!$A:$AD,AM$2,0)</f>
        <v>#N/A</v>
      </c>
      <c r="AN353" t="e">
        <f>VLOOKUP($AC353,'oddspedia-matches'!$A:$AD,AN$2,0)</f>
        <v>#N/A</v>
      </c>
      <c r="AO353" t="e">
        <f>VLOOKUP($AC353,'oddspedia-matches'!$A:$AD,AO$2,0)</f>
        <v>#N/A</v>
      </c>
      <c r="AP353" t="e">
        <f>VLOOKUP($AC353,'oddspedia-matches'!$A:$AD,AP$2,0)</f>
        <v>#N/A</v>
      </c>
      <c r="AQ353" t="e">
        <f>VLOOKUP($AC353,'oddspedia-matches'!$A:$AD,AQ$2,0)</f>
        <v>#N/A</v>
      </c>
      <c r="AR353" t="e">
        <f>VLOOKUP($AC353,'oddspedia-matches'!$A:$AD,AR$2,0)</f>
        <v>#N/A</v>
      </c>
      <c r="AS353" t="e">
        <f>VLOOKUP($AC353,'oddspedia-matches'!$A:$AD,AS$2,0)</f>
        <v>#N/A</v>
      </c>
      <c r="AT353" t="e">
        <f>VLOOKUP($AC353,'oddspedia-matches'!$A:$AD,AT$2,0)</f>
        <v>#N/A</v>
      </c>
    </row>
    <row r="354" spans="2:46" x14ac:dyDescent="0.25">
      <c r="B354" t="s">
        <v>1008</v>
      </c>
      <c r="C354" t="s">
        <v>948</v>
      </c>
      <c r="D354" s="25">
        <v>0.375</v>
      </c>
      <c r="E354" t="s">
        <v>254</v>
      </c>
      <c r="F354" t="s">
        <v>1009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>
        <v>9.1</v>
      </c>
      <c r="Y354">
        <v>36.4</v>
      </c>
      <c r="AA354" t="str">
        <f>VLOOKUP(E354,'Transform table'!A:B,2,0)</f>
        <v>SK Super Nova</v>
      </c>
      <c r="AB354" t="e">
        <f>VLOOKUP(F354,'Transform table'!A:B,2,0)</f>
        <v>#N/A</v>
      </c>
      <c r="AC354" t="e">
        <f t="shared" si="5"/>
        <v>#N/A</v>
      </c>
      <c r="AD354" t="e">
        <f>VLOOKUP($AC354,'oddspedia-matches'!$A:$AD,AD$2,0)</f>
        <v>#N/A</v>
      </c>
      <c r="AE354" t="e">
        <f>VLOOKUP($AC354,'oddspedia-matches'!$A:$AD,AE$2,0)</f>
        <v>#N/A</v>
      </c>
      <c r="AF354" t="e">
        <f>VLOOKUP($AC354,'oddspedia-matches'!$A:$AD,AF$2,0)</f>
        <v>#N/A</v>
      </c>
      <c r="AG354" t="e">
        <f>VLOOKUP($AC354,'oddspedia-matches'!$A:$AD,AG$2,0)</f>
        <v>#N/A</v>
      </c>
      <c r="AH354" t="e">
        <f>VLOOKUP($AC354,'oddspedia-matches'!$A:$AD,AH$2,0)</f>
        <v>#N/A</v>
      </c>
      <c r="AI354" t="e">
        <f>VLOOKUP($AC354,'oddspedia-matches'!$A:$AD,AI$2,0)</f>
        <v>#N/A</v>
      </c>
      <c r="AJ354" t="e">
        <f>VLOOKUP($AC354,'oddspedia-matches'!$A:$AD,AJ$2,0)</f>
        <v>#N/A</v>
      </c>
      <c r="AK354" t="e">
        <f>VLOOKUP($AC354,'oddspedia-matches'!$A:$AD,AK$2,0)</f>
        <v>#N/A</v>
      </c>
      <c r="AL354" t="e">
        <f>VLOOKUP($AC354,'oddspedia-matches'!$A:$AD,AL$2,0)</f>
        <v>#N/A</v>
      </c>
      <c r="AM354" t="e">
        <f>VLOOKUP($AC354,'oddspedia-matches'!$A:$AD,AM$2,0)</f>
        <v>#N/A</v>
      </c>
      <c r="AN354" t="e">
        <f>VLOOKUP($AC354,'oddspedia-matches'!$A:$AD,AN$2,0)</f>
        <v>#N/A</v>
      </c>
      <c r="AO354" t="e">
        <f>VLOOKUP($AC354,'oddspedia-matches'!$A:$AD,AO$2,0)</f>
        <v>#N/A</v>
      </c>
      <c r="AP354" t="e">
        <f>VLOOKUP($AC354,'oddspedia-matches'!$A:$AD,AP$2,0)</f>
        <v>#N/A</v>
      </c>
      <c r="AQ354" t="e">
        <f>VLOOKUP($AC354,'oddspedia-matches'!$A:$AD,AQ$2,0)</f>
        <v>#N/A</v>
      </c>
      <c r="AR354" t="e">
        <f>VLOOKUP($AC354,'oddspedia-matches'!$A:$AD,AR$2,0)</f>
        <v>#N/A</v>
      </c>
      <c r="AS354" t="e">
        <f>VLOOKUP($AC354,'oddspedia-matches'!$A:$AD,AS$2,0)</f>
        <v>#N/A</v>
      </c>
      <c r="AT354" t="e">
        <f>VLOOKUP($AC354,'oddspedia-matches'!$A:$AD,AT$2,0)</f>
        <v>#N/A</v>
      </c>
    </row>
    <row r="355" spans="2:46" x14ac:dyDescent="0.25">
      <c r="B355" t="s">
        <v>468</v>
      </c>
      <c r="C355" t="s">
        <v>948</v>
      </c>
      <c r="D355" s="25">
        <v>0.375</v>
      </c>
      <c r="E355" t="s">
        <v>1010</v>
      </c>
      <c r="F355" t="s">
        <v>1011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>
        <v>12.5</v>
      </c>
      <c r="Y355">
        <v>22.2</v>
      </c>
      <c r="AA355" t="str">
        <f>VLOOKUP(E355,'Transform table'!A:B,2,0)</f>
        <v>VMFD Zalgiris</v>
      </c>
      <c r="AB355" t="e">
        <f>VLOOKUP(F355,'Transform table'!A:B,2,0)</f>
        <v>#N/A</v>
      </c>
      <c r="AC355" t="e">
        <f t="shared" si="5"/>
        <v>#N/A</v>
      </c>
      <c r="AD355" t="e">
        <f>VLOOKUP($AC355,'oddspedia-matches'!$A:$AD,AD$2,0)</f>
        <v>#N/A</v>
      </c>
      <c r="AE355" t="e">
        <f>VLOOKUP($AC355,'oddspedia-matches'!$A:$AD,AE$2,0)</f>
        <v>#N/A</v>
      </c>
      <c r="AF355" t="e">
        <f>VLOOKUP($AC355,'oddspedia-matches'!$A:$AD,AF$2,0)</f>
        <v>#N/A</v>
      </c>
      <c r="AG355" t="e">
        <f>VLOOKUP($AC355,'oddspedia-matches'!$A:$AD,AG$2,0)</f>
        <v>#N/A</v>
      </c>
      <c r="AH355" t="e">
        <f>VLOOKUP($AC355,'oddspedia-matches'!$A:$AD,AH$2,0)</f>
        <v>#N/A</v>
      </c>
      <c r="AI355" t="e">
        <f>VLOOKUP($AC355,'oddspedia-matches'!$A:$AD,AI$2,0)</f>
        <v>#N/A</v>
      </c>
      <c r="AJ355" t="e">
        <f>VLOOKUP($AC355,'oddspedia-matches'!$A:$AD,AJ$2,0)</f>
        <v>#N/A</v>
      </c>
      <c r="AK355" t="e">
        <f>VLOOKUP($AC355,'oddspedia-matches'!$A:$AD,AK$2,0)</f>
        <v>#N/A</v>
      </c>
      <c r="AL355" t="e">
        <f>VLOOKUP($AC355,'oddspedia-matches'!$A:$AD,AL$2,0)</f>
        <v>#N/A</v>
      </c>
      <c r="AM355" t="e">
        <f>VLOOKUP($AC355,'oddspedia-matches'!$A:$AD,AM$2,0)</f>
        <v>#N/A</v>
      </c>
      <c r="AN355" t="e">
        <f>VLOOKUP($AC355,'oddspedia-matches'!$A:$AD,AN$2,0)</f>
        <v>#N/A</v>
      </c>
      <c r="AO355" t="e">
        <f>VLOOKUP($AC355,'oddspedia-matches'!$A:$AD,AO$2,0)</f>
        <v>#N/A</v>
      </c>
      <c r="AP355" t="e">
        <f>VLOOKUP($AC355,'oddspedia-matches'!$A:$AD,AP$2,0)</f>
        <v>#N/A</v>
      </c>
      <c r="AQ355" t="e">
        <f>VLOOKUP($AC355,'oddspedia-matches'!$A:$AD,AQ$2,0)</f>
        <v>#N/A</v>
      </c>
      <c r="AR355" t="e">
        <f>VLOOKUP($AC355,'oddspedia-matches'!$A:$AD,AR$2,0)</f>
        <v>#N/A</v>
      </c>
      <c r="AS355" t="e">
        <f>VLOOKUP($AC355,'oddspedia-matches'!$A:$AD,AS$2,0)</f>
        <v>#N/A</v>
      </c>
      <c r="AT355" t="e">
        <f>VLOOKUP($AC355,'oddspedia-matches'!$A:$AD,AT$2,0)</f>
        <v>#N/A</v>
      </c>
    </row>
    <row r="356" spans="2:46" x14ac:dyDescent="0.25">
      <c r="B356" t="s">
        <v>965</v>
      </c>
      <c r="C356" t="s">
        <v>948</v>
      </c>
      <c r="D356" s="25">
        <v>0.375</v>
      </c>
      <c r="E356" t="s">
        <v>1012</v>
      </c>
      <c r="F356" t="s">
        <v>1013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">
        <v>22</v>
      </c>
      <c r="Y356" t="s">
        <v>22</v>
      </c>
      <c r="AA356" t="str">
        <f>VLOOKUP(E356,'Transform table'!A:B,2,0)</f>
        <v>FC Ufa</v>
      </c>
      <c r="AB356" t="e">
        <f>VLOOKUP(F356,'Transform table'!A:B,2,0)</f>
        <v>#N/A</v>
      </c>
      <c r="AC356" t="e">
        <f t="shared" si="5"/>
        <v>#N/A</v>
      </c>
      <c r="AD356" t="e">
        <f>VLOOKUP($AC356,'oddspedia-matches'!$A:$AD,AD$2,0)</f>
        <v>#N/A</v>
      </c>
      <c r="AE356" t="e">
        <f>VLOOKUP($AC356,'oddspedia-matches'!$A:$AD,AE$2,0)</f>
        <v>#N/A</v>
      </c>
      <c r="AF356" t="e">
        <f>VLOOKUP($AC356,'oddspedia-matches'!$A:$AD,AF$2,0)</f>
        <v>#N/A</v>
      </c>
      <c r="AG356" t="e">
        <f>VLOOKUP($AC356,'oddspedia-matches'!$A:$AD,AG$2,0)</f>
        <v>#N/A</v>
      </c>
      <c r="AH356" t="e">
        <f>VLOOKUP($AC356,'oddspedia-matches'!$A:$AD,AH$2,0)</f>
        <v>#N/A</v>
      </c>
      <c r="AI356" t="e">
        <f>VLOOKUP($AC356,'oddspedia-matches'!$A:$AD,AI$2,0)</f>
        <v>#N/A</v>
      </c>
      <c r="AJ356" t="e">
        <f>VLOOKUP($AC356,'oddspedia-matches'!$A:$AD,AJ$2,0)</f>
        <v>#N/A</v>
      </c>
      <c r="AK356" t="e">
        <f>VLOOKUP($AC356,'oddspedia-matches'!$A:$AD,AK$2,0)</f>
        <v>#N/A</v>
      </c>
      <c r="AL356" t="e">
        <f>VLOOKUP($AC356,'oddspedia-matches'!$A:$AD,AL$2,0)</f>
        <v>#N/A</v>
      </c>
      <c r="AM356" t="e">
        <f>VLOOKUP($AC356,'oddspedia-matches'!$A:$AD,AM$2,0)</f>
        <v>#N/A</v>
      </c>
      <c r="AN356" t="e">
        <f>VLOOKUP($AC356,'oddspedia-matches'!$A:$AD,AN$2,0)</f>
        <v>#N/A</v>
      </c>
      <c r="AO356" t="e">
        <f>VLOOKUP($AC356,'oddspedia-matches'!$A:$AD,AO$2,0)</f>
        <v>#N/A</v>
      </c>
      <c r="AP356" t="e">
        <f>VLOOKUP($AC356,'oddspedia-matches'!$A:$AD,AP$2,0)</f>
        <v>#N/A</v>
      </c>
      <c r="AQ356" t="e">
        <f>VLOOKUP($AC356,'oddspedia-matches'!$A:$AD,AQ$2,0)</f>
        <v>#N/A</v>
      </c>
      <c r="AR356" t="e">
        <f>VLOOKUP($AC356,'oddspedia-matches'!$A:$AD,AR$2,0)</f>
        <v>#N/A</v>
      </c>
      <c r="AS356" t="e">
        <f>VLOOKUP($AC356,'oddspedia-matches'!$A:$AD,AS$2,0)</f>
        <v>#N/A</v>
      </c>
      <c r="AT356" t="e">
        <f>VLOOKUP($AC356,'oddspedia-matches'!$A:$AD,AT$2,0)</f>
        <v>#N/A</v>
      </c>
    </row>
    <row r="357" spans="2:46" x14ac:dyDescent="0.25">
      <c r="B357" t="s">
        <v>494</v>
      </c>
      <c r="C357" t="s">
        <v>948</v>
      </c>
      <c r="D357" s="25">
        <v>0.375</v>
      </c>
      <c r="E357" t="s">
        <v>1014</v>
      </c>
      <c r="F357" t="s">
        <v>1015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>
        <v>20</v>
      </c>
      <c r="Y357">
        <v>50</v>
      </c>
      <c r="AA357" t="str">
        <f>VLOOKUP(E357,'Transform table'!A:B,2,0)</f>
        <v>Brommapojkarna U19</v>
      </c>
      <c r="AB357" t="e">
        <f>VLOOKUP(F357,'Transform table'!A:B,2,0)</f>
        <v>#N/A</v>
      </c>
      <c r="AC357" t="e">
        <f t="shared" si="5"/>
        <v>#N/A</v>
      </c>
      <c r="AD357" t="e">
        <f>VLOOKUP($AC357,'oddspedia-matches'!$A:$AD,AD$2,0)</f>
        <v>#N/A</v>
      </c>
      <c r="AE357" t="e">
        <f>VLOOKUP($AC357,'oddspedia-matches'!$A:$AD,AE$2,0)</f>
        <v>#N/A</v>
      </c>
      <c r="AF357" t="e">
        <f>VLOOKUP($AC357,'oddspedia-matches'!$A:$AD,AF$2,0)</f>
        <v>#N/A</v>
      </c>
      <c r="AG357" t="e">
        <f>VLOOKUP($AC357,'oddspedia-matches'!$A:$AD,AG$2,0)</f>
        <v>#N/A</v>
      </c>
      <c r="AH357" t="e">
        <f>VLOOKUP($AC357,'oddspedia-matches'!$A:$AD,AH$2,0)</f>
        <v>#N/A</v>
      </c>
      <c r="AI357" t="e">
        <f>VLOOKUP($AC357,'oddspedia-matches'!$A:$AD,AI$2,0)</f>
        <v>#N/A</v>
      </c>
      <c r="AJ357" t="e">
        <f>VLOOKUP($AC357,'oddspedia-matches'!$A:$AD,AJ$2,0)</f>
        <v>#N/A</v>
      </c>
      <c r="AK357" t="e">
        <f>VLOOKUP($AC357,'oddspedia-matches'!$A:$AD,AK$2,0)</f>
        <v>#N/A</v>
      </c>
      <c r="AL357" t="e">
        <f>VLOOKUP($AC357,'oddspedia-matches'!$A:$AD,AL$2,0)</f>
        <v>#N/A</v>
      </c>
      <c r="AM357" t="e">
        <f>VLOOKUP($AC357,'oddspedia-matches'!$A:$AD,AM$2,0)</f>
        <v>#N/A</v>
      </c>
      <c r="AN357" t="e">
        <f>VLOOKUP($AC357,'oddspedia-matches'!$A:$AD,AN$2,0)</f>
        <v>#N/A</v>
      </c>
      <c r="AO357" t="e">
        <f>VLOOKUP($AC357,'oddspedia-matches'!$A:$AD,AO$2,0)</f>
        <v>#N/A</v>
      </c>
      <c r="AP357" t="e">
        <f>VLOOKUP($AC357,'oddspedia-matches'!$A:$AD,AP$2,0)</f>
        <v>#N/A</v>
      </c>
      <c r="AQ357" t="e">
        <f>VLOOKUP($AC357,'oddspedia-matches'!$A:$AD,AQ$2,0)</f>
        <v>#N/A</v>
      </c>
      <c r="AR357" t="e">
        <f>VLOOKUP($AC357,'oddspedia-matches'!$A:$AD,AR$2,0)</f>
        <v>#N/A</v>
      </c>
      <c r="AS357" t="e">
        <f>VLOOKUP($AC357,'oddspedia-matches'!$A:$AD,AS$2,0)</f>
        <v>#N/A</v>
      </c>
      <c r="AT357" t="e">
        <f>VLOOKUP($AC357,'oddspedia-matches'!$A:$AD,AT$2,0)</f>
        <v>#N/A</v>
      </c>
    </row>
    <row r="358" spans="2:46" x14ac:dyDescent="0.25">
      <c r="B358" t="s">
        <v>494</v>
      </c>
      <c r="C358" t="s">
        <v>948</v>
      </c>
      <c r="D358" s="25">
        <v>0.375</v>
      </c>
      <c r="E358" t="s">
        <v>1016</v>
      </c>
      <c r="F358" t="s">
        <v>1017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>
        <v>50</v>
      </c>
      <c r="Y358">
        <v>28.6</v>
      </c>
      <c r="AA358" t="str">
        <f>VLOOKUP(E358,'Transform table'!A:B,2,0)</f>
        <v>Sirnitz</v>
      </c>
      <c r="AB358" t="e">
        <f>VLOOKUP(F358,'Transform table'!A:B,2,0)</f>
        <v>#N/A</v>
      </c>
      <c r="AC358" t="e">
        <f t="shared" si="5"/>
        <v>#N/A</v>
      </c>
      <c r="AD358" t="e">
        <f>VLOOKUP($AC358,'oddspedia-matches'!$A:$AD,AD$2,0)</f>
        <v>#N/A</v>
      </c>
      <c r="AE358" t="e">
        <f>VLOOKUP($AC358,'oddspedia-matches'!$A:$AD,AE$2,0)</f>
        <v>#N/A</v>
      </c>
      <c r="AF358" t="e">
        <f>VLOOKUP($AC358,'oddspedia-matches'!$A:$AD,AF$2,0)</f>
        <v>#N/A</v>
      </c>
      <c r="AG358" t="e">
        <f>VLOOKUP($AC358,'oddspedia-matches'!$A:$AD,AG$2,0)</f>
        <v>#N/A</v>
      </c>
      <c r="AH358" t="e">
        <f>VLOOKUP($AC358,'oddspedia-matches'!$A:$AD,AH$2,0)</f>
        <v>#N/A</v>
      </c>
      <c r="AI358" t="e">
        <f>VLOOKUP($AC358,'oddspedia-matches'!$A:$AD,AI$2,0)</f>
        <v>#N/A</v>
      </c>
      <c r="AJ358" t="e">
        <f>VLOOKUP($AC358,'oddspedia-matches'!$A:$AD,AJ$2,0)</f>
        <v>#N/A</v>
      </c>
      <c r="AK358" t="e">
        <f>VLOOKUP($AC358,'oddspedia-matches'!$A:$AD,AK$2,0)</f>
        <v>#N/A</v>
      </c>
      <c r="AL358" t="e">
        <f>VLOOKUP($AC358,'oddspedia-matches'!$A:$AD,AL$2,0)</f>
        <v>#N/A</v>
      </c>
      <c r="AM358" t="e">
        <f>VLOOKUP($AC358,'oddspedia-matches'!$A:$AD,AM$2,0)</f>
        <v>#N/A</v>
      </c>
      <c r="AN358" t="e">
        <f>VLOOKUP($AC358,'oddspedia-matches'!$A:$AD,AN$2,0)</f>
        <v>#N/A</v>
      </c>
      <c r="AO358" t="e">
        <f>VLOOKUP($AC358,'oddspedia-matches'!$A:$AD,AO$2,0)</f>
        <v>#N/A</v>
      </c>
      <c r="AP358" t="e">
        <f>VLOOKUP($AC358,'oddspedia-matches'!$A:$AD,AP$2,0)</f>
        <v>#N/A</v>
      </c>
      <c r="AQ358" t="e">
        <f>VLOOKUP($AC358,'oddspedia-matches'!$A:$AD,AQ$2,0)</f>
        <v>#N/A</v>
      </c>
      <c r="AR358" t="e">
        <f>VLOOKUP($AC358,'oddspedia-matches'!$A:$AD,AR$2,0)</f>
        <v>#N/A</v>
      </c>
      <c r="AS358" t="e">
        <f>VLOOKUP($AC358,'oddspedia-matches'!$A:$AD,AS$2,0)</f>
        <v>#N/A</v>
      </c>
      <c r="AT358" t="e">
        <f>VLOOKUP($AC358,'oddspedia-matches'!$A:$AD,AT$2,0)</f>
        <v>#N/A</v>
      </c>
    </row>
    <row r="359" spans="2:46" x14ac:dyDescent="0.25">
      <c r="B359" t="s">
        <v>1018</v>
      </c>
      <c r="C359" t="s">
        <v>948</v>
      </c>
      <c r="D359" s="25">
        <v>0.375</v>
      </c>
      <c r="E359" t="s">
        <v>1019</v>
      </c>
      <c r="F359" t="s">
        <v>1020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t="s">
        <v>22</v>
      </c>
      <c r="Y359" t="s">
        <v>22</v>
      </c>
      <c r="AA359">
        <f>VLOOKUP(E359,'Transform table'!A:B,2,0)</f>
        <v>0</v>
      </c>
      <c r="AB359" t="e">
        <f>VLOOKUP(F359,'Transform table'!A:B,2,0)</f>
        <v>#N/A</v>
      </c>
      <c r="AC359" t="e">
        <f t="shared" si="5"/>
        <v>#N/A</v>
      </c>
      <c r="AD359" t="e">
        <f>VLOOKUP($AC359,'oddspedia-matches'!$A:$AD,AD$2,0)</f>
        <v>#N/A</v>
      </c>
      <c r="AE359" t="e">
        <f>VLOOKUP($AC359,'oddspedia-matches'!$A:$AD,AE$2,0)</f>
        <v>#N/A</v>
      </c>
      <c r="AF359" t="e">
        <f>VLOOKUP($AC359,'oddspedia-matches'!$A:$AD,AF$2,0)</f>
        <v>#N/A</v>
      </c>
      <c r="AG359" t="e">
        <f>VLOOKUP($AC359,'oddspedia-matches'!$A:$AD,AG$2,0)</f>
        <v>#N/A</v>
      </c>
      <c r="AH359" t="e">
        <f>VLOOKUP($AC359,'oddspedia-matches'!$A:$AD,AH$2,0)</f>
        <v>#N/A</v>
      </c>
      <c r="AI359" t="e">
        <f>VLOOKUP($AC359,'oddspedia-matches'!$A:$AD,AI$2,0)</f>
        <v>#N/A</v>
      </c>
      <c r="AJ359" t="e">
        <f>VLOOKUP($AC359,'oddspedia-matches'!$A:$AD,AJ$2,0)</f>
        <v>#N/A</v>
      </c>
      <c r="AK359" t="e">
        <f>VLOOKUP($AC359,'oddspedia-matches'!$A:$AD,AK$2,0)</f>
        <v>#N/A</v>
      </c>
      <c r="AL359" t="e">
        <f>VLOOKUP($AC359,'oddspedia-matches'!$A:$AD,AL$2,0)</f>
        <v>#N/A</v>
      </c>
      <c r="AM359" t="e">
        <f>VLOOKUP($AC359,'oddspedia-matches'!$A:$AD,AM$2,0)</f>
        <v>#N/A</v>
      </c>
      <c r="AN359" t="e">
        <f>VLOOKUP($AC359,'oddspedia-matches'!$A:$AD,AN$2,0)</f>
        <v>#N/A</v>
      </c>
      <c r="AO359" t="e">
        <f>VLOOKUP($AC359,'oddspedia-matches'!$A:$AD,AO$2,0)</f>
        <v>#N/A</v>
      </c>
      <c r="AP359" t="e">
        <f>VLOOKUP($AC359,'oddspedia-matches'!$A:$AD,AP$2,0)</f>
        <v>#N/A</v>
      </c>
      <c r="AQ359" t="e">
        <f>VLOOKUP($AC359,'oddspedia-matches'!$A:$AD,AQ$2,0)</f>
        <v>#N/A</v>
      </c>
      <c r="AR359" t="e">
        <f>VLOOKUP($AC359,'oddspedia-matches'!$A:$AD,AR$2,0)</f>
        <v>#N/A</v>
      </c>
      <c r="AS359" t="e">
        <f>VLOOKUP($AC359,'oddspedia-matches'!$A:$AD,AS$2,0)</f>
        <v>#N/A</v>
      </c>
      <c r="AT359" t="e">
        <f>VLOOKUP($AC359,'oddspedia-matches'!$A:$AD,AT$2,0)</f>
        <v>#N/A</v>
      </c>
    </row>
    <row r="360" spans="2:46" x14ac:dyDescent="0.25">
      <c r="B360" t="s">
        <v>1018</v>
      </c>
      <c r="C360" t="s">
        <v>948</v>
      </c>
      <c r="D360" s="25">
        <v>0.375</v>
      </c>
      <c r="E360" t="s">
        <v>1021</v>
      </c>
      <c r="F360" t="s">
        <v>1022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t="s">
        <v>22</v>
      </c>
      <c r="Y360" t="s">
        <v>22</v>
      </c>
      <c r="AA360">
        <f>VLOOKUP(E360,'Transform table'!A:B,2,0)</f>
        <v>0</v>
      </c>
      <c r="AB360" t="e">
        <f>VLOOKUP(F360,'Transform table'!A:B,2,0)</f>
        <v>#N/A</v>
      </c>
      <c r="AC360" t="e">
        <f t="shared" si="5"/>
        <v>#N/A</v>
      </c>
      <c r="AD360" t="e">
        <f>VLOOKUP($AC360,'oddspedia-matches'!$A:$AD,AD$2,0)</f>
        <v>#N/A</v>
      </c>
      <c r="AE360" t="e">
        <f>VLOOKUP($AC360,'oddspedia-matches'!$A:$AD,AE$2,0)</f>
        <v>#N/A</v>
      </c>
      <c r="AF360" t="e">
        <f>VLOOKUP($AC360,'oddspedia-matches'!$A:$AD,AF$2,0)</f>
        <v>#N/A</v>
      </c>
      <c r="AG360" t="e">
        <f>VLOOKUP($AC360,'oddspedia-matches'!$A:$AD,AG$2,0)</f>
        <v>#N/A</v>
      </c>
      <c r="AH360" t="e">
        <f>VLOOKUP($AC360,'oddspedia-matches'!$A:$AD,AH$2,0)</f>
        <v>#N/A</v>
      </c>
      <c r="AI360" t="e">
        <f>VLOOKUP($AC360,'oddspedia-matches'!$A:$AD,AI$2,0)</f>
        <v>#N/A</v>
      </c>
      <c r="AJ360" t="e">
        <f>VLOOKUP($AC360,'oddspedia-matches'!$A:$AD,AJ$2,0)</f>
        <v>#N/A</v>
      </c>
      <c r="AK360" t="e">
        <f>VLOOKUP($AC360,'oddspedia-matches'!$A:$AD,AK$2,0)</f>
        <v>#N/A</v>
      </c>
      <c r="AL360" t="e">
        <f>VLOOKUP($AC360,'oddspedia-matches'!$A:$AD,AL$2,0)</f>
        <v>#N/A</v>
      </c>
      <c r="AM360" t="e">
        <f>VLOOKUP($AC360,'oddspedia-matches'!$A:$AD,AM$2,0)</f>
        <v>#N/A</v>
      </c>
      <c r="AN360" t="e">
        <f>VLOOKUP($AC360,'oddspedia-matches'!$A:$AD,AN$2,0)</f>
        <v>#N/A</v>
      </c>
      <c r="AO360" t="e">
        <f>VLOOKUP($AC360,'oddspedia-matches'!$A:$AD,AO$2,0)</f>
        <v>#N/A</v>
      </c>
      <c r="AP360" t="e">
        <f>VLOOKUP($AC360,'oddspedia-matches'!$A:$AD,AP$2,0)</f>
        <v>#N/A</v>
      </c>
      <c r="AQ360" t="e">
        <f>VLOOKUP($AC360,'oddspedia-matches'!$A:$AD,AQ$2,0)</f>
        <v>#N/A</v>
      </c>
      <c r="AR360" t="e">
        <f>VLOOKUP($AC360,'oddspedia-matches'!$A:$AD,AR$2,0)</f>
        <v>#N/A</v>
      </c>
      <c r="AS360" t="e">
        <f>VLOOKUP($AC360,'oddspedia-matches'!$A:$AD,AS$2,0)</f>
        <v>#N/A</v>
      </c>
      <c r="AT360" t="e">
        <f>VLOOKUP($AC360,'oddspedia-matches'!$A:$AD,AT$2,0)</f>
        <v>#N/A</v>
      </c>
    </row>
    <row r="361" spans="2:46" x14ac:dyDescent="0.25">
      <c r="B361" t="s">
        <v>1018</v>
      </c>
      <c r="C361" t="s">
        <v>948</v>
      </c>
      <c r="D361" s="25">
        <v>0.375</v>
      </c>
      <c r="E361" t="s">
        <v>1023</v>
      </c>
      <c r="F361" t="s">
        <v>1024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">
        <v>22</v>
      </c>
      <c r="Y361" t="s">
        <v>22</v>
      </c>
      <c r="AA361">
        <f>VLOOKUP(E361,'Transform table'!A:B,2,0)</f>
        <v>0</v>
      </c>
      <c r="AB361" t="e">
        <f>VLOOKUP(F361,'Transform table'!A:B,2,0)</f>
        <v>#N/A</v>
      </c>
      <c r="AC361" t="e">
        <f t="shared" si="5"/>
        <v>#N/A</v>
      </c>
      <c r="AD361" t="e">
        <f>VLOOKUP($AC361,'oddspedia-matches'!$A:$AD,AD$2,0)</f>
        <v>#N/A</v>
      </c>
      <c r="AE361" t="e">
        <f>VLOOKUP($AC361,'oddspedia-matches'!$A:$AD,AE$2,0)</f>
        <v>#N/A</v>
      </c>
      <c r="AF361" t="e">
        <f>VLOOKUP($AC361,'oddspedia-matches'!$A:$AD,AF$2,0)</f>
        <v>#N/A</v>
      </c>
      <c r="AG361" t="e">
        <f>VLOOKUP($AC361,'oddspedia-matches'!$A:$AD,AG$2,0)</f>
        <v>#N/A</v>
      </c>
      <c r="AH361" t="e">
        <f>VLOOKUP($AC361,'oddspedia-matches'!$A:$AD,AH$2,0)</f>
        <v>#N/A</v>
      </c>
      <c r="AI361" t="e">
        <f>VLOOKUP($AC361,'oddspedia-matches'!$A:$AD,AI$2,0)</f>
        <v>#N/A</v>
      </c>
      <c r="AJ361" t="e">
        <f>VLOOKUP($AC361,'oddspedia-matches'!$A:$AD,AJ$2,0)</f>
        <v>#N/A</v>
      </c>
      <c r="AK361" t="e">
        <f>VLOOKUP($AC361,'oddspedia-matches'!$A:$AD,AK$2,0)</f>
        <v>#N/A</v>
      </c>
      <c r="AL361" t="e">
        <f>VLOOKUP($AC361,'oddspedia-matches'!$A:$AD,AL$2,0)</f>
        <v>#N/A</v>
      </c>
      <c r="AM361" t="e">
        <f>VLOOKUP($AC361,'oddspedia-matches'!$A:$AD,AM$2,0)</f>
        <v>#N/A</v>
      </c>
      <c r="AN361" t="e">
        <f>VLOOKUP($AC361,'oddspedia-matches'!$A:$AD,AN$2,0)</f>
        <v>#N/A</v>
      </c>
      <c r="AO361" t="e">
        <f>VLOOKUP($AC361,'oddspedia-matches'!$A:$AD,AO$2,0)</f>
        <v>#N/A</v>
      </c>
      <c r="AP361" t="e">
        <f>VLOOKUP($AC361,'oddspedia-matches'!$A:$AD,AP$2,0)</f>
        <v>#N/A</v>
      </c>
      <c r="AQ361" t="e">
        <f>VLOOKUP($AC361,'oddspedia-matches'!$A:$AD,AQ$2,0)</f>
        <v>#N/A</v>
      </c>
      <c r="AR361" t="e">
        <f>VLOOKUP($AC361,'oddspedia-matches'!$A:$AD,AR$2,0)</f>
        <v>#N/A</v>
      </c>
      <c r="AS361" t="e">
        <f>VLOOKUP($AC361,'oddspedia-matches'!$A:$AD,AS$2,0)</f>
        <v>#N/A</v>
      </c>
      <c r="AT361" t="e">
        <f>VLOOKUP($AC361,'oddspedia-matches'!$A:$AD,AT$2,0)</f>
        <v>#N/A</v>
      </c>
    </row>
    <row r="362" spans="2:46" x14ac:dyDescent="0.25">
      <c r="B362" t="s">
        <v>1025</v>
      </c>
      <c r="C362" t="s">
        <v>948</v>
      </c>
      <c r="D362" s="25">
        <v>0.375</v>
      </c>
      <c r="E362" t="s">
        <v>1026</v>
      </c>
      <c r="F362" t="s">
        <v>1027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>
        <v>12.5</v>
      </c>
      <c r="Y362">
        <v>12.5</v>
      </c>
      <c r="AA362" t="str">
        <f>VLOOKUP(E362,'Transform table'!A:B,2,0)</f>
        <v>Huracan DPA</v>
      </c>
      <c r="AB362" t="e">
        <f>VLOOKUP(F362,'Transform table'!A:B,2,0)</f>
        <v>#N/A</v>
      </c>
      <c r="AC362" t="e">
        <f t="shared" si="5"/>
        <v>#N/A</v>
      </c>
      <c r="AD362" t="e">
        <f>VLOOKUP($AC362,'oddspedia-matches'!$A:$AD,AD$2,0)</f>
        <v>#N/A</v>
      </c>
      <c r="AE362" t="e">
        <f>VLOOKUP($AC362,'oddspedia-matches'!$A:$AD,AE$2,0)</f>
        <v>#N/A</v>
      </c>
      <c r="AF362" t="e">
        <f>VLOOKUP($AC362,'oddspedia-matches'!$A:$AD,AF$2,0)</f>
        <v>#N/A</v>
      </c>
      <c r="AG362" t="e">
        <f>VLOOKUP($AC362,'oddspedia-matches'!$A:$AD,AG$2,0)</f>
        <v>#N/A</v>
      </c>
      <c r="AH362" t="e">
        <f>VLOOKUP($AC362,'oddspedia-matches'!$A:$AD,AH$2,0)</f>
        <v>#N/A</v>
      </c>
      <c r="AI362" t="e">
        <f>VLOOKUP($AC362,'oddspedia-matches'!$A:$AD,AI$2,0)</f>
        <v>#N/A</v>
      </c>
      <c r="AJ362" t="e">
        <f>VLOOKUP($AC362,'oddspedia-matches'!$A:$AD,AJ$2,0)</f>
        <v>#N/A</v>
      </c>
      <c r="AK362" t="e">
        <f>VLOOKUP($AC362,'oddspedia-matches'!$A:$AD,AK$2,0)</f>
        <v>#N/A</v>
      </c>
      <c r="AL362" t="e">
        <f>VLOOKUP($AC362,'oddspedia-matches'!$A:$AD,AL$2,0)</f>
        <v>#N/A</v>
      </c>
      <c r="AM362" t="e">
        <f>VLOOKUP($AC362,'oddspedia-matches'!$A:$AD,AM$2,0)</f>
        <v>#N/A</v>
      </c>
      <c r="AN362" t="e">
        <f>VLOOKUP($AC362,'oddspedia-matches'!$A:$AD,AN$2,0)</f>
        <v>#N/A</v>
      </c>
      <c r="AO362" t="e">
        <f>VLOOKUP($AC362,'oddspedia-matches'!$A:$AD,AO$2,0)</f>
        <v>#N/A</v>
      </c>
      <c r="AP362" t="e">
        <f>VLOOKUP($AC362,'oddspedia-matches'!$A:$AD,AP$2,0)</f>
        <v>#N/A</v>
      </c>
      <c r="AQ362" t="e">
        <f>VLOOKUP($AC362,'oddspedia-matches'!$A:$AD,AQ$2,0)</f>
        <v>#N/A</v>
      </c>
      <c r="AR362" t="e">
        <f>VLOOKUP($AC362,'oddspedia-matches'!$A:$AD,AR$2,0)</f>
        <v>#N/A</v>
      </c>
      <c r="AS362" t="e">
        <f>VLOOKUP($AC362,'oddspedia-matches'!$A:$AD,AS$2,0)</f>
        <v>#N/A</v>
      </c>
      <c r="AT362" t="e">
        <f>VLOOKUP($AC362,'oddspedia-matches'!$A:$AD,AT$2,0)</f>
        <v>#N/A</v>
      </c>
    </row>
    <row r="363" spans="2:46" x14ac:dyDescent="0.25">
      <c r="B363" t="s">
        <v>483</v>
      </c>
      <c r="C363" t="s">
        <v>948</v>
      </c>
      <c r="D363" s="25">
        <v>0.39583333333333331</v>
      </c>
      <c r="E363" t="s">
        <v>1028</v>
      </c>
      <c r="F363" t="s">
        <v>1029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>
        <v>33.299999999999997</v>
      </c>
      <c r="Y363">
        <v>33.299999999999997</v>
      </c>
      <c r="AA363" t="str">
        <f>VLOOKUP(E363,'Transform table'!A:B,2,0)</f>
        <v>Brann</v>
      </c>
      <c r="AB363" t="e">
        <f>VLOOKUP(F363,'Transform table'!A:B,2,0)</f>
        <v>#N/A</v>
      </c>
      <c r="AC363" t="e">
        <f t="shared" si="5"/>
        <v>#N/A</v>
      </c>
      <c r="AD363" t="e">
        <f>VLOOKUP($AC363,'oddspedia-matches'!$A:$AD,AD$2,0)</f>
        <v>#N/A</v>
      </c>
      <c r="AE363" t="e">
        <f>VLOOKUP($AC363,'oddspedia-matches'!$A:$AD,AE$2,0)</f>
        <v>#N/A</v>
      </c>
      <c r="AF363" t="e">
        <f>VLOOKUP($AC363,'oddspedia-matches'!$A:$AD,AF$2,0)</f>
        <v>#N/A</v>
      </c>
      <c r="AG363" t="e">
        <f>VLOOKUP($AC363,'oddspedia-matches'!$A:$AD,AG$2,0)</f>
        <v>#N/A</v>
      </c>
      <c r="AH363" t="e">
        <f>VLOOKUP($AC363,'oddspedia-matches'!$A:$AD,AH$2,0)</f>
        <v>#N/A</v>
      </c>
      <c r="AI363" t="e">
        <f>VLOOKUP($AC363,'oddspedia-matches'!$A:$AD,AI$2,0)</f>
        <v>#N/A</v>
      </c>
      <c r="AJ363" t="e">
        <f>VLOOKUP($AC363,'oddspedia-matches'!$A:$AD,AJ$2,0)</f>
        <v>#N/A</v>
      </c>
      <c r="AK363" t="e">
        <f>VLOOKUP($AC363,'oddspedia-matches'!$A:$AD,AK$2,0)</f>
        <v>#N/A</v>
      </c>
      <c r="AL363" t="e">
        <f>VLOOKUP($AC363,'oddspedia-matches'!$A:$AD,AL$2,0)</f>
        <v>#N/A</v>
      </c>
      <c r="AM363" t="e">
        <f>VLOOKUP($AC363,'oddspedia-matches'!$A:$AD,AM$2,0)</f>
        <v>#N/A</v>
      </c>
      <c r="AN363" t="e">
        <f>VLOOKUP($AC363,'oddspedia-matches'!$A:$AD,AN$2,0)</f>
        <v>#N/A</v>
      </c>
      <c r="AO363" t="e">
        <f>VLOOKUP($AC363,'oddspedia-matches'!$A:$AD,AO$2,0)</f>
        <v>#N/A</v>
      </c>
      <c r="AP363" t="e">
        <f>VLOOKUP($AC363,'oddspedia-matches'!$A:$AD,AP$2,0)</f>
        <v>#N/A</v>
      </c>
      <c r="AQ363" t="e">
        <f>VLOOKUP($AC363,'oddspedia-matches'!$A:$AD,AQ$2,0)</f>
        <v>#N/A</v>
      </c>
      <c r="AR363" t="e">
        <f>VLOOKUP($AC363,'oddspedia-matches'!$A:$AD,AR$2,0)</f>
        <v>#N/A</v>
      </c>
      <c r="AS363" t="e">
        <f>VLOOKUP($AC363,'oddspedia-matches'!$A:$AD,AS$2,0)</f>
        <v>#N/A</v>
      </c>
      <c r="AT363" t="e">
        <f>VLOOKUP($AC363,'oddspedia-matches'!$A:$AD,AT$2,0)</f>
        <v>#N/A</v>
      </c>
    </row>
    <row r="364" spans="2:46" x14ac:dyDescent="0.25">
      <c r="B364" t="s">
        <v>1030</v>
      </c>
      <c r="C364" t="s">
        <v>948</v>
      </c>
      <c r="D364" s="25">
        <v>0.39583333333333331</v>
      </c>
      <c r="E364" t="s">
        <v>1031</v>
      </c>
      <c r="F364" t="s">
        <v>1032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t="s">
        <v>22</v>
      </c>
      <c r="Y364" t="s">
        <v>22</v>
      </c>
      <c r="AA364">
        <f>VLOOKUP(E364,'Transform table'!A:B,2,0)</f>
        <v>0</v>
      </c>
      <c r="AB364" t="e">
        <f>VLOOKUP(F364,'Transform table'!A:B,2,0)</f>
        <v>#N/A</v>
      </c>
      <c r="AC364" t="e">
        <f t="shared" si="5"/>
        <v>#N/A</v>
      </c>
      <c r="AD364" t="e">
        <f>VLOOKUP($AC364,'oddspedia-matches'!$A:$AD,AD$2,0)</f>
        <v>#N/A</v>
      </c>
      <c r="AE364" t="e">
        <f>VLOOKUP($AC364,'oddspedia-matches'!$A:$AD,AE$2,0)</f>
        <v>#N/A</v>
      </c>
      <c r="AF364" t="e">
        <f>VLOOKUP($AC364,'oddspedia-matches'!$A:$AD,AF$2,0)</f>
        <v>#N/A</v>
      </c>
      <c r="AG364" t="e">
        <f>VLOOKUP($AC364,'oddspedia-matches'!$A:$AD,AG$2,0)</f>
        <v>#N/A</v>
      </c>
      <c r="AH364" t="e">
        <f>VLOOKUP($AC364,'oddspedia-matches'!$A:$AD,AH$2,0)</f>
        <v>#N/A</v>
      </c>
      <c r="AI364" t="e">
        <f>VLOOKUP($AC364,'oddspedia-matches'!$A:$AD,AI$2,0)</f>
        <v>#N/A</v>
      </c>
      <c r="AJ364" t="e">
        <f>VLOOKUP($AC364,'oddspedia-matches'!$A:$AD,AJ$2,0)</f>
        <v>#N/A</v>
      </c>
      <c r="AK364" t="e">
        <f>VLOOKUP($AC364,'oddspedia-matches'!$A:$AD,AK$2,0)</f>
        <v>#N/A</v>
      </c>
      <c r="AL364" t="e">
        <f>VLOOKUP($AC364,'oddspedia-matches'!$A:$AD,AL$2,0)</f>
        <v>#N/A</v>
      </c>
      <c r="AM364" t="e">
        <f>VLOOKUP($AC364,'oddspedia-matches'!$A:$AD,AM$2,0)</f>
        <v>#N/A</v>
      </c>
      <c r="AN364" t="e">
        <f>VLOOKUP($AC364,'oddspedia-matches'!$A:$AD,AN$2,0)</f>
        <v>#N/A</v>
      </c>
      <c r="AO364" t="e">
        <f>VLOOKUP($AC364,'oddspedia-matches'!$A:$AD,AO$2,0)</f>
        <v>#N/A</v>
      </c>
      <c r="AP364" t="e">
        <f>VLOOKUP($AC364,'oddspedia-matches'!$A:$AD,AP$2,0)</f>
        <v>#N/A</v>
      </c>
      <c r="AQ364" t="e">
        <f>VLOOKUP($AC364,'oddspedia-matches'!$A:$AD,AQ$2,0)</f>
        <v>#N/A</v>
      </c>
      <c r="AR364" t="e">
        <f>VLOOKUP($AC364,'oddspedia-matches'!$A:$AD,AR$2,0)</f>
        <v>#N/A</v>
      </c>
      <c r="AS364" t="e">
        <f>VLOOKUP($AC364,'oddspedia-matches'!$A:$AD,AS$2,0)</f>
        <v>#N/A</v>
      </c>
      <c r="AT364" t="e">
        <f>VLOOKUP($AC364,'oddspedia-matches'!$A:$AD,AT$2,0)</f>
        <v>#N/A</v>
      </c>
    </row>
    <row r="365" spans="2:46" x14ac:dyDescent="0.25">
      <c r="B365" t="s">
        <v>1033</v>
      </c>
      <c r="C365" t="s">
        <v>948</v>
      </c>
      <c r="D365" s="25">
        <v>0.40625</v>
      </c>
      <c r="E365" t="s">
        <v>1034</v>
      </c>
      <c r="F365" t="s">
        <v>1035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">
        <v>22</v>
      </c>
      <c r="Y365" t="s">
        <v>22</v>
      </c>
      <c r="AA365" t="str">
        <f>VLOOKUP(E365,'Transform table'!A:B,2,0)</f>
        <v>Rakow Czestochowa</v>
      </c>
      <c r="AB365" t="e">
        <f>VLOOKUP(F365,'Transform table'!A:B,2,0)</f>
        <v>#N/A</v>
      </c>
      <c r="AC365" t="e">
        <f t="shared" si="5"/>
        <v>#N/A</v>
      </c>
      <c r="AD365" t="e">
        <f>VLOOKUP($AC365,'oddspedia-matches'!$A:$AD,AD$2,0)</f>
        <v>#N/A</v>
      </c>
      <c r="AE365" t="e">
        <f>VLOOKUP($AC365,'oddspedia-matches'!$A:$AD,AE$2,0)</f>
        <v>#N/A</v>
      </c>
      <c r="AF365" t="e">
        <f>VLOOKUP($AC365,'oddspedia-matches'!$A:$AD,AF$2,0)</f>
        <v>#N/A</v>
      </c>
      <c r="AG365" t="e">
        <f>VLOOKUP($AC365,'oddspedia-matches'!$A:$AD,AG$2,0)</f>
        <v>#N/A</v>
      </c>
      <c r="AH365" t="e">
        <f>VLOOKUP($AC365,'oddspedia-matches'!$A:$AD,AH$2,0)</f>
        <v>#N/A</v>
      </c>
      <c r="AI365" t="e">
        <f>VLOOKUP($AC365,'oddspedia-matches'!$A:$AD,AI$2,0)</f>
        <v>#N/A</v>
      </c>
      <c r="AJ365" t="e">
        <f>VLOOKUP($AC365,'oddspedia-matches'!$A:$AD,AJ$2,0)</f>
        <v>#N/A</v>
      </c>
      <c r="AK365" t="e">
        <f>VLOOKUP($AC365,'oddspedia-matches'!$A:$AD,AK$2,0)</f>
        <v>#N/A</v>
      </c>
      <c r="AL365" t="e">
        <f>VLOOKUP($AC365,'oddspedia-matches'!$A:$AD,AL$2,0)</f>
        <v>#N/A</v>
      </c>
      <c r="AM365" t="e">
        <f>VLOOKUP($AC365,'oddspedia-matches'!$A:$AD,AM$2,0)</f>
        <v>#N/A</v>
      </c>
      <c r="AN365" t="e">
        <f>VLOOKUP($AC365,'oddspedia-matches'!$A:$AD,AN$2,0)</f>
        <v>#N/A</v>
      </c>
      <c r="AO365" t="e">
        <f>VLOOKUP($AC365,'oddspedia-matches'!$A:$AD,AO$2,0)</f>
        <v>#N/A</v>
      </c>
      <c r="AP365" t="e">
        <f>VLOOKUP($AC365,'oddspedia-matches'!$A:$AD,AP$2,0)</f>
        <v>#N/A</v>
      </c>
      <c r="AQ365" t="e">
        <f>VLOOKUP($AC365,'oddspedia-matches'!$A:$AD,AQ$2,0)</f>
        <v>#N/A</v>
      </c>
      <c r="AR365" t="e">
        <f>VLOOKUP($AC365,'oddspedia-matches'!$A:$AD,AR$2,0)</f>
        <v>#N/A</v>
      </c>
      <c r="AS365" t="e">
        <f>VLOOKUP($AC365,'oddspedia-matches'!$A:$AD,AS$2,0)</f>
        <v>#N/A</v>
      </c>
      <c r="AT365" t="e">
        <f>VLOOKUP($AC365,'oddspedia-matches'!$A:$AD,AT$2,0)</f>
        <v>#N/A</v>
      </c>
    </row>
    <row r="366" spans="2:46" x14ac:dyDescent="0.25">
      <c r="B366" t="s">
        <v>602</v>
      </c>
      <c r="C366" t="s">
        <v>948</v>
      </c>
      <c r="D366" s="25">
        <v>0.41666666666666669</v>
      </c>
      <c r="E366" t="s">
        <v>1036</v>
      </c>
      <c r="F366" t="s">
        <v>1037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>
        <v>25</v>
      </c>
      <c r="Y366">
        <v>12.5</v>
      </c>
      <c r="AA366" t="str">
        <f>VLOOKUP(E366,'Transform table'!A:B,2,0)</f>
        <v>FC Helios Tartu</v>
      </c>
      <c r="AB366" t="e">
        <f>VLOOKUP(F366,'Transform table'!A:B,2,0)</f>
        <v>#N/A</v>
      </c>
      <c r="AC366" t="e">
        <f t="shared" si="5"/>
        <v>#N/A</v>
      </c>
      <c r="AD366" t="e">
        <f>VLOOKUP($AC366,'oddspedia-matches'!$A:$AD,AD$2,0)</f>
        <v>#N/A</v>
      </c>
      <c r="AE366" t="e">
        <f>VLOOKUP($AC366,'oddspedia-matches'!$A:$AD,AE$2,0)</f>
        <v>#N/A</v>
      </c>
      <c r="AF366" t="e">
        <f>VLOOKUP($AC366,'oddspedia-matches'!$A:$AD,AF$2,0)</f>
        <v>#N/A</v>
      </c>
      <c r="AG366" t="e">
        <f>VLOOKUP($AC366,'oddspedia-matches'!$A:$AD,AG$2,0)</f>
        <v>#N/A</v>
      </c>
      <c r="AH366" t="e">
        <f>VLOOKUP($AC366,'oddspedia-matches'!$A:$AD,AH$2,0)</f>
        <v>#N/A</v>
      </c>
      <c r="AI366" t="e">
        <f>VLOOKUP($AC366,'oddspedia-matches'!$A:$AD,AI$2,0)</f>
        <v>#N/A</v>
      </c>
      <c r="AJ366" t="e">
        <f>VLOOKUP($AC366,'oddspedia-matches'!$A:$AD,AJ$2,0)</f>
        <v>#N/A</v>
      </c>
      <c r="AK366" t="e">
        <f>VLOOKUP($AC366,'oddspedia-matches'!$A:$AD,AK$2,0)</f>
        <v>#N/A</v>
      </c>
      <c r="AL366" t="e">
        <f>VLOOKUP($AC366,'oddspedia-matches'!$A:$AD,AL$2,0)</f>
        <v>#N/A</v>
      </c>
      <c r="AM366" t="e">
        <f>VLOOKUP($AC366,'oddspedia-matches'!$A:$AD,AM$2,0)</f>
        <v>#N/A</v>
      </c>
      <c r="AN366" t="e">
        <f>VLOOKUP($AC366,'oddspedia-matches'!$A:$AD,AN$2,0)</f>
        <v>#N/A</v>
      </c>
      <c r="AO366" t="e">
        <f>VLOOKUP($AC366,'oddspedia-matches'!$A:$AD,AO$2,0)</f>
        <v>#N/A</v>
      </c>
      <c r="AP366" t="e">
        <f>VLOOKUP($AC366,'oddspedia-matches'!$A:$AD,AP$2,0)</f>
        <v>#N/A</v>
      </c>
      <c r="AQ366" t="e">
        <f>VLOOKUP($AC366,'oddspedia-matches'!$A:$AD,AQ$2,0)</f>
        <v>#N/A</v>
      </c>
      <c r="AR366" t="e">
        <f>VLOOKUP($AC366,'oddspedia-matches'!$A:$AD,AR$2,0)</f>
        <v>#N/A</v>
      </c>
      <c r="AS366" t="e">
        <f>VLOOKUP($AC366,'oddspedia-matches'!$A:$AD,AS$2,0)</f>
        <v>#N/A</v>
      </c>
      <c r="AT366" t="e">
        <f>VLOOKUP($AC366,'oddspedia-matches'!$A:$AD,AT$2,0)</f>
        <v>#N/A</v>
      </c>
    </row>
    <row r="367" spans="2:46" x14ac:dyDescent="0.25">
      <c r="B367" t="s">
        <v>965</v>
      </c>
      <c r="C367" t="s">
        <v>948</v>
      </c>
      <c r="D367" s="25">
        <v>0.41666666666666669</v>
      </c>
      <c r="E367" t="s">
        <v>1038</v>
      </c>
      <c r="F367" t="s">
        <v>1039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t="s">
        <v>22</v>
      </c>
      <c r="Y367" t="s">
        <v>22</v>
      </c>
      <c r="AA367">
        <f>VLOOKUP(E367,'Transform table'!A:B,2,0)</f>
        <v>0</v>
      </c>
      <c r="AB367" t="e">
        <f>VLOOKUP(F367,'Transform table'!A:B,2,0)</f>
        <v>#N/A</v>
      </c>
      <c r="AC367" t="e">
        <f t="shared" si="5"/>
        <v>#N/A</v>
      </c>
      <c r="AD367" t="e">
        <f>VLOOKUP($AC367,'oddspedia-matches'!$A:$AD,AD$2,0)</f>
        <v>#N/A</v>
      </c>
      <c r="AE367" t="e">
        <f>VLOOKUP($AC367,'oddspedia-matches'!$A:$AD,AE$2,0)</f>
        <v>#N/A</v>
      </c>
      <c r="AF367" t="e">
        <f>VLOOKUP($AC367,'oddspedia-matches'!$A:$AD,AF$2,0)</f>
        <v>#N/A</v>
      </c>
      <c r="AG367" t="e">
        <f>VLOOKUP($AC367,'oddspedia-matches'!$A:$AD,AG$2,0)</f>
        <v>#N/A</v>
      </c>
      <c r="AH367" t="e">
        <f>VLOOKUP($AC367,'oddspedia-matches'!$A:$AD,AH$2,0)</f>
        <v>#N/A</v>
      </c>
      <c r="AI367" t="e">
        <f>VLOOKUP($AC367,'oddspedia-matches'!$A:$AD,AI$2,0)</f>
        <v>#N/A</v>
      </c>
      <c r="AJ367" t="e">
        <f>VLOOKUP($AC367,'oddspedia-matches'!$A:$AD,AJ$2,0)</f>
        <v>#N/A</v>
      </c>
      <c r="AK367" t="e">
        <f>VLOOKUP($AC367,'oddspedia-matches'!$A:$AD,AK$2,0)</f>
        <v>#N/A</v>
      </c>
      <c r="AL367" t="e">
        <f>VLOOKUP($AC367,'oddspedia-matches'!$A:$AD,AL$2,0)</f>
        <v>#N/A</v>
      </c>
      <c r="AM367" t="e">
        <f>VLOOKUP($AC367,'oddspedia-matches'!$A:$AD,AM$2,0)</f>
        <v>#N/A</v>
      </c>
      <c r="AN367" t="e">
        <f>VLOOKUP($AC367,'oddspedia-matches'!$A:$AD,AN$2,0)</f>
        <v>#N/A</v>
      </c>
      <c r="AO367" t="e">
        <f>VLOOKUP($AC367,'oddspedia-matches'!$A:$AD,AO$2,0)</f>
        <v>#N/A</v>
      </c>
      <c r="AP367" t="e">
        <f>VLOOKUP($AC367,'oddspedia-matches'!$A:$AD,AP$2,0)</f>
        <v>#N/A</v>
      </c>
      <c r="AQ367" t="e">
        <f>VLOOKUP($AC367,'oddspedia-matches'!$A:$AD,AQ$2,0)</f>
        <v>#N/A</v>
      </c>
      <c r="AR367" t="e">
        <f>VLOOKUP($AC367,'oddspedia-matches'!$A:$AD,AR$2,0)</f>
        <v>#N/A</v>
      </c>
      <c r="AS367" t="e">
        <f>VLOOKUP($AC367,'oddspedia-matches'!$A:$AD,AS$2,0)</f>
        <v>#N/A</v>
      </c>
      <c r="AT367" t="e">
        <f>VLOOKUP($AC367,'oddspedia-matches'!$A:$AD,AT$2,0)</f>
        <v>#N/A</v>
      </c>
    </row>
    <row r="368" spans="2:46" x14ac:dyDescent="0.25">
      <c r="B368" t="s">
        <v>469</v>
      </c>
      <c r="C368" t="s">
        <v>948</v>
      </c>
      <c r="D368" s="25">
        <v>0.41666666666666669</v>
      </c>
      <c r="E368" t="s">
        <v>1040</v>
      </c>
      <c r="F368" t="s">
        <v>1041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>
        <v>14.3</v>
      </c>
      <c r="Y368">
        <v>14.3</v>
      </c>
      <c r="AA368" t="str">
        <f>VLOOKUP(E368,'Transform table'!A:B,2,0)</f>
        <v>Liversedge</v>
      </c>
      <c r="AB368" t="e">
        <f>VLOOKUP(F368,'Transform table'!A:B,2,0)</f>
        <v>#N/A</v>
      </c>
      <c r="AC368" t="e">
        <f t="shared" si="5"/>
        <v>#N/A</v>
      </c>
      <c r="AD368" t="e">
        <f>VLOOKUP($AC368,'oddspedia-matches'!$A:$AD,AD$2,0)</f>
        <v>#N/A</v>
      </c>
      <c r="AE368" t="e">
        <f>VLOOKUP($AC368,'oddspedia-matches'!$A:$AD,AE$2,0)</f>
        <v>#N/A</v>
      </c>
      <c r="AF368" t="e">
        <f>VLOOKUP($AC368,'oddspedia-matches'!$A:$AD,AF$2,0)</f>
        <v>#N/A</v>
      </c>
      <c r="AG368" t="e">
        <f>VLOOKUP($AC368,'oddspedia-matches'!$A:$AD,AG$2,0)</f>
        <v>#N/A</v>
      </c>
      <c r="AH368" t="e">
        <f>VLOOKUP($AC368,'oddspedia-matches'!$A:$AD,AH$2,0)</f>
        <v>#N/A</v>
      </c>
      <c r="AI368" t="e">
        <f>VLOOKUP($AC368,'oddspedia-matches'!$A:$AD,AI$2,0)</f>
        <v>#N/A</v>
      </c>
      <c r="AJ368" t="e">
        <f>VLOOKUP($AC368,'oddspedia-matches'!$A:$AD,AJ$2,0)</f>
        <v>#N/A</v>
      </c>
      <c r="AK368" t="e">
        <f>VLOOKUP($AC368,'oddspedia-matches'!$A:$AD,AK$2,0)</f>
        <v>#N/A</v>
      </c>
      <c r="AL368" t="e">
        <f>VLOOKUP($AC368,'oddspedia-matches'!$A:$AD,AL$2,0)</f>
        <v>#N/A</v>
      </c>
      <c r="AM368" t="e">
        <f>VLOOKUP($AC368,'oddspedia-matches'!$A:$AD,AM$2,0)</f>
        <v>#N/A</v>
      </c>
      <c r="AN368" t="e">
        <f>VLOOKUP($AC368,'oddspedia-matches'!$A:$AD,AN$2,0)</f>
        <v>#N/A</v>
      </c>
      <c r="AO368" t="e">
        <f>VLOOKUP($AC368,'oddspedia-matches'!$A:$AD,AO$2,0)</f>
        <v>#N/A</v>
      </c>
      <c r="AP368" t="e">
        <f>VLOOKUP($AC368,'oddspedia-matches'!$A:$AD,AP$2,0)</f>
        <v>#N/A</v>
      </c>
      <c r="AQ368" t="e">
        <f>VLOOKUP($AC368,'oddspedia-matches'!$A:$AD,AQ$2,0)</f>
        <v>#N/A</v>
      </c>
      <c r="AR368" t="e">
        <f>VLOOKUP($AC368,'oddspedia-matches'!$A:$AD,AR$2,0)</f>
        <v>#N/A</v>
      </c>
      <c r="AS368" t="e">
        <f>VLOOKUP($AC368,'oddspedia-matches'!$A:$AD,AS$2,0)</f>
        <v>#N/A</v>
      </c>
      <c r="AT368" t="e">
        <f>VLOOKUP($AC368,'oddspedia-matches'!$A:$AD,AT$2,0)</f>
        <v>#N/A</v>
      </c>
    </row>
    <row r="369" spans="2:46" x14ac:dyDescent="0.25">
      <c r="B369" t="s">
        <v>1042</v>
      </c>
      <c r="C369" t="s">
        <v>948</v>
      </c>
      <c r="D369" s="25">
        <v>0.44791666666666669</v>
      </c>
      <c r="E369" t="s">
        <v>1043</v>
      </c>
      <c r="F369" t="s">
        <v>1044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">
        <v>22</v>
      </c>
      <c r="Y369" t="s">
        <v>22</v>
      </c>
      <c r="AA369" t="str">
        <f>VLOOKUP(E369,'Transform table'!A:B,2,0)</f>
        <v>Vasco Da Gama RJ</v>
      </c>
      <c r="AB369" t="e">
        <f>VLOOKUP(F369,'Transform table'!A:B,2,0)</f>
        <v>#N/A</v>
      </c>
      <c r="AC369" t="e">
        <f t="shared" si="5"/>
        <v>#N/A</v>
      </c>
      <c r="AD369" t="e">
        <f>VLOOKUP($AC369,'oddspedia-matches'!$A:$AD,AD$2,0)</f>
        <v>#N/A</v>
      </c>
      <c r="AE369" t="e">
        <f>VLOOKUP($AC369,'oddspedia-matches'!$A:$AD,AE$2,0)</f>
        <v>#N/A</v>
      </c>
      <c r="AF369" t="e">
        <f>VLOOKUP($AC369,'oddspedia-matches'!$A:$AD,AF$2,0)</f>
        <v>#N/A</v>
      </c>
      <c r="AG369" t="e">
        <f>VLOOKUP($AC369,'oddspedia-matches'!$A:$AD,AG$2,0)</f>
        <v>#N/A</v>
      </c>
      <c r="AH369" t="e">
        <f>VLOOKUP($AC369,'oddspedia-matches'!$A:$AD,AH$2,0)</f>
        <v>#N/A</v>
      </c>
      <c r="AI369" t="e">
        <f>VLOOKUP($AC369,'oddspedia-matches'!$A:$AD,AI$2,0)</f>
        <v>#N/A</v>
      </c>
      <c r="AJ369" t="e">
        <f>VLOOKUP($AC369,'oddspedia-matches'!$A:$AD,AJ$2,0)</f>
        <v>#N/A</v>
      </c>
      <c r="AK369" t="e">
        <f>VLOOKUP($AC369,'oddspedia-matches'!$A:$AD,AK$2,0)</f>
        <v>#N/A</v>
      </c>
      <c r="AL369" t="e">
        <f>VLOOKUP($AC369,'oddspedia-matches'!$A:$AD,AL$2,0)</f>
        <v>#N/A</v>
      </c>
      <c r="AM369" t="e">
        <f>VLOOKUP($AC369,'oddspedia-matches'!$A:$AD,AM$2,0)</f>
        <v>#N/A</v>
      </c>
      <c r="AN369" t="e">
        <f>VLOOKUP($AC369,'oddspedia-matches'!$A:$AD,AN$2,0)</f>
        <v>#N/A</v>
      </c>
      <c r="AO369" t="e">
        <f>VLOOKUP($AC369,'oddspedia-matches'!$A:$AD,AO$2,0)</f>
        <v>#N/A</v>
      </c>
      <c r="AP369" t="e">
        <f>VLOOKUP($AC369,'oddspedia-matches'!$A:$AD,AP$2,0)</f>
        <v>#N/A</v>
      </c>
      <c r="AQ369" t="e">
        <f>VLOOKUP($AC369,'oddspedia-matches'!$A:$AD,AQ$2,0)</f>
        <v>#N/A</v>
      </c>
      <c r="AR369" t="e">
        <f>VLOOKUP($AC369,'oddspedia-matches'!$A:$AD,AR$2,0)</f>
        <v>#N/A</v>
      </c>
      <c r="AS369" t="e">
        <f>VLOOKUP($AC369,'oddspedia-matches'!$A:$AD,AS$2,0)</f>
        <v>#N/A</v>
      </c>
      <c r="AT369" t="e">
        <f>VLOOKUP($AC369,'oddspedia-matches'!$A:$AD,AT$2,0)</f>
        <v>#N/A</v>
      </c>
    </row>
    <row r="370" spans="2:46" x14ac:dyDescent="0.25">
      <c r="B370" t="s">
        <v>602</v>
      </c>
      <c r="C370" t="s">
        <v>948</v>
      </c>
      <c r="D370" s="25">
        <v>0.45833333333333331</v>
      </c>
      <c r="E370" t="s">
        <v>1045</v>
      </c>
      <c r="F370" t="s">
        <v>1046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>
        <v>0</v>
      </c>
      <c r="Y370">
        <v>16.7</v>
      </c>
      <c r="AA370" t="str">
        <f>VLOOKUP(E370,'Transform table'!A:B,2,0)</f>
        <v>Astana U21</v>
      </c>
      <c r="AB370" t="e">
        <f>VLOOKUP(F370,'Transform table'!A:B,2,0)</f>
        <v>#N/A</v>
      </c>
      <c r="AC370" t="e">
        <f t="shared" si="5"/>
        <v>#N/A</v>
      </c>
      <c r="AD370" t="e">
        <f>VLOOKUP($AC370,'oddspedia-matches'!$A:$AD,AD$2,0)</f>
        <v>#N/A</v>
      </c>
      <c r="AE370" t="e">
        <f>VLOOKUP($AC370,'oddspedia-matches'!$A:$AD,AE$2,0)</f>
        <v>#N/A</v>
      </c>
      <c r="AF370" t="e">
        <f>VLOOKUP($AC370,'oddspedia-matches'!$A:$AD,AF$2,0)</f>
        <v>#N/A</v>
      </c>
      <c r="AG370" t="e">
        <f>VLOOKUP($AC370,'oddspedia-matches'!$A:$AD,AG$2,0)</f>
        <v>#N/A</v>
      </c>
      <c r="AH370" t="e">
        <f>VLOOKUP($AC370,'oddspedia-matches'!$A:$AD,AH$2,0)</f>
        <v>#N/A</v>
      </c>
      <c r="AI370" t="e">
        <f>VLOOKUP($AC370,'oddspedia-matches'!$A:$AD,AI$2,0)</f>
        <v>#N/A</v>
      </c>
      <c r="AJ370" t="e">
        <f>VLOOKUP($AC370,'oddspedia-matches'!$A:$AD,AJ$2,0)</f>
        <v>#N/A</v>
      </c>
      <c r="AK370" t="e">
        <f>VLOOKUP($AC370,'oddspedia-matches'!$A:$AD,AK$2,0)</f>
        <v>#N/A</v>
      </c>
      <c r="AL370" t="e">
        <f>VLOOKUP($AC370,'oddspedia-matches'!$A:$AD,AL$2,0)</f>
        <v>#N/A</v>
      </c>
      <c r="AM370" t="e">
        <f>VLOOKUP($AC370,'oddspedia-matches'!$A:$AD,AM$2,0)</f>
        <v>#N/A</v>
      </c>
      <c r="AN370" t="e">
        <f>VLOOKUP($AC370,'oddspedia-matches'!$A:$AD,AN$2,0)</f>
        <v>#N/A</v>
      </c>
      <c r="AO370" t="e">
        <f>VLOOKUP($AC370,'oddspedia-matches'!$A:$AD,AO$2,0)</f>
        <v>#N/A</v>
      </c>
      <c r="AP370" t="e">
        <f>VLOOKUP($AC370,'oddspedia-matches'!$A:$AD,AP$2,0)</f>
        <v>#N/A</v>
      </c>
      <c r="AQ370" t="e">
        <f>VLOOKUP($AC370,'oddspedia-matches'!$A:$AD,AQ$2,0)</f>
        <v>#N/A</v>
      </c>
      <c r="AR370" t="e">
        <f>VLOOKUP($AC370,'oddspedia-matches'!$A:$AD,AR$2,0)</f>
        <v>#N/A</v>
      </c>
      <c r="AS370" t="e">
        <f>VLOOKUP($AC370,'oddspedia-matches'!$A:$AD,AS$2,0)</f>
        <v>#N/A</v>
      </c>
      <c r="AT370" t="e">
        <f>VLOOKUP($AC370,'oddspedia-matches'!$A:$AD,AT$2,0)</f>
        <v>#N/A</v>
      </c>
    </row>
    <row r="371" spans="2:46" x14ac:dyDescent="0.25">
      <c r="B371" t="s">
        <v>602</v>
      </c>
      <c r="C371" t="s">
        <v>948</v>
      </c>
      <c r="D371" s="25">
        <v>0.45833333333333331</v>
      </c>
      <c r="E371" t="s">
        <v>1047</v>
      </c>
      <c r="F371" t="s">
        <v>1048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">
        <v>22</v>
      </c>
      <c r="Y371" t="s">
        <v>22</v>
      </c>
      <c r="AA371" t="str">
        <f>VLOOKUP(E371,'Transform table'!A:B,2,0)</f>
        <v>Kairat</v>
      </c>
      <c r="AB371" t="e">
        <f>VLOOKUP(F371,'Transform table'!A:B,2,0)</f>
        <v>#N/A</v>
      </c>
      <c r="AC371" t="e">
        <f t="shared" si="5"/>
        <v>#N/A</v>
      </c>
      <c r="AD371" t="e">
        <f>VLOOKUP($AC371,'oddspedia-matches'!$A:$AD,AD$2,0)</f>
        <v>#N/A</v>
      </c>
      <c r="AE371" t="e">
        <f>VLOOKUP($AC371,'oddspedia-matches'!$A:$AD,AE$2,0)</f>
        <v>#N/A</v>
      </c>
      <c r="AF371" t="e">
        <f>VLOOKUP($AC371,'oddspedia-matches'!$A:$AD,AF$2,0)</f>
        <v>#N/A</v>
      </c>
      <c r="AG371" t="e">
        <f>VLOOKUP($AC371,'oddspedia-matches'!$A:$AD,AG$2,0)</f>
        <v>#N/A</v>
      </c>
      <c r="AH371" t="e">
        <f>VLOOKUP($AC371,'oddspedia-matches'!$A:$AD,AH$2,0)</f>
        <v>#N/A</v>
      </c>
      <c r="AI371" t="e">
        <f>VLOOKUP($AC371,'oddspedia-matches'!$A:$AD,AI$2,0)</f>
        <v>#N/A</v>
      </c>
      <c r="AJ371" t="e">
        <f>VLOOKUP($AC371,'oddspedia-matches'!$A:$AD,AJ$2,0)</f>
        <v>#N/A</v>
      </c>
      <c r="AK371" t="e">
        <f>VLOOKUP($AC371,'oddspedia-matches'!$A:$AD,AK$2,0)</f>
        <v>#N/A</v>
      </c>
      <c r="AL371" t="e">
        <f>VLOOKUP($AC371,'oddspedia-matches'!$A:$AD,AL$2,0)</f>
        <v>#N/A</v>
      </c>
      <c r="AM371" t="e">
        <f>VLOOKUP($AC371,'oddspedia-matches'!$A:$AD,AM$2,0)</f>
        <v>#N/A</v>
      </c>
      <c r="AN371" t="e">
        <f>VLOOKUP($AC371,'oddspedia-matches'!$A:$AD,AN$2,0)</f>
        <v>#N/A</v>
      </c>
      <c r="AO371" t="e">
        <f>VLOOKUP($AC371,'oddspedia-matches'!$A:$AD,AO$2,0)</f>
        <v>#N/A</v>
      </c>
      <c r="AP371" t="e">
        <f>VLOOKUP($AC371,'oddspedia-matches'!$A:$AD,AP$2,0)</f>
        <v>#N/A</v>
      </c>
      <c r="AQ371" t="e">
        <f>VLOOKUP($AC371,'oddspedia-matches'!$A:$AD,AQ$2,0)</f>
        <v>#N/A</v>
      </c>
      <c r="AR371" t="e">
        <f>VLOOKUP($AC371,'oddspedia-matches'!$A:$AD,AR$2,0)</f>
        <v>#N/A</v>
      </c>
      <c r="AS371" t="e">
        <f>VLOOKUP($AC371,'oddspedia-matches'!$A:$AD,AS$2,0)</f>
        <v>#N/A</v>
      </c>
      <c r="AT371" t="e">
        <f>VLOOKUP($AC371,'oddspedia-matches'!$A:$AD,AT$2,0)</f>
        <v>#N/A</v>
      </c>
    </row>
    <row r="372" spans="2:46" x14ac:dyDescent="0.25">
      <c r="B372" t="s">
        <v>1000</v>
      </c>
      <c r="C372" t="s">
        <v>948</v>
      </c>
      <c r="D372" s="25">
        <v>0.45833333333333331</v>
      </c>
      <c r="E372" t="s">
        <v>1049</v>
      </c>
      <c r="F372" t="s">
        <v>1050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">
        <v>22</v>
      </c>
      <c r="Y372" t="s">
        <v>22</v>
      </c>
      <c r="AA372" t="str">
        <f>VLOOKUP(E372,'Transform table'!A:B,2,0)</f>
        <v>Copenhagen</v>
      </c>
      <c r="AB372" t="e">
        <f>VLOOKUP(F372,'Transform table'!A:B,2,0)</f>
        <v>#N/A</v>
      </c>
      <c r="AC372" t="e">
        <f t="shared" si="5"/>
        <v>#N/A</v>
      </c>
      <c r="AD372" t="e">
        <f>VLOOKUP($AC372,'oddspedia-matches'!$A:$AD,AD$2,0)</f>
        <v>#N/A</v>
      </c>
      <c r="AE372" t="e">
        <f>VLOOKUP($AC372,'oddspedia-matches'!$A:$AD,AE$2,0)</f>
        <v>#N/A</v>
      </c>
      <c r="AF372" t="e">
        <f>VLOOKUP($AC372,'oddspedia-matches'!$A:$AD,AF$2,0)</f>
        <v>#N/A</v>
      </c>
      <c r="AG372" t="e">
        <f>VLOOKUP($AC372,'oddspedia-matches'!$A:$AD,AG$2,0)</f>
        <v>#N/A</v>
      </c>
      <c r="AH372" t="e">
        <f>VLOOKUP($AC372,'oddspedia-matches'!$A:$AD,AH$2,0)</f>
        <v>#N/A</v>
      </c>
      <c r="AI372" t="e">
        <f>VLOOKUP($AC372,'oddspedia-matches'!$A:$AD,AI$2,0)</f>
        <v>#N/A</v>
      </c>
      <c r="AJ372" t="e">
        <f>VLOOKUP($AC372,'oddspedia-matches'!$A:$AD,AJ$2,0)</f>
        <v>#N/A</v>
      </c>
      <c r="AK372" t="e">
        <f>VLOOKUP($AC372,'oddspedia-matches'!$A:$AD,AK$2,0)</f>
        <v>#N/A</v>
      </c>
      <c r="AL372" t="e">
        <f>VLOOKUP($AC372,'oddspedia-matches'!$A:$AD,AL$2,0)</f>
        <v>#N/A</v>
      </c>
      <c r="AM372" t="e">
        <f>VLOOKUP($AC372,'oddspedia-matches'!$A:$AD,AM$2,0)</f>
        <v>#N/A</v>
      </c>
      <c r="AN372" t="e">
        <f>VLOOKUP($AC372,'oddspedia-matches'!$A:$AD,AN$2,0)</f>
        <v>#N/A</v>
      </c>
      <c r="AO372" t="e">
        <f>VLOOKUP($AC372,'oddspedia-matches'!$A:$AD,AO$2,0)</f>
        <v>#N/A</v>
      </c>
      <c r="AP372" t="e">
        <f>VLOOKUP($AC372,'oddspedia-matches'!$A:$AD,AP$2,0)</f>
        <v>#N/A</v>
      </c>
      <c r="AQ372" t="e">
        <f>VLOOKUP($AC372,'oddspedia-matches'!$A:$AD,AQ$2,0)</f>
        <v>#N/A</v>
      </c>
      <c r="AR372" t="e">
        <f>VLOOKUP($AC372,'oddspedia-matches'!$A:$AD,AR$2,0)</f>
        <v>#N/A</v>
      </c>
      <c r="AS372" t="e">
        <f>VLOOKUP($AC372,'oddspedia-matches'!$A:$AD,AS$2,0)</f>
        <v>#N/A</v>
      </c>
      <c r="AT372" t="e">
        <f>VLOOKUP($AC372,'oddspedia-matches'!$A:$AD,AT$2,0)</f>
        <v>#N/A</v>
      </c>
    </row>
    <row r="373" spans="2:46" x14ac:dyDescent="0.25">
      <c r="B373" t="s">
        <v>1051</v>
      </c>
      <c r="C373" t="s">
        <v>948</v>
      </c>
      <c r="D373" s="25">
        <v>0.45833333333333331</v>
      </c>
      <c r="E373" t="s">
        <v>1052</v>
      </c>
      <c r="F373" t="s">
        <v>1053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">
        <v>22</v>
      </c>
      <c r="Y373" t="s">
        <v>22</v>
      </c>
      <c r="AA373" t="str">
        <f>VLOOKUP(E373,'Transform table'!A:B,2,0)</f>
        <v>St. Mirren</v>
      </c>
      <c r="AB373" t="e">
        <f>VLOOKUP(F373,'Transform table'!A:B,2,0)</f>
        <v>#N/A</v>
      </c>
      <c r="AC373" t="e">
        <f t="shared" si="5"/>
        <v>#N/A</v>
      </c>
      <c r="AD373" t="e">
        <f>VLOOKUP($AC373,'oddspedia-matches'!$A:$AD,AD$2,0)</f>
        <v>#N/A</v>
      </c>
      <c r="AE373" t="e">
        <f>VLOOKUP($AC373,'oddspedia-matches'!$A:$AD,AE$2,0)</f>
        <v>#N/A</v>
      </c>
      <c r="AF373" t="e">
        <f>VLOOKUP($AC373,'oddspedia-matches'!$A:$AD,AF$2,0)</f>
        <v>#N/A</v>
      </c>
      <c r="AG373" t="e">
        <f>VLOOKUP($AC373,'oddspedia-matches'!$A:$AD,AG$2,0)</f>
        <v>#N/A</v>
      </c>
      <c r="AH373" t="e">
        <f>VLOOKUP($AC373,'oddspedia-matches'!$A:$AD,AH$2,0)</f>
        <v>#N/A</v>
      </c>
      <c r="AI373" t="e">
        <f>VLOOKUP($AC373,'oddspedia-matches'!$A:$AD,AI$2,0)</f>
        <v>#N/A</v>
      </c>
      <c r="AJ373" t="e">
        <f>VLOOKUP($AC373,'oddspedia-matches'!$A:$AD,AJ$2,0)</f>
        <v>#N/A</v>
      </c>
      <c r="AK373" t="e">
        <f>VLOOKUP($AC373,'oddspedia-matches'!$A:$AD,AK$2,0)</f>
        <v>#N/A</v>
      </c>
      <c r="AL373" t="e">
        <f>VLOOKUP($AC373,'oddspedia-matches'!$A:$AD,AL$2,0)</f>
        <v>#N/A</v>
      </c>
      <c r="AM373" t="e">
        <f>VLOOKUP($AC373,'oddspedia-matches'!$A:$AD,AM$2,0)</f>
        <v>#N/A</v>
      </c>
      <c r="AN373" t="e">
        <f>VLOOKUP($AC373,'oddspedia-matches'!$A:$AD,AN$2,0)</f>
        <v>#N/A</v>
      </c>
      <c r="AO373" t="e">
        <f>VLOOKUP($AC373,'oddspedia-matches'!$A:$AD,AO$2,0)</f>
        <v>#N/A</v>
      </c>
      <c r="AP373" t="e">
        <f>VLOOKUP($AC373,'oddspedia-matches'!$A:$AD,AP$2,0)</f>
        <v>#N/A</v>
      </c>
      <c r="AQ373" t="e">
        <f>VLOOKUP($AC373,'oddspedia-matches'!$A:$AD,AQ$2,0)</f>
        <v>#N/A</v>
      </c>
      <c r="AR373" t="e">
        <f>VLOOKUP($AC373,'oddspedia-matches'!$A:$AD,AR$2,0)</f>
        <v>#N/A</v>
      </c>
      <c r="AS373" t="e">
        <f>VLOOKUP($AC373,'oddspedia-matches'!$A:$AD,AS$2,0)</f>
        <v>#N/A</v>
      </c>
      <c r="AT373" t="e">
        <f>VLOOKUP($AC373,'oddspedia-matches'!$A:$AD,AT$2,0)</f>
        <v>#N/A</v>
      </c>
    </row>
    <row r="374" spans="2:46" x14ac:dyDescent="0.25">
      <c r="B374" t="s">
        <v>492</v>
      </c>
      <c r="C374" t="s">
        <v>948</v>
      </c>
      <c r="D374" s="25">
        <v>0.45833333333333331</v>
      </c>
      <c r="E374" t="s">
        <v>1054</v>
      </c>
      <c r="F374" t="s">
        <v>245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>
        <v>12.5</v>
      </c>
      <c r="Y374">
        <v>0</v>
      </c>
      <c r="AA374" t="str">
        <f>VLOOKUP(E374,'Transform table'!A:B,2,0)</f>
        <v>HJK Helsinki</v>
      </c>
      <c r="AB374" t="str">
        <f>VLOOKUP(F374,'Transform table'!A:B,2,0)</f>
        <v>Turku PS</v>
      </c>
      <c r="AC374" t="str">
        <f t="shared" si="5"/>
        <v>26/07/2026HJK HelsinkiTurku PS</v>
      </c>
      <c r="AD374" t="e">
        <f>VLOOKUP($AC374,'oddspedia-matches'!$A:$AD,AD$2,0)</f>
        <v>#N/A</v>
      </c>
      <c r="AE374" t="e">
        <f>VLOOKUP($AC374,'oddspedia-matches'!$A:$AD,AE$2,0)</f>
        <v>#N/A</v>
      </c>
      <c r="AF374" t="e">
        <f>VLOOKUP($AC374,'oddspedia-matches'!$A:$AD,AF$2,0)</f>
        <v>#N/A</v>
      </c>
      <c r="AG374" t="e">
        <f>VLOOKUP($AC374,'oddspedia-matches'!$A:$AD,AG$2,0)</f>
        <v>#N/A</v>
      </c>
      <c r="AH374" t="e">
        <f>VLOOKUP($AC374,'oddspedia-matches'!$A:$AD,AH$2,0)</f>
        <v>#N/A</v>
      </c>
      <c r="AI374" t="e">
        <f>VLOOKUP($AC374,'oddspedia-matches'!$A:$AD,AI$2,0)</f>
        <v>#N/A</v>
      </c>
      <c r="AJ374" t="e">
        <f>VLOOKUP($AC374,'oddspedia-matches'!$A:$AD,AJ$2,0)</f>
        <v>#N/A</v>
      </c>
      <c r="AK374" t="e">
        <f>VLOOKUP($AC374,'oddspedia-matches'!$A:$AD,AK$2,0)</f>
        <v>#N/A</v>
      </c>
      <c r="AL374" t="e">
        <f>VLOOKUP($AC374,'oddspedia-matches'!$A:$AD,AL$2,0)</f>
        <v>#N/A</v>
      </c>
      <c r="AM374" t="e">
        <f>VLOOKUP($AC374,'oddspedia-matches'!$A:$AD,AM$2,0)</f>
        <v>#N/A</v>
      </c>
      <c r="AN374" t="e">
        <f>VLOOKUP($AC374,'oddspedia-matches'!$A:$AD,AN$2,0)</f>
        <v>#N/A</v>
      </c>
      <c r="AO374" t="e">
        <f>VLOOKUP($AC374,'oddspedia-matches'!$A:$AD,AO$2,0)</f>
        <v>#N/A</v>
      </c>
      <c r="AP374" t="e">
        <f>VLOOKUP($AC374,'oddspedia-matches'!$A:$AD,AP$2,0)</f>
        <v>#N/A</v>
      </c>
      <c r="AQ374" t="e">
        <f>VLOOKUP($AC374,'oddspedia-matches'!$A:$AD,AQ$2,0)</f>
        <v>#N/A</v>
      </c>
      <c r="AR374" t="e">
        <f>VLOOKUP($AC374,'oddspedia-matches'!$A:$AD,AR$2,0)</f>
        <v>#N/A</v>
      </c>
      <c r="AS374" t="e">
        <f>VLOOKUP($AC374,'oddspedia-matches'!$A:$AD,AS$2,0)</f>
        <v>#N/A</v>
      </c>
      <c r="AT374" t="e">
        <f>VLOOKUP($AC374,'oddspedia-matches'!$A:$AD,AT$2,0)</f>
        <v>#N/A</v>
      </c>
    </row>
    <row r="375" spans="2:46" x14ac:dyDescent="0.25">
      <c r="B375" t="s">
        <v>983</v>
      </c>
      <c r="C375" t="s">
        <v>948</v>
      </c>
      <c r="D375" s="25">
        <v>0.45833333333333331</v>
      </c>
      <c r="E375" t="s">
        <v>1055</v>
      </c>
      <c r="F375" t="s">
        <v>1056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s">
        <v>22</v>
      </c>
      <c r="Y375" t="s">
        <v>22</v>
      </c>
      <c r="AA375" t="str">
        <f>VLOOKUP(E375,'Transform table'!A:B,2,0)</f>
        <v>Lokomotiv Sofia</v>
      </c>
      <c r="AB375" t="e">
        <f>VLOOKUP(F375,'Transform table'!A:B,2,0)</f>
        <v>#N/A</v>
      </c>
      <c r="AC375" t="e">
        <f t="shared" si="5"/>
        <v>#N/A</v>
      </c>
      <c r="AD375" t="e">
        <f>VLOOKUP($AC375,'oddspedia-matches'!$A:$AD,AD$2,0)</f>
        <v>#N/A</v>
      </c>
      <c r="AE375" t="e">
        <f>VLOOKUP($AC375,'oddspedia-matches'!$A:$AD,AE$2,0)</f>
        <v>#N/A</v>
      </c>
      <c r="AF375" t="e">
        <f>VLOOKUP($AC375,'oddspedia-matches'!$A:$AD,AF$2,0)</f>
        <v>#N/A</v>
      </c>
      <c r="AG375" t="e">
        <f>VLOOKUP($AC375,'oddspedia-matches'!$A:$AD,AG$2,0)</f>
        <v>#N/A</v>
      </c>
      <c r="AH375" t="e">
        <f>VLOOKUP($AC375,'oddspedia-matches'!$A:$AD,AH$2,0)</f>
        <v>#N/A</v>
      </c>
      <c r="AI375" t="e">
        <f>VLOOKUP($AC375,'oddspedia-matches'!$A:$AD,AI$2,0)</f>
        <v>#N/A</v>
      </c>
      <c r="AJ375" t="e">
        <f>VLOOKUP($AC375,'oddspedia-matches'!$A:$AD,AJ$2,0)</f>
        <v>#N/A</v>
      </c>
      <c r="AK375" t="e">
        <f>VLOOKUP($AC375,'oddspedia-matches'!$A:$AD,AK$2,0)</f>
        <v>#N/A</v>
      </c>
      <c r="AL375" t="e">
        <f>VLOOKUP($AC375,'oddspedia-matches'!$A:$AD,AL$2,0)</f>
        <v>#N/A</v>
      </c>
      <c r="AM375" t="e">
        <f>VLOOKUP($AC375,'oddspedia-matches'!$A:$AD,AM$2,0)</f>
        <v>#N/A</v>
      </c>
      <c r="AN375" t="e">
        <f>VLOOKUP($AC375,'oddspedia-matches'!$A:$AD,AN$2,0)</f>
        <v>#N/A</v>
      </c>
      <c r="AO375" t="e">
        <f>VLOOKUP($AC375,'oddspedia-matches'!$A:$AD,AO$2,0)</f>
        <v>#N/A</v>
      </c>
      <c r="AP375" t="e">
        <f>VLOOKUP($AC375,'oddspedia-matches'!$A:$AD,AP$2,0)</f>
        <v>#N/A</v>
      </c>
      <c r="AQ375" t="e">
        <f>VLOOKUP($AC375,'oddspedia-matches'!$A:$AD,AQ$2,0)</f>
        <v>#N/A</v>
      </c>
      <c r="AR375" t="e">
        <f>VLOOKUP($AC375,'oddspedia-matches'!$A:$AD,AR$2,0)</f>
        <v>#N/A</v>
      </c>
      <c r="AS375" t="e">
        <f>VLOOKUP($AC375,'oddspedia-matches'!$A:$AD,AS$2,0)</f>
        <v>#N/A</v>
      </c>
      <c r="AT375" t="e">
        <f>VLOOKUP($AC375,'oddspedia-matches'!$A:$AD,AT$2,0)</f>
        <v>#N/A</v>
      </c>
    </row>
    <row r="376" spans="2:46" x14ac:dyDescent="0.25">
      <c r="B376" t="s">
        <v>965</v>
      </c>
      <c r="C376" t="s">
        <v>948</v>
      </c>
      <c r="D376" s="25">
        <v>0.45833333333333331</v>
      </c>
      <c r="E376" t="s">
        <v>1057</v>
      </c>
      <c r="F376" t="s">
        <v>1058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">
        <v>22</v>
      </c>
      <c r="Y376" t="s">
        <v>22</v>
      </c>
      <c r="AA376" t="str">
        <f>VLOOKUP(E376,'Transform table'!A:B,2,0)</f>
        <v>Tottenham</v>
      </c>
      <c r="AB376" t="e">
        <f>VLOOKUP(F376,'Transform table'!A:B,2,0)</f>
        <v>#N/A</v>
      </c>
      <c r="AC376" t="e">
        <f t="shared" si="5"/>
        <v>#N/A</v>
      </c>
      <c r="AD376" t="e">
        <f>VLOOKUP($AC376,'oddspedia-matches'!$A:$AD,AD$2,0)</f>
        <v>#N/A</v>
      </c>
      <c r="AE376" t="e">
        <f>VLOOKUP($AC376,'oddspedia-matches'!$A:$AD,AE$2,0)</f>
        <v>#N/A</v>
      </c>
      <c r="AF376" t="e">
        <f>VLOOKUP($AC376,'oddspedia-matches'!$A:$AD,AF$2,0)</f>
        <v>#N/A</v>
      </c>
      <c r="AG376" t="e">
        <f>VLOOKUP($AC376,'oddspedia-matches'!$A:$AD,AG$2,0)</f>
        <v>#N/A</v>
      </c>
      <c r="AH376" t="e">
        <f>VLOOKUP($AC376,'oddspedia-matches'!$A:$AD,AH$2,0)</f>
        <v>#N/A</v>
      </c>
      <c r="AI376" t="e">
        <f>VLOOKUP($AC376,'oddspedia-matches'!$A:$AD,AI$2,0)</f>
        <v>#N/A</v>
      </c>
      <c r="AJ376" t="e">
        <f>VLOOKUP($AC376,'oddspedia-matches'!$A:$AD,AJ$2,0)</f>
        <v>#N/A</v>
      </c>
      <c r="AK376" t="e">
        <f>VLOOKUP($AC376,'oddspedia-matches'!$A:$AD,AK$2,0)</f>
        <v>#N/A</v>
      </c>
      <c r="AL376" t="e">
        <f>VLOOKUP($AC376,'oddspedia-matches'!$A:$AD,AL$2,0)</f>
        <v>#N/A</v>
      </c>
      <c r="AM376" t="e">
        <f>VLOOKUP($AC376,'oddspedia-matches'!$A:$AD,AM$2,0)</f>
        <v>#N/A</v>
      </c>
      <c r="AN376" t="e">
        <f>VLOOKUP($AC376,'oddspedia-matches'!$A:$AD,AN$2,0)</f>
        <v>#N/A</v>
      </c>
      <c r="AO376" t="e">
        <f>VLOOKUP($AC376,'oddspedia-matches'!$A:$AD,AO$2,0)</f>
        <v>#N/A</v>
      </c>
      <c r="AP376" t="e">
        <f>VLOOKUP($AC376,'oddspedia-matches'!$A:$AD,AP$2,0)</f>
        <v>#N/A</v>
      </c>
      <c r="AQ376" t="e">
        <f>VLOOKUP($AC376,'oddspedia-matches'!$A:$AD,AQ$2,0)</f>
        <v>#N/A</v>
      </c>
      <c r="AR376" t="e">
        <f>VLOOKUP($AC376,'oddspedia-matches'!$A:$AD,AR$2,0)</f>
        <v>#N/A</v>
      </c>
      <c r="AS376" t="e">
        <f>VLOOKUP($AC376,'oddspedia-matches'!$A:$AD,AS$2,0)</f>
        <v>#N/A</v>
      </c>
      <c r="AT376" t="e">
        <f>VLOOKUP($AC376,'oddspedia-matches'!$A:$AD,AT$2,0)</f>
        <v>#N/A</v>
      </c>
    </row>
    <row r="377" spans="2:46" x14ac:dyDescent="0.25">
      <c r="B377" t="s">
        <v>504</v>
      </c>
      <c r="C377" t="s">
        <v>948</v>
      </c>
      <c r="D377" s="25">
        <v>0.45833333333333331</v>
      </c>
      <c r="E377" t="s">
        <v>1059</v>
      </c>
      <c r="F377" t="s">
        <v>1060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t="s">
        <v>22</v>
      </c>
      <c r="Y377" t="s">
        <v>22</v>
      </c>
      <c r="AA377">
        <f>VLOOKUP(E377,'Transform table'!A:B,2,0)</f>
        <v>0</v>
      </c>
      <c r="AB377" t="e">
        <f>VLOOKUP(F377,'Transform table'!A:B,2,0)</f>
        <v>#N/A</v>
      </c>
      <c r="AC377" t="e">
        <f t="shared" si="5"/>
        <v>#N/A</v>
      </c>
      <c r="AD377" t="e">
        <f>VLOOKUP($AC377,'oddspedia-matches'!$A:$AD,AD$2,0)</f>
        <v>#N/A</v>
      </c>
      <c r="AE377" t="e">
        <f>VLOOKUP($AC377,'oddspedia-matches'!$A:$AD,AE$2,0)</f>
        <v>#N/A</v>
      </c>
      <c r="AF377" t="e">
        <f>VLOOKUP($AC377,'oddspedia-matches'!$A:$AD,AF$2,0)</f>
        <v>#N/A</v>
      </c>
      <c r="AG377" t="e">
        <f>VLOOKUP($AC377,'oddspedia-matches'!$A:$AD,AG$2,0)</f>
        <v>#N/A</v>
      </c>
      <c r="AH377" t="e">
        <f>VLOOKUP($AC377,'oddspedia-matches'!$A:$AD,AH$2,0)</f>
        <v>#N/A</v>
      </c>
      <c r="AI377" t="e">
        <f>VLOOKUP($AC377,'oddspedia-matches'!$A:$AD,AI$2,0)</f>
        <v>#N/A</v>
      </c>
      <c r="AJ377" t="e">
        <f>VLOOKUP($AC377,'oddspedia-matches'!$A:$AD,AJ$2,0)</f>
        <v>#N/A</v>
      </c>
      <c r="AK377" t="e">
        <f>VLOOKUP($AC377,'oddspedia-matches'!$A:$AD,AK$2,0)</f>
        <v>#N/A</v>
      </c>
      <c r="AL377" t="e">
        <f>VLOOKUP($AC377,'oddspedia-matches'!$A:$AD,AL$2,0)</f>
        <v>#N/A</v>
      </c>
      <c r="AM377" t="e">
        <f>VLOOKUP($AC377,'oddspedia-matches'!$A:$AD,AM$2,0)</f>
        <v>#N/A</v>
      </c>
      <c r="AN377" t="e">
        <f>VLOOKUP($AC377,'oddspedia-matches'!$A:$AD,AN$2,0)</f>
        <v>#N/A</v>
      </c>
      <c r="AO377" t="e">
        <f>VLOOKUP($AC377,'oddspedia-matches'!$A:$AD,AO$2,0)</f>
        <v>#N/A</v>
      </c>
      <c r="AP377" t="e">
        <f>VLOOKUP($AC377,'oddspedia-matches'!$A:$AD,AP$2,0)</f>
        <v>#N/A</v>
      </c>
      <c r="AQ377" t="e">
        <f>VLOOKUP($AC377,'oddspedia-matches'!$A:$AD,AQ$2,0)</f>
        <v>#N/A</v>
      </c>
      <c r="AR377" t="e">
        <f>VLOOKUP($AC377,'oddspedia-matches'!$A:$AD,AR$2,0)</f>
        <v>#N/A</v>
      </c>
      <c r="AS377" t="e">
        <f>VLOOKUP($AC377,'oddspedia-matches'!$A:$AD,AS$2,0)</f>
        <v>#N/A</v>
      </c>
      <c r="AT377" t="e">
        <f>VLOOKUP($AC377,'oddspedia-matches'!$A:$AD,AT$2,0)</f>
        <v>#N/A</v>
      </c>
    </row>
    <row r="378" spans="2:46" x14ac:dyDescent="0.25">
      <c r="B378" t="s">
        <v>1061</v>
      </c>
      <c r="C378" t="s">
        <v>948</v>
      </c>
      <c r="D378" s="25">
        <v>0.47916666666666669</v>
      </c>
      <c r="E378" t="s">
        <v>1062</v>
      </c>
      <c r="F378" t="s">
        <v>1063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">
        <v>22</v>
      </c>
      <c r="Y378" t="s">
        <v>22</v>
      </c>
      <c r="AA378" t="str">
        <f>VLOOKUP(E378,'Transform table'!A:B,2,0)</f>
        <v>Sepsi OSK</v>
      </c>
      <c r="AB378" t="e">
        <f>VLOOKUP(F378,'Transform table'!A:B,2,0)</f>
        <v>#N/A</v>
      </c>
      <c r="AC378" t="e">
        <f t="shared" si="5"/>
        <v>#N/A</v>
      </c>
      <c r="AD378" t="e">
        <f>VLOOKUP($AC378,'oddspedia-matches'!$A:$AD,AD$2,0)</f>
        <v>#N/A</v>
      </c>
      <c r="AE378" t="e">
        <f>VLOOKUP($AC378,'oddspedia-matches'!$A:$AD,AE$2,0)</f>
        <v>#N/A</v>
      </c>
      <c r="AF378" t="e">
        <f>VLOOKUP($AC378,'oddspedia-matches'!$A:$AD,AF$2,0)</f>
        <v>#N/A</v>
      </c>
      <c r="AG378" t="e">
        <f>VLOOKUP($AC378,'oddspedia-matches'!$A:$AD,AG$2,0)</f>
        <v>#N/A</v>
      </c>
      <c r="AH378" t="e">
        <f>VLOOKUP($AC378,'oddspedia-matches'!$A:$AD,AH$2,0)</f>
        <v>#N/A</v>
      </c>
      <c r="AI378" t="e">
        <f>VLOOKUP($AC378,'oddspedia-matches'!$A:$AD,AI$2,0)</f>
        <v>#N/A</v>
      </c>
      <c r="AJ378" t="e">
        <f>VLOOKUP($AC378,'oddspedia-matches'!$A:$AD,AJ$2,0)</f>
        <v>#N/A</v>
      </c>
      <c r="AK378" t="e">
        <f>VLOOKUP($AC378,'oddspedia-matches'!$A:$AD,AK$2,0)</f>
        <v>#N/A</v>
      </c>
      <c r="AL378" t="e">
        <f>VLOOKUP($AC378,'oddspedia-matches'!$A:$AD,AL$2,0)</f>
        <v>#N/A</v>
      </c>
      <c r="AM378" t="e">
        <f>VLOOKUP($AC378,'oddspedia-matches'!$A:$AD,AM$2,0)</f>
        <v>#N/A</v>
      </c>
      <c r="AN378" t="e">
        <f>VLOOKUP($AC378,'oddspedia-matches'!$A:$AD,AN$2,0)</f>
        <v>#N/A</v>
      </c>
      <c r="AO378" t="e">
        <f>VLOOKUP($AC378,'oddspedia-matches'!$A:$AD,AO$2,0)</f>
        <v>#N/A</v>
      </c>
      <c r="AP378" t="e">
        <f>VLOOKUP($AC378,'oddspedia-matches'!$A:$AD,AP$2,0)</f>
        <v>#N/A</v>
      </c>
      <c r="AQ378" t="e">
        <f>VLOOKUP($AC378,'oddspedia-matches'!$A:$AD,AQ$2,0)</f>
        <v>#N/A</v>
      </c>
      <c r="AR378" t="e">
        <f>VLOOKUP($AC378,'oddspedia-matches'!$A:$AD,AR$2,0)</f>
        <v>#N/A</v>
      </c>
      <c r="AS378" t="e">
        <f>VLOOKUP($AC378,'oddspedia-matches'!$A:$AD,AS$2,0)</f>
        <v>#N/A</v>
      </c>
      <c r="AT378" t="e">
        <f>VLOOKUP($AC378,'oddspedia-matches'!$A:$AD,AT$2,0)</f>
        <v>#N/A</v>
      </c>
    </row>
    <row r="379" spans="2:46" x14ac:dyDescent="0.25">
      <c r="B379" t="s">
        <v>494</v>
      </c>
      <c r="C379" t="s">
        <v>948</v>
      </c>
      <c r="D379" s="25">
        <v>0.47916666666666669</v>
      </c>
      <c r="E379" t="s">
        <v>1064</v>
      </c>
      <c r="F379" t="s">
        <v>1065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>
        <v>14.3</v>
      </c>
      <c r="Y379">
        <v>33.299999999999997</v>
      </c>
      <c r="AA379" t="str">
        <f>VLOOKUP(E379,'Transform table'!A:B,2,0)</f>
        <v>GAIS Gothenburg</v>
      </c>
      <c r="AB379" t="e">
        <f>VLOOKUP(F379,'Transform table'!A:B,2,0)</f>
        <v>#N/A</v>
      </c>
      <c r="AC379" t="e">
        <f t="shared" si="5"/>
        <v>#N/A</v>
      </c>
      <c r="AD379" t="e">
        <f>VLOOKUP($AC379,'oddspedia-matches'!$A:$AD,AD$2,0)</f>
        <v>#N/A</v>
      </c>
      <c r="AE379" t="e">
        <f>VLOOKUP($AC379,'oddspedia-matches'!$A:$AD,AE$2,0)</f>
        <v>#N/A</v>
      </c>
      <c r="AF379" t="e">
        <f>VLOOKUP($AC379,'oddspedia-matches'!$A:$AD,AF$2,0)</f>
        <v>#N/A</v>
      </c>
      <c r="AG379" t="e">
        <f>VLOOKUP($AC379,'oddspedia-matches'!$A:$AD,AG$2,0)</f>
        <v>#N/A</v>
      </c>
      <c r="AH379" t="e">
        <f>VLOOKUP($AC379,'oddspedia-matches'!$A:$AD,AH$2,0)</f>
        <v>#N/A</v>
      </c>
      <c r="AI379" t="e">
        <f>VLOOKUP($AC379,'oddspedia-matches'!$A:$AD,AI$2,0)</f>
        <v>#N/A</v>
      </c>
      <c r="AJ379" t="e">
        <f>VLOOKUP($AC379,'oddspedia-matches'!$A:$AD,AJ$2,0)</f>
        <v>#N/A</v>
      </c>
      <c r="AK379" t="e">
        <f>VLOOKUP($AC379,'oddspedia-matches'!$A:$AD,AK$2,0)</f>
        <v>#N/A</v>
      </c>
      <c r="AL379" t="e">
        <f>VLOOKUP($AC379,'oddspedia-matches'!$A:$AD,AL$2,0)</f>
        <v>#N/A</v>
      </c>
      <c r="AM379" t="e">
        <f>VLOOKUP($AC379,'oddspedia-matches'!$A:$AD,AM$2,0)</f>
        <v>#N/A</v>
      </c>
      <c r="AN379" t="e">
        <f>VLOOKUP($AC379,'oddspedia-matches'!$A:$AD,AN$2,0)</f>
        <v>#N/A</v>
      </c>
      <c r="AO379" t="e">
        <f>VLOOKUP($AC379,'oddspedia-matches'!$A:$AD,AO$2,0)</f>
        <v>#N/A</v>
      </c>
      <c r="AP379" t="e">
        <f>VLOOKUP($AC379,'oddspedia-matches'!$A:$AD,AP$2,0)</f>
        <v>#N/A</v>
      </c>
      <c r="AQ379" t="e">
        <f>VLOOKUP($AC379,'oddspedia-matches'!$A:$AD,AQ$2,0)</f>
        <v>#N/A</v>
      </c>
      <c r="AR379" t="e">
        <f>VLOOKUP($AC379,'oddspedia-matches'!$A:$AD,AR$2,0)</f>
        <v>#N/A</v>
      </c>
      <c r="AS379" t="e">
        <f>VLOOKUP($AC379,'oddspedia-matches'!$A:$AD,AS$2,0)</f>
        <v>#N/A</v>
      </c>
      <c r="AT379" t="e">
        <f>VLOOKUP($AC379,'oddspedia-matches'!$A:$AD,AT$2,0)</f>
        <v>#N/A</v>
      </c>
    </row>
    <row r="380" spans="2:46" x14ac:dyDescent="0.25">
      <c r="B380" t="s">
        <v>494</v>
      </c>
      <c r="C380" t="s">
        <v>948</v>
      </c>
      <c r="D380" s="25">
        <v>0.47916666666666669</v>
      </c>
      <c r="E380" t="s">
        <v>259</v>
      </c>
      <c r="F380" t="s">
        <v>1066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>
        <v>50</v>
      </c>
      <c r="Y380">
        <v>20</v>
      </c>
      <c r="AA380" t="str">
        <f>VLOOKUP(E380,'Transform table'!A:B,2,0)</f>
        <v>Malmo</v>
      </c>
      <c r="AB380" t="e">
        <f>VLOOKUP(F380,'Transform table'!A:B,2,0)</f>
        <v>#N/A</v>
      </c>
      <c r="AC380" t="e">
        <f t="shared" si="5"/>
        <v>#N/A</v>
      </c>
      <c r="AD380" t="e">
        <f>VLOOKUP($AC380,'oddspedia-matches'!$A:$AD,AD$2,0)</f>
        <v>#N/A</v>
      </c>
      <c r="AE380" t="e">
        <f>VLOOKUP($AC380,'oddspedia-matches'!$A:$AD,AE$2,0)</f>
        <v>#N/A</v>
      </c>
      <c r="AF380" t="e">
        <f>VLOOKUP($AC380,'oddspedia-matches'!$A:$AD,AF$2,0)</f>
        <v>#N/A</v>
      </c>
      <c r="AG380" t="e">
        <f>VLOOKUP($AC380,'oddspedia-matches'!$A:$AD,AG$2,0)</f>
        <v>#N/A</v>
      </c>
      <c r="AH380" t="e">
        <f>VLOOKUP($AC380,'oddspedia-matches'!$A:$AD,AH$2,0)</f>
        <v>#N/A</v>
      </c>
      <c r="AI380" t="e">
        <f>VLOOKUP($AC380,'oddspedia-matches'!$A:$AD,AI$2,0)</f>
        <v>#N/A</v>
      </c>
      <c r="AJ380" t="e">
        <f>VLOOKUP($AC380,'oddspedia-matches'!$A:$AD,AJ$2,0)</f>
        <v>#N/A</v>
      </c>
      <c r="AK380" t="e">
        <f>VLOOKUP($AC380,'oddspedia-matches'!$A:$AD,AK$2,0)</f>
        <v>#N/A</v>
      </c>
      <c r="AL380" t="e">
        <f>VLOOKUP($AC380,'oddspedia-matches'!$A:$AD,AL$2,0)</f>
        <v>#N/A</v>
      </c>
      <c r="AM380" t="e">
        <f>VLOOKUP($AC380,'oddspedia-matches'!$A:$AD,AM$2,0)</f>
        <v>#N/A</v>
      </c>
      <c r="AN380" t="e">
        <f>VLOOKUP($AC380,'oddspedia-matches'!$A:$AD,AN$2,0)</f>
        <v>#N/A</v>
      </c>
      <c r="AO380" t="e">
        <f>VLOOKUP($AC380,'oddspedia-matches'!$A:$AD,AO$2,0)</f>
        <v>#N/A</v>
      </c>
      <c r="AP380" t="e">
        <f>VLOOKUP($AC380,'oddspedia-matches'!$A:$AD,AP$2,0)</f>
        <v>#N/A</v>
      </c>
      <c r="AQ380" t="e">
        <f>VLOOKUP($AC380,'oddspedia-matches'!$A:$AD,AQ$2,0)</f>
        <v>#N/A</v>
      </c>
      <c r="AR380" t="e">
        <f>VLOOKUP($AC380,'oddspedia-matches'!$A:$AD,AR$2,0)</f>
        <v>#N/A</v>
      </c>
      <c r="AS380" t="e">
        <f>VLOOKUP($AC380,'oddspedia-matches'!$A:$AD,AS$2,0)</f>
        <v>#N/A</v>
      </c>
      <c r="AT380" t="e">
        <f>VLOOKUP($AC380,'oddspedia-matches'!$A:$AD,AT$2,0)</f>
        <v>#N/A</v>
      </c>
    </row>
    <row r="381" spans="2:46" x14ac:dyDescent="0.25">
      <c r="B381" t="s">
        <v>602</v>
      </c>
      <c r="C381" t="s">
        <v>948</v>
      </c>
      <c r="D381" s="25">
        <v>0.5</v>
      </c>
      <c r="E381" t="s">
        <v>1067</v>
      </c>
      <c r="F381" t="s">
        <v>1068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">
        <v>22</v>
      </c>
      <c r="Y381" t="s">
        <v>22</v>
      </c>
      <c r="AA381" t="str">
        <f>VLOOKUP(E381,'Transform table'!A:B,2,0)</f>
        <v>FK Kaspyi Aktau U21</v>
      </c>
      <c r="AB381" t="e">
        <f>VLOOKUP(F381,'Transform table'!A:B,2,0)</f>
        <v>#N/A</v>
      </c>
      <c r="AC381" t="e">
        <f t="shared" si="5"/>
        <v>#N/A</v>
      </c>
      <c r="AD381" t="e">
        <f>VLOOKUP($AC381,'oddspedia-matches'!$A:$AD,AD$2,0)</f>
        <v>#N/A</v>
      </c>
      <c r="AE381" t="e">
        <f>VLOOKUP($AC381,'oddspedia-matches'!$A:$AD,AE$2,0)</f>
        <v>#N/A</v>
      </c>
      <c r="AF381" t="e">
        <f>VLOOKUP($AC381,'oddspedia-matches'!$A:$AD,AF$2,0)</f>
        <v>#N/A</v>
      </c>
      <c r="AG381" t="e">
        <f>VLOOKUP($AC381,'oddspedia-matches'!$A:$AD,AG$2,0)</f>
        <v>#N/A</v>
      </c>
      <c r="AH381" t="e">
        <f>VLOOKUP($AC381,'oddspedia-matches'!$A:$AD,AH$2,0)</f>
        <v>#N/A</v>
      </c>
      <c r="AI381" t="e">
        <f>VLOOKUP($AC381,'oddspedia-matches'!$A:$AD,AI$2,0)</f>
        <v>#N/A</v>
      </c>
      <c r="AJ381" t="e">
        <f>VLOOKUP($AC381,'oddspedia-matches'!$A:$AD,AJ$2,0)</f>
        <v>#N/A</v>
      </c>
      <c r="AK381" t="e">
        <f>VLOOKUP($AC381,'oddspedia-matches'!$A:$AD,AK$2,0)</f>
        <v>#N/A</v>
      </c>
      <c r="AL381" t="e">
        <f>VLOOKUP($AC381,'oddspedia-matches'!$A:$AD,AL$2,0)</f>
        <v>#N/A</v>
      </c>
      <c r="AM381" t="e">
        <f>VLOOKUP($AC381,'oddspedia-matches'!$A:$AD,AM$2,0)</f>
        <v>#N/A</v>
      </c>
      <c r="AN381" t="e">
        <f>VLOOKUP($AC381,'oddspedia-matches'!$A:$AD,AN$2,0)</f>
        <v>#N/A</v>
      </c>
      <c r="AO381" t="e">
        <f>VLOOKUP($AC381,'oddspedia-matches'!$A:$AD,AO$2,0)</f>
        <v>#N/A</v>
      </c>
      <c r="AP381" t="e">
        <f>VLOOKUP($AC381,'oddspedia-matches'!$A:$AD,AP$2,0)</f>
        <v>#N/A</v>
      </c>
      <c r="AQ381" t="e">
        <f>VLOOKUP($AC381,'oddspedia-matches'!$A:$AD,AQ$2,0)</f>
        <v>#N/A</v>
      </c>
      <c r="AR381" t="e">
        <f>VLOOKUP($AC381,'oddspedia-matches'!$A:$AD,AR$2,0)</f>
        <v>#N/A</v>
      </c>
      <c r="AS381" t="e">
        <f>VLOOKUP($AC381,'oddspedia-matches'!$A:$AD,AS$2,0)</f>
        <v>#N/A</v>
      </c>
      <c r="AT381" t="e">
        <f>VLOOKUP($AC381,'oddspedia-matches'!$A:$AD,AT$2,0)</f>
        <v>#N/A</v>
      </c>
    </row>
    <row r="382" spans="2:46" x14ac:dyDescent="0.25">
      <c r="B382" t="s">
        <v>484</v>
      </c>
      <c r="C382" t="s">
        <v>948</v>
      </c>
      <c r="D382" s="25">
        <v>0.5</v>
      </c>
      <c r="E382" t="s">
        <v>1069</v>
      </c>
      <c r="F382" t="s">
        <v>99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>
        <v>25</v>
      </c>
      <c r="Y382">
        <v>11.1</v>
      </c>
      <c r="AA382" t="str">
        <f>VLOOKUP(E382,'Transform table'!A:B,2,0)</f>
        <v>Atlanta United</v>
      </c>
      <c r="AB382" t="str">
        <f>VLOOKUP(F382,'Transform table'!A:B,2,0)</f>
        <v>New York City II</v>
      </c>
      <c r="AC382" t="str">
        <f t="shared" si="5"/>
        <v>26/07/2026Atlanta UnitedNew York City II</v>
      </c>
      <c r="AD382" t="e">
        <f>VLOOKUP($AC382,'oddspedia-matches'!$A:$AD,AD$2,0)</f>
        <v>#N/A</v>
      </c>
      <c r="AE382" t="e">
        <f>VLOOKUP($AC382,'oddspedia-matches'!$A:$AD,AE$2,0)</f>
        <v>#N/A</v>
      </c>
      <c r="AF382" t="e">
        <f>VLOOKUP($AC382,'oddspedia-matches'!$A:$AD,AF$2,0)</f>
        <v>#N/A</v>
      </c>
      <c r="AG382" t="e">
        <f>VLOOKUP($AC382,'oddspedia-matches'!$A:$AD,AG$2,0)</f>
        <v>#N/A</v>
      </c>
      <c r="AH382" t="e">
        <f>VLOOKUP($AC382,'oddspedia-matches'!$A:$AD,AH$2,0)</f>
        <v>#N/A</v>
      </c>
      <c r="AI382" t="e">
        <f>VLOOKUP($AC382,'oddspedia-matches'!$A:$AD,AI$2,0)</f>
        <v>#N/A</v>
      </c>
      <c r="AJ382" t="e">
        <f>VLOOKUP($AC382,'oddspedia-matches'!$A:$AD,AJ$2,0)</f>
        <v>#N/A</v>
      </c>
      <c r="AK382" t="e">
        <f>VLOOKUP($AC382,'oddspedia-matches'!$A:$AD,AK$2,0)</f>
        <v>#N/A</v>
      </c>
      <c r="AL382" t="e">
        <f>VLOOKUP($AC382,'oddspedia-matches'!$A:$AD,AL$2,0)</f>
        <v>#N/A</v>
      </c>
      <c r="AM382" t="e">
        <f>VLOOKUP($AC382,'oddspedia-matches'!$A:$AD,AM$2,0)</f>
        <v>#N/A</v>
      </c>
      <c r="AN382" t="e">
        <f>VLOOKUP($AC382,'oddspedia-matches'!$A:$AD,AN$2,0)</f>
        <v>#N/A</v>
      </c>
      <c r="AO382" t="e">
        <f>VLOOKUP($AC382,'oddspedia-matches'!$A:$AD,AO$2,0)</f>
        <v>#N/A</v>
      </c>
      <c r="AP382" t="e">
        <f>VLOOKUP($AC382,'oddspedia-matches'!$A:$AD,AP$2,0)</f>
        <v>#N/A</v>
      </c>
      <c r="AQ382" t="e">
        <f>VLOOKUP($AC382,'oddspedia-matches'!$A:$AD,AQ$2,0)</f>
        <v>#N/A</v>
      </c>
      <c r="AR382" t="e">
        <f>VLOOKUP($AC382,'oddspedia-matches'!$A:$AD,AR$2,0)</f>
        <v>#N/A</v>
      </c>
      <c r="AS382" t="e">
        <f>VLOOKUP($AC382,'oddspedia-matches'!$A:$AD,AS$2,0)</f>
        <v>#N/A</v>
      </c>
      <c r="AT382" t="e">
        <f>VLOOKUP($AC382,'oddspedia-matches'!$A:$AD,AT$2,0)</f>
        <v>#N/A</v>
      </c>
    </row>
    <row r="383" spans="2:46" x14ac:dyDescent="0.25">
      <c r="B383" t="s">
        <v>1070</v>
      </c>
      <c r="C383" t="s">
        <v>948</v>
      </c>
      <c r="D383" s="25">
        <v>0.5</v>
      </c>
      <c r="E383" t="s">
        <v>1071</v>
      </c>
      <c r="F383" t="s">
        <v>1072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">
        <v>22</v>
      </c>
      <c r="Y383" t="s">
        <v>22</v>
      </c>
      <c r="AA383" t="str">
        <f>VLOOKUP(E383,'Transform table'!A:B,2,0)</f>
        <v>ACS ASU Politehnica Timisoara</v>
      </c>
      <c r="AB383" t="e">
        <f>VLOOKUP(F383,'Transform table'!A:B,2,0)</f>
        <v>#N/A</v>
      </c>
      <c r="AC383" t="e">
        <f t="shared" si="5"/>
        <v>#N/A</v>
      </c>
      <c r="AD383" t="e">
        <f>VLOOKUP($AC383,'oddspedia-matches'!$A:$AD,AD$2,0)</f>
        <v>#N/A</v>
      </c>
      <c r="AE383" t="e">
        <f>VLOOKUP($AC383,'oddspedia-matches'!$A:$AD,AE$2,0)</f>
        <v>#N/A</v>
      </c>
      <c r="AF383" t="e">
        <f>VLOOKUP($AC383,'oddspedia-matches'!$A:$AD,AF$2,0)</f>
        <v>#N/A</v>
      </c>
      <c r="AG383" t="e">
        <f>VLOOKUP($AC383,'oddspedia-matches'!$A:$AD,AG$2,0)</f>
        <v>#N/A</v>
      </c>
      <c r="AH383" t="e">
        <f>VLOOKUP($AC383,'oddspedia-matches'!$A:$AD,AH$2,0)</f>
        <v>#N/A</v>
      </c>
      <c r="AI383" t="e">
        <f>VLOOKUP($AC383,'oddspedia-matches'!$A:$AD,AI$2,0)</f>
        <v>#N/A</v>
      </c>
      <c r="AJ383" t="e">
        <f>VLOOKUP($AC383,'oddspedia-matches'!$A:$AD,AJ$2,0)</f>
        <v>#N/A</v>
      </c>
      <c r="AK383" t="e">
        <f>VLOOKUP($AC383,'oddspedia-matches'!$A:$AD,AK$2,0)</f>
        <v>#N/A</v>
      </c>
      <c r="AL383" t="e">
        <f>VLOOKUP($AC383,'oddspedia-matches'!$A:$AD,AL$2,0)</f>
        <v>#N/A</v>
      </c>
      <c r="AM383" t="e">
        <f>VLOOKUP($AC383,'oddspedia-matches'!$A:$AD,AM$2,0)</f>
        <v>#N/A</v>
      </c>
      <c r="AN383" t="e">
        <f>VLOOKUP($AC383,'oddspedia-matches'!$A:$AD,AN$2,0)</f>
        <v>#N/A</v>
      </c>
      <c r="AO383" t="e">
        <f>VLOOKUP($AC383,'oddspedia-matches'!$A:$AD,AO$2,0)</f>
        <v>#N/A</v>
      </c>
      <c r="AP383" t="e">
        <f>VLOOKUP($AC383,'oddspedia-matches'!$A:$AD,AP$2,0)</f>
        <v>#N/A</v>
      </c>
      <c r="AQ383" t="e">
        <f>VLOOKUP($AC383,'oddspedia-matches'!$A:$AD,AQ$2,0)</f>
        <v>#N/A</v>
      </c>
      <c r="AR383" t="e">
        <f>VLOOKUP($AC383,'oddspedia-matches'!$A:$AD,AR$2,0)</f>
        <v>#N/A</v>
      </c>
      <c r="AS383" t="e">
        <f>VLOOKUP($AC383,'oddspedia-matches'!$A:$AD,AS$2,0)</f>
        <v>#N/A</v>
      </c>
      <c r="AT383" t="e">
        <f>VLOOKUP($AC383,'oddspedia-matches'!$A:$AD,AT$2,0)</f>
        <v>#N/A</v>
      </c>
    </row>
    <row r="384" spans="2:46" x14ac:dyDescent="0.25">
      <c r="B384" t="s">
        <v>483</v>
      </c>
      <c r="C384" t="s">
        <v>948</v>
      </c>
      <c r="D384" s="25">
        <v>0.5</v>
      </c>
      <c r="E384" t="s">
        <v>1073</v>
      </c>
      <c r="F384" t="s">
        <v>1074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>
        <v>28.6</v>
      </c>
      <c r="Y384">
        <v>33.299999999999997</v>
      </c>
      <c r="AA384">
        <f>VLOOKUP(E384,'Transform table'!A:B,2,0)</f>
        <v>0</v>
      </c>
      <c r="AB384" t="e">
        <f>VLOOKUP(F384,'Transform table'!A:B,2,0)</f>
        <v>#N/A</v>
      </c>
      <c r="AC384" t="e">
        <f t="shared" si="5"/>
        <v>#N/A</v>
      </c>
      <c r="AD384" t="e">
        <f>VLOOKUP($AC384,'oddspedia-matches'!$A:$AD,AD$2,0)</f>
        <v>#N/A</v>
      </c>
      <c r="AE384" t="e">
        <f>VLOOKUP($AC384,'oddspedia-matches'!$A:$AD,AE$2,0)</f>
        <v>#N/A</v>
      </c>
      <c r="AF384" t="e">
        <f>VLOOKUP($AC384,'oddspedia-matches'!$A:$AD,AF$2,0)</f>
        <v>#N/A</v>
      </c>
      <c r="AG384" t="e">
        <f>VLOOKUP($AC384,'oddspedia-matches'!$A:$AD,AG$2,0)</f>
        <v>#N/A</v>
      </c>
      <c r="AH384" t="e">
        <f>VLOOKUP($AC384,'oddspedia-matches'!$A:$AD,AH$2,0)</f>
        <v>#N/A</v>
      </c>
      <c r="AI384" t="e">
        <f>VLOOKUP($AC384,'oddspedia-matches'!$A:$AD,AI$2,0)</f>
        <v>#N/A</v>
      </c>
      <c r="AJ384" t="e">
        <f>VLOOKUP($AC384,'oddspedia-matches'!$A:$AD,AJ$2,0)</f>
        <v>#N/A</v>
      </c>
      <c r="AK384" t="e">
        <f>VLOOKUP($AC384,'oddspedia-matches'!$A:$AD,AK$2,0)</f>
        <v>#N/A</v>
      </c>
      <c r="AL384" t="e">
        <f>VLOOKUP($AC384,'oddspedia-matches'!$A:$AD,AL$2,0)</f>
        <v>#N/A</v>
      </c>
      <c r="AM384" t="e">
        <f>VLOOKUP($AC384,'oddspedia-matches'!$A:$AD,AM$2,0)</f>
        <v>#N/A</v>
      </c>
      <c r="AN384" t="e">
        <f>VLOOKUP($AC384,'oddspedia-matches'!$A:$AD,AN$2,0)</f>
        <v>#N/A</v>
      </c>
      <c r="AO384" t="e">
        <f>VLOOKUP($AC384,'oddspedia-matches'!$A:$AD,AO$2,0)</f>
        <v>#N/A</v>
      </c>
      <c r="AP384" t="e">
        <f>VLOOKUP($AC384,'oddspedia-matches'!$A:$AD,AP$2,0)</f>
        <v>#N/A</v>
      </c>
      <c r="AQ384" t="e">
        <f>VLOOKUP($AC384,'oddspedia-matches'!$A:$AD,AQ$2,0)</f>
        <v>#N/A</v>
      </c>
      <c r="AR384" t="e">
        <f>VLOOKUP($AC384,'oddspedia-matches'!$A:$AD,AR$2,0)</f>
        <v>#N/A</v>
      </c>
      <c r="AS384" t="e">
        <f>VLOOKUP($AC384,'oddspedia-matches'!$A:$AD,AS$2,0)</f>
        <v>#N/A</v>
      </c>
      <c r="AT384" t="e">
        <f>VLOOKUP($AC384,'oddspedia-matches'!$A:$AD,AT$2,0)</f>
        <v>#N/A</v>
      </c>
    </row>
    <row r="385" spans="2:46" x14ac:dyDescent="0.25">
      <c r="B385" t="s">
        <v>483</v>
      </c>
      <c r="C385" t="s">
        <v>948</v>
      </c>
      <c r="D385" s="25">
        <v>0.5</v>
      </c>
      <c r="E385" t="s">
        <v>1075</v>
      </c>
      <c r="F385" t="s">
        <v>33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>
        <v>16.7</v>
      </c>
      <c r="Y385">
        <v>14.3</v>
      </c>
      <c r="AA385" t="str">
        <f>VLOOKUP(E385,'Transform table'!A:B,2,0)</f>
        <v>Sandefjord</v>
      </c>
      <c r="AB385" t="str">
        <f>VLOOKUP(F385,'Transform table'!A:B,2,0)</f>
        <v>Bodo/Glimt</v>
      </c>
      <c r="AC385" t="str">
        <f t="shared" si="5"/>
        <v>26/07/2026SandefjordBodo/Glimt</v>
      </c>
      <c r="AD385" t="e">
        <f>VLOOKUP($AC385,'oddspedia-matches'!$A:$AD,AD$2,0)</f>
        <v>#N/A</v>
      </c>
      <c r="AE385" t="e">
        <f>VLOOKUP($AC385,'oddspedia-matches'!$A:$AD,AE$2,0)</f>
        <v>#N/A</v>
      </c>
      <c r="AF385" t="e">
        <f>VLOOKUP($AC385,'oddspedia-matches'!$A:$AD,AF$2,0)</f>
        <v>#N/A</v>
      </c>
      <c r="AG385" t="e">
        <f>VLOOKUP($AC385,'oddspedia-matches'!$A:$AD,AG$2,0)</f>
        <v>#N/A</v>
      </c>
      <c r="AH385" t="e">
        <f>VLOOKUP($AC385,'oddspedia-matches'!$A:$AD,AH$2,0)</f>
        <v>#N/A</v>
      </c>
      <c r="AI385" t="e">
        <f>VLOOKUP($AC385,'oddspedia-matches'!$A:$AD,AI$2,0)</f>
        <v>#N/A</v>
      </c>
      <c r="AJ385" t="e">
        <f>VLOOKUP($AC385,'oddspedia-matches'!$A:$AD,AJ$2,0)</f>
        <v>#N/A</v>
      </c>
      <c r="AK385" t="e">
        <f>VLOOKUP($AC385,'oddspedia-matches'!$A:$AD,AK$2,0)</f>
        <v>#N/A</v>
      </c>
      <c r="AL385" t="e">
        <f>VLOOKUP($AC385,'oddspedia-matches'!$A:$AD,AL$2,0)</f>
        <v>#N/A</v>
      </c>
      <c r="AM385" t="e">
        <f>VLOOKUP($AC385,'oddspedia-matches'!$A:$AD,AM$2,0)</f>
        <v>#N/A</v>
      </c>
      <c r="AN385" t="e">
        <f>VLOOKUP($AC385,'oddspedia-matches'!$A:$AD,AN$2,0)</f>
        <v>#N/A</v>
      </c>
      <c r="AO385" t="e">
        <f>VLOOKUP($AC385,'oddspedia-matches'!$A:$AD,AO$2,0)</f>
        <v>#N/A</v>
      </c>
      <c r="AP385" t="e">
        <f>VLOOKUP($AC385,'oddspedia-matches'!$A:$AD,AP$2,0)</f>
        <v>#N/A</v>
      </c>
      <c r="AQ385" t="e">
        <f>VLOOKUP($AC385,'oddspedia-matches'!$A:$AD,AQ$2,0)</f>
        <v>#N/A</v>
      </c>
      <c r="AR385" t="e">
        <f>VLOOKUP($AC385,'oddspedia-matches'!$A:$AD,AR$2,0)</f>
        <v>#N/A</v>
      </c>
      <c r="AS385" t="e">
        <f>VLOOKUP($AC385,'oddspedia-matches'!$A:$AD,AS$2,0)</f>
        <v>#N/A</v>
      </c>
      <c r="AT385" t="e">
        <f>VLOOKUP($AC385,'oddspedia-matches'!$A:$AD,AT$2,0)</f>
        <v>#N/A</v>
      </c>
    </row>
    <row r="386" spans="2:46" x14ac:dyDescent="0.25">
      <c r="B386" t="s">
        <v>483</v>
      </c>
      <c r="C386" t="s">
        <v>948</v>
      </c>
      <c r="D386" s="25">
        <v>0.5</v>
      </c>
      <c r="E386" t="s">
        <v>1076</v>
      </c>
      <c r="F386" t="s">
        <v>34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>
        <v>16.7</v>
      </c>
      <c r="Y386">
        <v>33.299999999999997</v>
      </c>
      <c r="AA386">
        <f>VLOOKUP(E386,'Transform table'!A:B,2,0)</f>
        <v>0</v>
      </c>
      <c r="AB386" t="str">
        <f>VLOOKUP(F386,'Transform table'!A:B,2,0)</f>
        <v>HamKam</v>
      </c>
      <c r="AC386" t="str">
        <f t="shared" si="5"/>
        <v>26/07/20260HamKam</v>
      </c>
      <c r="AD386" t="e">
        <f>VLOOKUP($AC386,'oddspedia-matches'!$A:$AD,AD$2,0)</f>
        <v>#N/A</v>
      </c>
      <c r="AE386" t="e">
        <f>VLOOKUP($AC386,'oddspedia-matches'!$A:$AD,AE$2,0)</f>
        <v>#N/A</v>
      </c>
      <c r="AF386" t="e">
        <f>VLOOKUP($AC386,'oddspedia-matches'!$A:$AD,AF$2,0)</f>
        <v>#N/A</v>
      </c>
      <c r="AG386" t="e">
        <f>VLOOKUP($AC386,'oddspedia-matches'!$A:$AD,AG$2,0)</f>
        <v>#N/A</v>
      </c>
      <c r="AH386" t="e">
        <f>VLOOKUP($AC386,'oddspedia-matches'!$A:$AD,AH$2,0)</f>
        <v>#N/A</v>
      </c>
      <c r="AI386" t="e">
        <f>VLOOKUP($AC386,'oddspedia-matches'!$A:$AD,AI$2,0)</f>
        <v>#N/A</v>
      </c>
      <c r="AJ386" t="e">
        <f>VLOOKUP($AC386,'oddspedia-matches'!$A:$AD,AJ$2,0)</f>
        <v>#N/A</v>
      </c>
      <c r="AK386" t="e">
        <f>VLOOKUP($AC386,'oddspedia-matches'!$A:$AD,AK$2,0)</f>
        <v>#N/A</v>
      </c>
      <c r="AL386" t="e">
        <f>VLOOKUP($AC386,'oddspedia-matches'!$A:$AD,AL$2,0)</f>
        <v>#N/A</v>
      </c>
      <c r="AM386" t="e">
        <f>VLOOKUP($AC386,'oddspedia-matches'!$A:$AD,AM$2,0)</f>
        <v>#N/A</v>
      </c>
      <c r="AN386" t="e">
        <f>VLOOKUP($AC386,'oddspedia-matches'!$A:$AD,AN$2,0)</f>
        <v>#N/A</v>
      </c>
      <c r="AO386" t="e">
        <f>VLOOKUP($AC386,'oddspedia-matches'!$A:$AD,AO$2,0)</f>
        <v>#N/A</v>
      </c>
      <c r="AP386" t="e">
        <f>VLOOKUP($AC386,'oddspedia-matches'!$A:$AD,AP$2,0)</f>
        <v>#N/A</v>
      </c>
      <c r="AQ386" t="e">
        <f>VLOOKUP($AC386,'oddspedia-matches'!$A:$AD,AQ$2,0)</f>
        <v>#N/A</v>
      </c>
      <c r="AR386" t="e">
        <f>VLOOKUP($AC386,'oddspedia-matches'!$A:$AD,AR$2,0)</f>
        <v>#N/A</v>
      </c>
      <c r="AS386" t="e">
        <f>VLOOKUP($AC386,'oddspedia-matches'!$A:$AD,AS$2,0)</f>
        <v>#N/A</v>
      </c>
      <c r="AT386" t="e">
        <f>VLOOKUP($AC386,'oddspedia-matches'!$A:$AD,AT$2,0)</f>
        <v>#N/A</v>
      </c>
    </row>
    <row r="387" spans="2:46" x14ac:dyDescent="0.25">
      <c r="B387" t="s">
        <v>656</v>
      </c>
      <c r="C387" t="s">
        <v>948</v>
      </c>
      <c r="D387" s="25">
        <v>0.5</v>
      </c>
      <c r="E387" t="s">
        <v>1077</v>
      </c>
      <c r="F387" t="s">
        <v>1078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>
        <v>14.3</v>
      </c>
      <c r="Y387">
        <v>50</v>
      </c>
      <c r="AA387" t="str">
        <f>VLOOKUP(E387,'Transform table'!A:B,2,0)</f>
        <v>Asane</v>
      </c>
      <c r="AB387" t="e">
        <f>VLOOKUP(F387,'Transform table'!A:B,2,0)</f>
        <v>#N/A</v>
      </c>
      <c r="AC387" t="e">
        <f t="shared" si="5"/>
        <v>#N/A</v>
      </c>
      <c r="AD387" t="e">
        <f>VLOOKUP($AC387,'oddspedia-matches'!$A:$AD,AD$2,0)</f>
        <v>#N/A</v>
      </c>
      <c r="AE387" t="e">
        <f>VLOOKUP($AC387,'oddspedia-matches'!$A:$AD,AE$2,0)</f>
        <v>#N/A</v>
      </c>
      <c r="AF387" t="e">
        <f>VLOOKUP($AC387,'oddspedia-matches'!$A:$AD,AF$2,0)</f>
        <v>#N/A</v>
      </c>
      <c r="AG387" t="e">
        <f>VLOOKUP($AC387,'oddspedia-matches'!$A:$AD,AG$2,0)</f>
        <v>#N/A</v>
      </c>
      <c r="AH387" t="e">
        <f>VLOOKUP($AC387,'oddspedia-matches'!$A:$AD,AH$2,0)</f>
        <v>#N/A</v>
      </c>
      <c r="AI387" t="e">
        <f>VLOOKUP($AC387,'oddspedia-matches'!$A:$AD,AI$2,0)</f>
        <v>#N/A</v>
      </c>
      <c r="AJ387" t="e">
        <f>VLOOKUP($AC387,'oddspedia-matches'!$A:$AD,AJ$2,0)</f>
        <v>#N/A</v>
      </c>
      <c r="AK387" t="e">
        <f>VLOOKUP($AC387,'oddspedia-matches'!$A:$AD,AK$2,0)</f>
        <v>#N/A</v>
      </c>
      <c r="AL387" t="e">
        <f>VLOOKUP($AC387,'oddspedia-matches'!$A:$AD,AL$2,0)</f>
        <v>#N/A</v>
      </c>
      <c r="AM387" t="e">
        <f>VLOOKUP($AC387,'oddspedia-matches'!$A:$AD,AM$2,0)</f>
        <v>#N/A</v>
      </c>
      <c r="AN387" t="e">
        <f>VLOOKUP($AC387,'oddspedia-matches'!$A:$AD,AN$2,0)</f>
        <v>#N/A</v>
      </c>
      <c r="AO387" t="e">
        <f>VLOOKUP($AC387,'oddspedia-matches'!$A:$AD,AO$2,0)</f>
        <v>#N/A</v>
      </c>
      <c r="AP387" t="e">
        <f>VLOOKUP($AC387,'oddspedia-matches'!$A:$AD,AP$2,0)</f>
        <v>#N/A</v>
      </c>
      <c r="AQ387" t="e">
        <f>VLOOKUP($AC387,'oddspedia-matches'!$A:$AD,AQ$2,0)</f>
        <v>#N/A</v>
      </c>
      <c r="AR387" t="e">
        <f>VLOOKUP($AC387,'oddspedia-matches'!$A:$AD,AR$2,0)</f>
        <v>#N/A</v>
      </c>
      <c r="AS387" t="e">
        <f>VLOOKUP($AC387,'oddspedia-matches'!$A:$AD,AS$2,0)</f>
        <v>#N/A</v>
      </c>
      <c r="AT387" t="e">
        <f>VLOOKUP($AC387,'oddspedia-matches'!$A:$AD,AT$2,0)</f>
        <v>#N/A</v>
      </c>
    </row>
    <row r="388" spans="2:46" x14ac:dyDescent="0.25">
      <c r="B388" t="s">
        <v>656</v>
      </c>
      <c r="C388" t="s">
        <v>948</v>
      </c>
      <c r="D388" s="25">
        <v>0.5</v>
      </c>
      <c r="E388" t="s">
        <v>1079</v>
      </c>
      <c r="F388" t="s">
        <v>1080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>
        <v>50</v>
      </c>
      <c r="Y388">
        <v>14.3</v>
      </c>
      <c r="AA388" t="str">
        <f>VLOOKUP(E388,'Transform table'!A:B,2,0)</f>
        <v>MSV Duisburg</v>
      </c>
      <c r="AB388" t="e">
        <f>VLOOKUP(F388,'Transform table'!A:B,2,0)</f>
        <v>#N/A</v>
      </c>
      <c r="AC388" t="e">
        <f t="shared" si="5"/>
        <v>#N/A</v>
      </c>
      <c r="AD388" t="e">
        <f>VLOOKUP($AC388,'oddspedia-matches'!$A:$AD,AD$2,0)</f>
        <v>#N/A</v>
      </c>
      <c r="AE388" t="e">
        <f>VLOOKUP($AC388,'oddspedia-matches'!$A:$AD,AE$2,0)</f>
        <v>#N/A</v>
      </c>
      <c r="AF388" t="e">
        <f>VLOOKUP($AC388,'oddspedia-matches'!$A:$AD,AF$2,0)</f>
        <v>#N/A</v>
      </c>
      <c r="AG388" t="e">
        <f>VLOOKUP($AC388,'oddspedia-matches'!$A:$AD,AG$2,0)</f>
        <v>#N/A</v>
      </c>
      <c r="AH388" t="e">
        <f>VLOOKUP($AC388,'oddspedia-matches'!$A:$AD,AH$2,0)</f>
        <v>#N/A</v>
      </c>
      <c r="AI388" t="e">
        <f>VLOOKUP($AC388,'oddspedia-matches'!$A:$AD,AI$2,0)</f>
        <v>#N/A</v>
      </c>
      <c r="AJ388" t="e">
        <f>VLOOKUP($AC388,'oddspedia-matches'!$A:$AD,AJ$2,0)</f>
        <v>#N/A</v>
      </c>
      <c r="AK388" t="e">
        <f>VLOOKUP($AC388,'oddspedia-matches'!$A:$AD,AK$2,0)</f>
        <v>#N/A</v>
      </c>
      <c r="AL388" t="e">
        <f>VLOOKUP($AC388,'oddspedia-matches'!$A:$AD,AL$2,0)</f>
        <v>#N/A</v>
      </c>
      <c r="AM388" t="e">
        <f>VLOOKUP($AC388,'oddspedia-matches'!$A:$AD,AM$2,0)</f>
        <v>#N/A</v>
      </c>
      <c r="AN388" t="e">
        <f>VLOOKUP($AC388,'oddspedia-matches'!$A:$AD,AN$2,0)</f>
        <v>#N/A</v>
      </c>
      <c r="AO388" t="e">
        <f>VLOOKUP($AC388,'oddspedia-matches'!$A:$AD,AO$2,0)</f>
        <v>#N/A</v>
      </c>
      <c r="AP388" t="e">
        <f>VLOOKUP($AC388,'oddspedia-matches'!$A:$AD,AP$2,0)</f>
        <v>#N/A</v>
      </c>
      <c r="AQ388" t="e">
        <f>VLOOKUP($AC388,'oddspedia-matches'!$A:$AD,AQ$2,0)</f>
        <v>#N/A</v>
      </c>
      <c r="AR388" t="e">
        <f>VLOOKUP($AC388,'oddspedia-matches'!$A:$AD,AR$2,0)</f>
        <v>#N/A</v>
      </c>
      <c r="AS388" t="e">
        <f>VLOOKUP($AC388,'oddspedia-matches'!$A:$AD,AS$2,0)</f>
        <v>#N/A</v>
      </c>
      <c r="AT388" t="e">
        <f>VLOOKUP($AC388,'oddspedia-matches'!$A:$AD,AT$2,0)</f>
        <v>#N/A</v>
      </c>
    </row>
    <row r="389" spans="2:46" x14ac:dyDescent="0.25">
      <c r="B389" t="s">
        <v>656</v>
      </c>
      <c r="C389" t="s">
        <v>948</v>
      </c>
      <c r="D389" s="25">
        <v>0.5</v>
      </c>
      <c r="E389" t="s">
        <v>1081</v>
      </c>
      <c r="F389" t="s">
        <v>1082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>
        <v>42.9</v>
      </c>
      <c r="Y389">
        <v>57.1</v>
      </c>
      <c r="AA389" t="str">
        <f>VLOOKUP(E389,'Transform table'!A:B,2,0)</f>
        <v>Sandnes Ulf</v>
      </c>
      <c r="AB389" t="e">
        <f>VLOOKUP(F389,'Transform table'!A:B,2,0)</f>
        <v>#N/A</v>
      </c>
      <c r="AC389" t="e">
        <f t="shared" ref="AC389:AC452" si="6">C389&amp;AA389&amp;AB389</f>
        <v>#N/A</v>
      </c>
      <c r="AD389" t="e">
        <f>VLOOKUP($AC389,'oddspedia-matches'!$A:$AD,AD$2,0)</f>
        <v>#N/A</v>
      </c>
      <c r="AE389" t="e">
        <f>VLOOKUP($AC389,'oddspedia-matches'!$A:$AD,AE$2,0)</f>
        <v>#N/A</v>
      </c>
      <c r="AF389" t="e">
        <f>VLOOKUP($AC389,'oddspedia-matches'!$A:$AD,AF$2,0)</f>
        <v>#N/A</v>
      </c>
      <c r="AG389" t="e">
        <f>VLOOKUP($AC389,'oddspedia-matches'!$A:$AD,AG$2,0)</f>
        <v>#N/A</v>
      </c>
      <c r="AH389" t="e">
        <f>VLOOKUP($AC389,'oddspedia-matches'!$A:$AD,AH$2,0)</f>
        <v>#N/A</v>
      </c>
      <c r="AI389" t="e">
        <f>VLOOKUP($AC389,'oddspedia-matches'!$A:$AD,AI$2,0)</f>
        <v>#N/A</v>
      </c>
      <c r="AJ389" t="e">
        <f>VLOOKUP($AC389,'oddspedia-matches'!$A:$AD,AJ$2,0)</f>
        <v>#N/A</v>
      </c>
      <c r="AK389" t="e">
        <f>VLOOKUP($AC389,'oddspedia-matches'!$A:$AD,AK$2,0)</f>
        <v>#N/A</v>
      </c>
      <c r="AL389" t="e">
        <f>VLOOKUP($AC389,'oddspedia-matches'!$A:$AD,AL$2,0)</f>
        <v>#N/A</v>
      </c>
      <c r="AM389" t="e">
        <f>VLOOKUP($AC389,'oddspedia-matches'!$A:$AD,AM$2,0)</f>
        <v>#N/A</v>
      </c>
      <c r="AN389" t="e">
        <f>VLOOKUP($AC389,'oddspedia-matches'!$A:$AD,AN$2,0)</f>
        <v>#N/A</v>
      </c>
      <c r="AO389" t="e">
        <f>VLOOKUP($AC389,'oddspedia-matches'!$A:$AD,AO$2,0)</f>
        <v>#N/A</v>
      </c>
      <c r="AP389" t="e">
        <f>VLOOKUP($AC389,'oddspedia-matches'!$A:$AD,AP$2,0)</f>
        <v>#N/A</v>
      </c>
      <c r="AQ389" t="e">
        <f>VLOOKUP($AC389,'oddspedia-matches'!$A:$AD,AQ$2,0)</f>
        <v>#N/A</v>
      </c>
      <c r="AR389" t="e">
        <f>VLOOKUP($AC389,'oddspedia-matches'!$A:$AD,AR$2,0)</f>
        <v>#N/A</v>
      </c>
      <c r="AS389" t="e">
        <f>VLOOKUP($AC389,'oddspedia-matches'!$A:$AD,AS$2,0)</f>
        <v>#N/A</v>
      </c>
      <c r="AT389" t="e">
        <f>VLOOKUP($AC389,'oddspedia-matches'!$A:$AD,AT$2,0)</f>
        <v>#N/A</v>
      </c>
    </row>
    <row r="390" spans="2:46" x14ac:dyDescent="0.25">
      <c r="B390" t="s">
        <v>656</v>
      </c>
      <c r="C390" t="s">
        <v>948</v>
      </c>
      <c r="D390" s="25">
        <v>0.5</v>
      </c>
      <c r="E390" t="s">
        <v>1083</v>
      </c>
      <c r="F390" t="s">
        <v>1084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>
        <v>50</v>
      </c>
      <c r="Y390">
        <v>66.7</v>
      </c>
      <c r="AA390" t="str">
        <f>VLOOKUP(E390,'Transform table'!A:B,2,0)</f>
        <v>Sogdiana Jizzakh</v>
      </c>
      <c r="AB390" t="e">
        <f>VLOOKUP(F390,'Transform table'!A:B,2,0)</f>
        <v>#N/A</v>
      </c>
      <c r="AC390" t="e">
        <f t="shared" si="6"/>
        <v>#N/A</v>
      </c>
      <c r="AD390" t="e">
        <f>VLOOKUP($AC390,'oddspedia-matches'!$A:$AD,AD$2,0)</f>
        <v>#N/A</v>
      </c>
      <c r="AE390" t="e">
        <f>VLOOKUP($AC390,'oddspedia-matches'!$A:$AD,AE$2,0)</f>
        <v>#N/A</v>
      </c>
      <c r="AF390" t="e">
        <f>VLOOKUP($AC390,'oddspedia-matches'!$A:$AD,AF$2,0)</f>
        <v>#N/A</v>
      </c>
      <c r="AG390" t="e">
        <f>VLOOKUP($AC390,'oddspedia-matches'!$A:$AD,AG$2,0)</f>
        <v>#N/A</v>
      </c>
      <c r="AH390" t="e">
        <f>VLOOKUP($AC390,'oddspedia-matches'!$A:$AD,AH$2,0)</f>
        <v>#N/A</v>
      </c>
      <c r="AI390" t="e">
        <f>VLOOKUP($AC390,'oddspedia-matches'!$A:$AD,AI$2,0)</f>
        <v>#N/A</v>
      </c>
      <c r="AJ390" t="e">
        <f>VLOOKUP($AC390,'oddspedia-matches'!$A:$AD,AJ$2,0)</f>
        <v>#N/A</v>
      </c>
      <c r="AK390" t="e">
        <f>VLOOKUP($AC390,'oddspedia-matches'!$A:$AD,AK$2,0)</f>
        <v>#N/A</v>
      </c>
      <c r="AL390" t="e">
        <f>VLOOKUP($AC390,'oddspedia-matches'!$A:$AD,AL$2,0)</f>
        <v>#N/A</v>
      </c>
      <c r="AM390" t="e">
        <f>VLOOKUP($AC390,'oddspedia-matches'!$A:$AD,AM$2,0)</f>
        <v>#N/A</v>
      </c>
      <c r="AN390" t="e">
        <f>VLOOKUP($AC390,'oddspedia-matches'!$A:$AD,AN$2,0)</f>
        <v>#N/A</v>
      </c>
      <c r="AO390" t="e">
        <f>VLOOKUP($AC390,'oddspedia-matches'!$A:$AD,AO$2,0)</f>
        <v>#N/A</v>
      </c>
      <c r="AP390" t="e">
        <f>VLOOKUP($AC390,'oddspedia-matches'!$A:$AD,AP$2,0)</f>
        <v>#N/A</v>
      </c>
      <c r="AQ390" t="e">
        <f>VLOOKUP($AC390,'oddspedia-matches'!$A:$AD,AQ$2,0)</f>
        <v>#N/A</v>
      </c>
      <c r="AR390" t="e">
        <f>VLOOKUP($AC390,'oddspedia-matches'!$A:$AD,AR$2,0)</f>
        <v>#N/A</v>
      </c>
      <c r="AS390" t="e">
        <f>VLOOKUP($AC390,'oddspedia-matches'!$A:$AD,AS$2,0)</f>
        <v>#N/A</v>
      </c>
      <c r="AT390" t="e">
        <f>VLOOKUP($AC390,'oddspedia-matches'!$A:$AD,AT$2,0)</f>
        <v>#N/A</v>
      </c>
    </row>
    <row r="391" spans="2:46" x14ac:dyDescent="0.25">
      <c r="B391" t="s">
        <v>656</v>
      </c>
      <c r="C391" t="s">
        <v>948</v>
      </c>
      <c r="D391" s="25">
        <v>0.5</v>
      </c>
      <c r="E391" t="s">
        <v>1085</v>
      </c>
      <c r="F391" t="s">
        <v>1086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>
        <v>14.3</v>
      </c>
      <c r="Y391">
        <v>50</v>
      </c>
      <c r="AA391" t="str">
        <f>VLOOKUP(E391,'Transform table'!A:B,2,0)</f>
        <v>Strommen</v>
      </c>
      <c r="AB391" t="e">
        <f>VLOOKUP(F391,'Transform table'!A:B,2,0)</f>
        <v>#N/A</v>
      </c>
      <c r="AC391" t="e">
        <f t="shared" si="6"/>
        <v>#N/A</v>
      </c>
      <c r="AD391" t="e">
        <f>VLOOKUP($AC391,'oddspedia-matches'!$A:$AD,AD$2,0)</f>
        <v>#N/A</v>
      </c>
      <c r="AE391" t="e">
        <f>VLOOKUP($AC391,'oddspedia-matches'!$A:$AD,AE$2,0)</f>
        <v>#N/A</v>
      </c>
      <c r="AF391" t="e">
        <f>VLOOKUP($AC391,'oddspedia-matches'!$A:$AD,AF$2,0)</f>
        <v>#N/A</v>
      </c>
      <c r="AG391" t="e">
        <f>VLOOKUP($AC391,'oddspedia-matches'!$A:$AD,AG$2,0)</f>
        <v>#N/A</v>
      </c>
      <c r="AH391" t="e">
        <f>VLOOKUP($AC391,'oddspedia-matches'!$A:$AD,AH$2,0)</f>
        <v>#N/A</v>
      </c>
      <c r="AI391" t="e">
        <f>VLOOKUP($AC391,'oddspedia-matches'!$A:$AD,AI$2,0)</f>
        <v>#N/A</v>
      </c>
      <c r="AJ391" t="e">
        <f>VLOOKUP($AC391,'oddspedia-matches'!$A:$AD,AJ$2,0)</f>
        <v>#N/A</v>
      </c>
      <c r="AK391" t="e">
        <f>VLOOKUP($AC391,'oddspedia-matches'!$A:$AD,AK$2,0)</f>
        <v>#N/A</v>
      </c>
      <c r="AL391" t="e">
        <f>VLOOKUP($AC391,'oddspedia-matches'!$A:$AD,AL$2,0)</f>
        <v>#N/A</v>
      </c>
      <c r="AM391" t="e">
        <f>VLOOKUP($AC391,'oddspedia-matches'!$A:$AD,AM$2,0)</f>
        <v>#N/A</v>
      </c>
      <c r="AN391" t="e">
        <f>VLOOKUP($AC391,'oddspedia-matches'!$A:$AD,AN$2,0)</f>
        <v>#N/A</v>
      </c>
      <c r="AO391" t="e">
        <f>VLOOKUP($AC391,'oddspedia-matches'!$A:$AD,AO$2,0)</f>
        <v>#N/A</v>
      </c>
      <c r="AP391" t="e">
        <f>VLOOKUP($AC391,'oddspedia-matches'!$A:$AD,AP$2,0)</f>
        <v>#N/A</v>
      </c>
      <c r="AQ391" t="e">
        <f>VLOOKUP($AC391,'oddspedia-matches'!$A:$AD,AQ$2,0)</f>
        <v>#N/A</v>
      </c>
      <c r="AR391" t="e">
        <f>VLOOKUP($AC391,'oddspedia-matches'!$A:$AD,AR$2,0)</f>
        <v>#N/A</v>
      </c>
      <c r="AS391" t="e">
        <f>VLOOKUP($AC391,'oddspedia-matches'!$A:$AD,AS$2,0)</f>
        <v>#N/A</v>
      </c>
      <c r="AT391" t="e">
        <f>VLOOKUP($AC391,'oddspedia-matches'!$A:$AD,AT$2,0)</f>
        <v>#N/A</v>
      </c>
    </row>
    <row r="392" spans="2:46" x14ac:dyDescent="0.25">
      <c r="B392" t="s">
        <v>1030</v>
      </c>
      <c r="C392" t="s">
        <v>948</v>
      </c>
      <c r="D392" s="25">
        <v>0.5</v>
      </c>
      <c r="E392" t="s">
        <v>1087</v>
      </c>
      <c r="F392" t="s">
        <v>1088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t="s">
        <v>22</v>
      </c>
      <c r="Y392" t="s">
        <v>22</v>
      </c>
      <c r="AA392">
        <f>VLOOKUP(E392,'Transform table'!A:B,2,0)</f>
        <v>0</v>
      </c>
      <c r="AB392" t="e">
        <f>VLOOKUP(F392,'Transform table'!A:B,2,0)</f>
        <v>#N/A</v>
      </c>
      <c r="AC392" t="e">
        <f t="shared" si="6"/>
        <v>#N/A</v>
      </c>
      <c r="AD392" t="e">
        <f>VLOOKUP($AC392,'oddspedia-matches'!$A:$AD,AD$2,0)</f>
        <v>#N/A</v>
      </c>
      <c r="AE392" t="e">
        <f>VLOOKUP($AC392,'oddspedia-matches'!$A:$AD,AE$2,0)</f>
        <v>#N/A</v>
      </c>
      <c r="AF392" t="e">
        <f>VLOOKUP($AC392,'oddspedia-matches'!$A:$AD,AF$2,0)</f>
        <v>#N/A</v>
      </c>
      <c r="AG392" t="e">
        <f>VLOOKUP($AC392,'oddspedia-matches'!$A:$AD,AG$2,0)</f>
        <v>#N/A</v>
      </c>
      <c r="AH392" t="e">
        <f>VLOOKUP($AC392,'oddspedia-matches'!$A:$AD,AH$2,0)</f>
        <v>#N/A</v>
      </c>
      <c r="AI392" t="e">
        <f>VLOOKUP($AC392,'oddspedia-matches'!$A:$AD,AI$2,0)</f>
        <v>#N/A</v>
      </c>
      <c r="AJ392" t="e">
        <f>VLOOKUP($AC392,'oddspedia-matches'!$A:$AD,AJ$2,0)</f>
        <v>#N/A</v>
      </c>
      <c r="AK392" t="e">
        <f>VLOOKUP($AC392,'oddspedia-matches'!$A:$AD,AK$2,0)</f>
        <v>#N/A</v>
      </c>
      <c r="AL392" t="e">
        <f>VLOOKUP($AC392,'oddspedia-matches'!$A:$AD,AL$2,0)</f>
        <v>#N/A</v>
      </c>
      <c r="AM392" t="e">
        <f>VLOOKUP($AC392,'oddspedia-matches'!$A:$AD,AM$2,0)</f>
        <v>#N/A</v>
      </c>
      <c r="AN392" t="e">
        <f>VLOOKUP($AC392,'oddspedia-matches'!$A:$AD,AN$2,0)</f>
        <v>#N/A</v>
      </c>
      <c r="AO392" t="e">
        <f>VLOOKUP($AC392,'oddspedia-matches'!$A:$AD,AO$2,0)</f>
        <v>#N/A</v>
      </c>
      <c r="AP392" t="e">
        <f>VLOOKUP($AC392,'oddspedia-matches'!$A:$AD,AP$2,0)</f>
        <v>#N/A</v>
      </c>
      <c r="AQ392" t="e">
        <f>VLOOKUP($AC392,'oddspedia-matches'!$A:$AD,AQ$2,0)</f>
        <v>#N/A</v>
      </c>
      <c r="AR392" t="e">
        <f>VLOOKUP($AC392,'oddspedia-matches'!$A:$AD,AR$2,0)</f>
        <v>#N/A</v>
      </c>
      <c r="AS392" t="e">
        <f>VLOOKUP($AC392,'oddspedia-matches'!$A:$AD,AS$2,0)</f>
        <v>#N/A</v>
      </c>
      <c r="AT392" t="e">
        <f>VLOOKUP($AC392,'oddspedia-matches'!$A:$AD,AT$2,0)</f>
        <v>#N/A</v>
      </c>
    </row>
    <row r="393" spans="2:46" x14ac:dyDescent="0.25">
      <c r="B393" t="s">
        <v>965</v>
      </c>
      <c r="C393" t="s">
        <v>948</v>
      </c>
      <c r="D393" s="25">
        <v>0.5</v>
      </c>
      <c r="E393" t="s">
        <v>1089</v>
      </c>
      <c r="F393" t="s">
        <v>1090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">
        <v>22</v>
      </c>
      <c r="Y393" t="s">
        <v>22</v>
      </c>
      <c r="AA393" t="str">
        <f>VLOOKUP(E393,'Transform table'!A:B,2,0)</f>
        <v>PFC Sochi</v>
      </c>
      <c r="AB393" t="e">
        <f>VLOOKUP(F393,'Transform table'!A:B,2,0)</f>
        <v>#N/A</v>
      </c>
      <c r="AC393" t="e">
        <f t="shared" si="6"/>
        <v>#N/A</v>
      </c>
      <c r="AD393" t="e">
        <f>VLOOKUP($AC393,'oddspedia-matches'!$A:$AD,AD$2,0)</f>
        <v>#N/A</v>
      </c>
      <c r="AE393" t="e">
        <f>VLOOKUP($AC393,'oddspedia-matches'!$A:$AD,AE$2,0)</f>
        <v>#N/A</v>
      </c>
      <c r="AF393" t="e">
        <f>VLOOKUP($AC393,'oddspedia-matches'!$A:$AD,AF$2,0)</f>
        <v>#N/A</v>
      </c>
      <c r="AG393" t="e">
        <f>VLOOKUP($AC393,'oddspedia-matches'!$A:$AD,AG$2,0)</f>
        <v>#N/A</v>
      </c>
      <c r="AH393" t="e">
        <f>VLOOKUP($AC393,'oddspedia-matches'!$A:$AD,AH$2,0)</f>
        <v>#N/A</v>
      </c>
      <c r="AI393" t="e">
        <f>VLOOKUP($AC393,'oddspedia-matches'!$A:$AD,AI$2,0)</f>
        <v>#N/A</v>
      </c>
      <c r="AJ393" t="e">
        <f>VLOOKUP($AC393,'oddspedia-matches'!$A:$AD,AJ$2,0)</f>
        <v>#N/A</v>
      </c>
      <c r="AK393" t="e">
        <f>VLOOKUP($AC393,'oddspedia-matches'!$A:$AD,AK$2,0)</f>
        <v>#N/A</v>
      </c>
      <c r="AL393" t="e">
        <f>VLOOKUP($AC393,'oddspedia-matches'!$A:$AD,AL$2,0)</f>
        <v>#N/A</v>
      </c>
      <c r="AM393" t="e">
        <f>VLOOKUP($AC393,'oddspedia-matches'!$A:$AD,AM$2,0)</f>
        <v>#N/A</v>
      </c>
      <c r="AN393" t="e">
        <f>VLOOKUP($AC393,'oddspedia-matches'!$A:$AD,AN$2,0)</f>
        <v>#N/A</v>
      </c>
      <c r="AO393" t="e">
        <f>VLOOKUP($AC393,'oddspedia-matches'!$A:$AD,AO$2,0)</f>
        <v>#N/A</v>
      </c>
      <c r="AP393" t="e">
        <f>VLOOKUP($AC393,'oddspedia-matches'!$A:$AD,AP$2,0)</f>
        <v>#N/A</v>
      </c>
      <c r="AQ393" t="e">
        <f>VLOOKUP($AC393,'oddspedia-matches'!$A:$AD,AQ$2,0)</f>
        <v>#N/A</v>
      </c>
      <c r="AR393" t="e">
        <f>VLOOKUP($AC393,'oddspedia-matches'!$A:$AD,AR$2,0)</f>
        <v>#N/A</v>
      </c>
      <c r="AS393" t="e">
        <f>VLOOKUP($AC393,'oddspedia-matches'!$A:$AD,AS$2,0)</f>
        <v>#N/A</v>
      </c>
      <c r="AT393" t="e">
        <f>VLOOKUP($AC393,'oddspedia-matches'!$A:$AD,AT$2,0)</f>
        <v>#N/A</v>
      </c>
    </row>
    <row r="394" spans="2:46" x14ac:dyDescent="0.25">
      <c r="B394" t="s">
        <v>469</v>
      </c>
      <c r="C394" t="s">
        <v>948</v>
      </c>
      <c r="D394" s="25">
        <v>0.5</v>
      </c>
      <c r="E394" t="s">
        <v>261</v>
      </c>
      <c r="F394" t="s">
        <v>1091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>
        <v>28.6</v>
      </c>
      <c r="Y394">
        <v>12.5</v>
      </c>
      <c r="AA394" t="str">
        <f>VLOOKUP(E394,'Transform table'!A:B,2,0)</f>
        <v>Norrby</v>
      </c>
      <c r="AB394" t="e">
        <f>VLOOKUP(F394,'Transform table'!A:B,2,0)</f>
        <v>#N/A</v>
      </c>
      <c r="AC394" t="e">
        <f t="shared" si="6"/>
        <v>#N/A</v>
      </c>
      <c r="AD394" t="e">
        <f>VLOOKUP($AC394,'oddspedia-matches'!$A:$AD,AD$2,0)</f>
        <v>#N/A</v>
      </c>
      <c r="AE394" t="e">
        <f>VLOOKUP($AC394,'oddspedia-matches'!$A:$AD,AE$2,0)</f>
        <v>#N/A</v>
      </c>
      <c r="AF394" t="e">
        <f>VLOOKUP($AC394,'oddspedia-matches'!$A:$AD,AF$2,0)</f>
        <v>#N/A</v>
      </c>
      <c r="AG394" t="e">
        <f>VLOOKUP($AC394,'oddspedia-matches'!$A:$AD,AG$2,0)</f>
        <v>#N/A</v>
      </c>
      <c r="AH394" t="e">
        <f>VLOOKUP($AC394,'oddspedia-matches'!$A:$AD,AH$2,0)</f>
        <v>#N/A</v>
      </c>
      <c r="AI394" t="e">
        <f>VLOOKUP($AC394,'oddspedia-matches'!$A:$AD,AI$2,0)</f>
        <v>#N/A</v>
      </c>
      <c r="AJ394" t="e">
        <f>VLOOKUP($AC394,'oddspedia-matches'!$A:$AD,AJ$2,0)</f>
        <v>#N/A</v>
      </c>
      <c r="AK394" t="e">
        <f>VLOOKUP($AC394,'oddspedia-matches'!$A:$AD,AK$2,0)</f>
        <v>#N/A</v>
      </c>
      <c r="AL394" t="e">
        <f>VLOOKUP($AC394,'oddspedia-matches'!$A:$AD,AL$2,0)</f>
        <v>#N/A</v>
      </c>
      <c r="AM394" t="e">
        <f>VLOOKUP($AC394,'oddspedia-matches'!$A:$AD,AM$2,0)</f>
        <v>#N/A</v>
      </c>
      <c r="AN394" t="e">
        <f>VLOOKUP($AC394,'oddspedia-matches'!$A:$AD,AN$2,0)</f>
        <v>#N/A</v>
      </c>
      <c r="AO394" t="e">
        <f>VLOOKUP($AC394,'oddspedia-matches'!$A:$AD,AO$2,0)</f>
        <v>#N/A</v>
      </c>
      <c r="AP394" t="e">
        <f>VLOOKUP($AC394,'oddspedia-matches'!$A:$AD,AP$2,0)</f>
        <v>#N/A</v>
      </c>
      <c r="AQ394" t="e">
        <f>VLOOKUP($AC394,'oddspedia-matches'!$A:$AD,AQ$2,0)</f>
        <v>#N/A</v>
      </c>
      <c r="AR394" t="e">
        <f>VLOOKUP($AC394,'oddspedia-matches'!$A:$AD,AR$2,0)</f>
        <v>#N/A</v>
      </c>
      <c r="AS394" t="e">
        <f>VLOOKUP($AC394,'oddspedia-matches'!$A:$AD,AS$2,0)</f>
        <v>#N/A</v>
      </c>
      <c r="AT394" t="e">
        <f>VLOOKUP($AC394,'oddspedia-matches'!$A:$AD,AT$2,0)</f>
        <v>#N/A</v>
      </c>
    </row>
    <row r="395" spans="2:46" x14ac:dyDescent="0.25">
      <c r="B395" t="s">
        <v>1025</v>
      </c>
      <c r="C395" t="s">
        <v>948</v>
      </c>
      <c r="D395" s="25">
        <v>0.5</v>
      </c>
      <c r="E395" t="s">
        <v>1092</v>
      </c>
      <c r="F395" t="s">
        <v>1093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22</v>
      </c>
      <c r="O395" t="s">
        <v>22</v>
      </c>
      <c r="P395" t="s">
        <v>22</v>
      </c>
      <c r="Q395" t="s">
        <v>22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">
        <v>22</v>
      </c>
      <c r="Y395" t="s">
        <v>22</v>
      </c>
      <c r="AA395" t="str">
        <f>VLOOKUP(E395,'Transform table'!A:B,2,0)</f>
        <v>CA Atenas</v>
      </c>
      <c r="AB395" t="e">
        <f>VLOOKUP(F395,'Transform table'!A:B,2,0)</f>
        <v>#N/A</v>
      </c>
      <c r="AC395" t="e">
        <f t="shared" si="6"/>
        <v>#N/A</v>
      </c>
      <c r="AD395" t="e">
        <f>VLOOKUP($AC395,'oddspedia-matches'!$A:$AD,AD$2,0)</f>
        <v>#N/A</v>
      </c>
      <c r="AE395" t="e">
        <f>VLOOKUP($AC395,'oddspedia-matches'!$A:$AD,AE$2,0)</f>
        <v>#N/A</v>
      </c>
      <c r="AF395" t="e">
        <f>VLOOKUP($AC395,'oddspedia-matches'!$A:$AD,AF$2,0)</f>
        <v>#N/A</v>
      </c>
      <c r="AG395" t="e">
        <f>VLOOKUP($AC395,'oddspedia-matches'!$A:$AD,AG$2,0)</f>
        <v>#N/A</v>
      </c>
      <c r="AH395" t="e">
        <f>VLOOKUP($AC395,'oddspedia-matches'!$A:$AD,AH$2,0)</f>
        <v>#N/A</v>
      </c>
      <c r="AI395" t="e">
        <f>VLOOKUP($AC395,'oddspedia-matches'!$A:$AD,AI$2,0)</f>
        <v>#N/A</v>
      </c>
      <c r="AJ395" t="e">
        <f>VLOOKUP($AC395,'oddspedia-matches'!$A:$AD,AJ$2,0)</f>
        <v>#N/A</v>
      </c>
      <c r="AK395" t="e">
        <f>VLOOKUP($AC395,'oddspedia-matches'!$A:$AD,AK$2,0)</f>
        <v>#N/A</v>
      </c>
      <c r="AL395" t="e">
        <f>VLOOKUP($AC395,'oddspedia-matches'!$A:$AD,AL$2,0)</f>
        <v>#N/A</v>
      </c>
      <c r="AM395" t="e">
        <f>VLOOKUP($AC395,'oddspedia-matches'!$A:$AD,AM$2,0)</f>
        <v>#N/A</v>
      </c>
      <c r="AN395" t="e">
        <f>VLOOKUP($AC395,'oddspedia-matches'!$A:$AD,AN$2,0)</f>
        <v>#N/A</v>
      </c>
      <c r="AO395" t="e">
        <f>VLOOKUP($AC395,'oddspedia-matches'!$A:$AD,AO$2,0)</f>
        <v>#N/A</v>
      </c>
      <c r="AP395" t="e">
        <f>VLOOKUP($AC395,'oddspedia-matches'!$A:$AD,AP$2,0)</f>
        <v>#N/A</v>
      </c>
      <c r="AQ395" t="e">
        <f>VLOOKUP($AC395,'oddspedia-matches'!$A:$AD,AQ$2,0)</f>
        <v>#N/A</v>
      </c>
      <c r="AR395" t="e">
        <f>VLOOKUP($AC395,'oddspedia-matches'!$A:$AD,AR$2,0)</f>
        <v>#N/A</v>
      </c>
      <c r="AS395" t="e">
        <f>VLOOKUP($AC395,'oddspedia-matches'!$A:$AD,AS$2,0)</f>
        <v>#N/A</v>
      </c>
      <c r="AT395" t="e">
        <f>VLOOKUP($AC395,'oddspedia-matches'!$A:$AD,AT$2,0)</f>
        <v>#N/A</v>
      </c>
    </row>
    <row r="396" spans="2:46" x14ac:dyDescent="0.25">
      <c r="B396" t="s">
        <v>1025</v>
      </c>
      <c r="C396" t="s">
        <v>948</v>
      </c>
      <c r="D396" s="25">
        <v>0.5</v>
      </c>
      <c r="E396" t="s">
        <v>679</v>
      </c>
      <c r="F396" t="s">
        <v>1092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>
        <v>22.2</v>
      </c>
      <c r="Y396">
        <v>25</v>
      </c>
      <c r="AA396" t="str">
        <f>VLOOKUP(E396,'Transform table'!A:B,2,0)</f>
        <v>Fenerbahce</v>
      </c>
      <c r="AB396" t="str">
        <f>VLOOKUP(F396,'Transform table'!A:B,2,0)</f>
        <v>CA Atenas</v>
      </c>
      <c r="AC396" t="str">
        <f t="shared" si="6"/>
        <v>26/07/2026FenerbahceCA Atenas</v>
      </c>
      <c r="AD396" t="e">
        <f>VLOOKUP($AC396,'oddspedia-matches'!$A:$AD,AD$2,0)</f>
        <v>#N/A</v>
      </c>
      <c r="AE396" t="e">
        <f>VLOOKUP($AC396,'oddspedia-matches'!$A:$AD,AE$2,0)</f>
        <v>#N/A</v>
      </c>
      <c r="AF396" t="e">
        <f>VLOOKUP($AC396,'oddspedia-matches'!$A:$AD,AF$2,0)</f>
        <v>#N/A</v>
      </c>
      <c r="AG396" t="e">
        <f>VLOOKUP($AC396,'oddspedia-matches'!$A:$AD,AG$2,0)</f>
        <v>#N/A</v>
      </c>
      <c r="AH396" t="e">
        <f>VLOOKUP($AC396,'oddspedia-matches'!$A:$AD,AH$2,0)</f>
        <v>#N/A</v>
      </c>
      <c r="AI396" t="e">
        <f>VLOOKUP($AC396,'oddspedia-matches'!$A:$AD,AI$2,0)</f>
        <v>#N/A</v>
      </c>
      <c r="AJ396" t="e">
        <f>VLOOKUP($AC396,'oddspedia-matches'!$A:$AD,AJ$2,0)</f>
        <v>#N/A</v>
      </c>
      <c r="AK396" t="e">
        <f>VLOOKUP($AC396,'oddspedia-matches'!$A:$AD,AK$2,0)</f>
        <v>#N/A</v>
      </c>
      <c r="AL396" t="e">
        <f>VLOOKUP($AC396,'oddspedia-matches'!$A:$AD,AL$2,0)</f>
        <v>#N/A</v>
      </c>
      <c r="AM396" t="e">
        <f>VLOOKUP($AC396,'oddspedia-matches'!$A:$AD,AM$2,0)</f>
        <v>#N/A</v>
      </c>
      <c r="AN396" t="e">
        <f>VLOOKUP($AC396,'oddspedia-matches'!$A:$AD,AN$2,0)</f>
        <v>#N/A</v>
      </c>
      <c r="AO396" t="e">
        <f>VLOOKUP($AC396,'oddspedia-matches'!$A:$AD,AO$2,0)</f>
        <v>#N/A</v>
      </c>
      <c r="AP396" t="e">
        <f>VLOOKUP($AC396,'oddspedia-matches'!$A:$AD,AP$2,0)</f>
        <v>#N/A</v>
      </c>
      <c r="AQ396" t="e">
        <f>VLOOKUP($AC396,'oddspedia-matches'!$A:$AD,AQ$2,0)</f>
        <v>#N/A</v>
      </c>
      <c r="AR396" t="e">
        <f>VLOOKUP($AC396,'oddspedia-matches'!$A:$AD,AR$2,0)</f>
        <v>#N/A</v>
      </c>
      <c r="AS396" t="e">
        <f>VLOOKUP($AC396,'oddspedia-matches'!$A:$AD,AS$2,0)</f>
        <v>#N/A</v>
      </c>
      <c r="AT396" t="e">
        <f>VLOOKUP($AC396,'oddspedia-matches'!$A:$AD,AT$2,0)</f>
        <v>#N/A</v>
      </c>
    </row>
    <row r="397" spans="2:46" x14ac:dyDescent="0.25">
      <c r="B397" t="s">
        <v>1008</v>
      </c>
      <c r="C397" t="s">
        <v>948</v>
      </c>
      <c r="D397" s="25">
        <v>0.52083333333333337</v>
      </c>
      <c r="E397" t="s">
        <v>247</v>
      </c>
      <c r="F397" t="s">
        <v>1094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>
        <v>0</v>
      </c>
      <c r="Y397">
        <v>36.4</v>
      </c>
      <c r="AA397" t="str">
        <f>VLOOKUP(E397,'Transform table'!A:B,2,0)</f>
        <v>Jelgava</v>
      </c>
      <c r="AB397" t="e">
        <f>VLOOKUP(F397,'Transform table'!A:B,2,0)</f>
        <v>#N/A</v>
      </c>
      <c r="AC397" t="e">
        <f t="shared" si="6"/>
        <v>#N/A</v>
      </c>
      <c r="AD397" t="e">
        <f>VLOOKUP($AC397,'oddspedia-matches'!$A:$AD,AD$2,0)</f>
        <v>#N/A</v>
      </c>
      <c r="AE397" t="e">
        <f>VLOOKUP($AC397,'oddspedia-matches'!$A:$AD,AE$2,0)</f>
        <v>#N/A</v>
      </c>
      <c r="AF397" t="e">
        <f>VLOOKUP($AC397,'oddspedia-matches'!$A:$AD,AF$2,0)</f>
        <v>#N/A</v>
      </c>
      <c r="AG397" t="e">
        <f>VLOOKUP($AC397,'oddspedia-matches'!$A:$AD,AG$2,0)</f>
        <v>#N/A</v>
      </c>
      <c r="AH397" t="e">
        <f>VLOOKUP($AC397,'oddspedia-matches'!$A:$AD,AH$2,0)</f>
        <v>#N/A</v>
      </c>
      <c r="AI397" t="e">
        <f>VLOOKUP($AC397,'oddspedia-matches'!$A:$AD,AI$2,0)</f>
        <v>#N/A</v>
      </c>
      <c r="AJ397" t="e">
        <f>VLOOKUP($AC397,'oddspedia-matches'!$A:$AD,AJ$2,0)</f>
        <v>#N/A</v>
      </c>
      <c r="AK397" t="e">
        <f>VLOOKUP($AC397,'oddspedia-matches'!$A:$AD,AK$2,0)</f>
        <v>#N/A</v>
      </c>
      <c r="AL397" t="e">
        <f>VLOOKUP($AC397,'oddspedia-matches'!$A:$AD,AL$2,0)</f>
        <v>#N/A</v>
      </c>
      <c r="AM397" t="e">
        <f>VLOOKUP($AC397,'oddspedia-matches'!$A:$AD,AM$2,0)</f>
        <v>#N/A</v>
      </c>
      <c r="AN397" t="e">
        <f>VLOOKUP($AC397,'oddspedia-matches'!$A:$AD,AN$2,0)</f>
        <v>#N/A</v>
      </c>
      <c r="AO397" t="e">
        <f>VLOOKUP($AC397,'oddspedia-matches'!$A:$AD,AO$2,0)</f>
        <v>#N/A</v>
      </c>
      <c r="AP397" t="e">
        <f>VLOOKUP($AC397,'oddspedia-matches'!$A:$AD,AP$2,0)</f>
        <v>#N/A</v>
      </c>
      <c r="AQ397" t="e">
        <f>VLOOKUP($AC397,'oddspedia-matches'!$A:$AD,AQ$2,0)</f>
        <v>#N/A</v>
      </c>
      <c r="AR397" t="e">
        <f>VLOOKUP($AC397,'oddspedia-matches'!$A:$AD,AR$2,0)</f>
        <v>#N/A</v>
      </c>
      <c r="AS397" t="e">
        <f>VLOOKUP($AC397,'oddspedia-matches'!$A:$AD,AS$2,0)</f>
        <v>#N/A</v>
      </c>
      <c r="AT397" t="e">
        <f>VLOOKUP($AC397,'oddspedia-matches'!$A:$AD,AT$2,0)</f>
        <v>#N/A</v>
      </c>
    </row>
    <row r="398" spans="2:46" x14ac:dyDescent="0.25">
      <c r="B398" t="s">
        <v>1033</v>
      </c>
      <c r="C398" t="s">
        <v>948</v>
      </c>
      <c r="D398" s="25">
        <v>0.52083333333333337</v>
      </c>
      <c r="E398" t="s">
        <v>1095</v>
      </c>
      <c r="F398" t="s">
        <v>1096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">
        <v>22</v>
      </c>
      <c r="Y398" t="s">
        <v>22</v>
      </c>
      <c r="AA398" t="str">
        <f>VLOOKUP(E398,'Transform table'!A:B,2,0)</f>
        <v>Woking</v>
      </c>
      <c r="AB398" t="e">
        <f>VLOOKUP(F398,'Transform table'!A:B,2,0)</f>
        <v>#N/A</v>
      </c>
      <c r="AC398" t="e">
        <f t="shared" si="6"/>
        <v>#N/A</v>
      </c>
      <c r="AD398" t="e">
        <f>VLOOKUP($AC398,'oddspedia-matches'!$A:$AD,AD$2,0)</f>
        <v>#N/A</v>
      </c>
      <c r="AE398" t="e">
        <f>VLOOKUP($AC398,'oddspedia-matches'!$A:$AD,AE$2,0)</f>
        <v>#N/A</v>
      </c>
      <c r="AF398" t="e">
        <f>VLOOKUP($AC398,'oddspedia-matches'!$A:$AD,AF$2,0)</f>
        <v>#N/A</v>
      </c>
      <c r="AG398" t="e">
        <f>VLOOKUP($AC398,'oddspedia-matches'!$A:$AD,AG$2,0)</f>
        <v>#N/A</v>
      </c>
      <c r="AH398" t="e">
        <f>VLOOKUP($AC398,'oddspedia-matches'!$A:$AD,AH$2,0)</f>
        <v>#N/A</v>
      </c>
      <c r="AI398" t="e">
        <f>VLOOKUP($AC398,'oddspedia-matches'!$A:$AD,AI$2,0)</f>
        <v>#N/A</v>
      </c>
      <c r="AJ398" t="e">
        <f>VLOOKUP($AC398,'oddspedia-matches'!$A:$AD,AJ$2,0)</f>
        <v>#N/A</v>
      </c>
      <c r="AK398" t="e">
        <f>VLOOKUP($AC398,'oddspedia-matches'!$A:$AD,AK$2,0)</f>
        <v>#N/A</v>
      </c>
      <c r="AL398" t="e">
        <f>VLOOKUP($AC398,'oddspedia-matches'!$A:$AD,AL$2,0)</f>
        <v>#N/A</v>
      </c>
      <c r="AM398" t="e">
        <f>VLOOKUP($AC398,'oddspedia-matches'!$A:$AD,AM$2,0)</f>
        <v>#N/A</v>
      </c>
      <c r="AN398" t="e">
        <f>VLOOKUP($AC398,'oddspedia-matches'!$A:$AD,AN$2,0)</f>
        <v>#N/A</v>
      </c>
      <c r="AO398" t="e">
        <f>VLOOKUP($AC398,'oddspedia-matches'!$A:$AD,AO$2,0)</f>
        <v>#N/A</v>
      </c>
      <c r="AP398" t="e">
        <f>VLOOKUP($AC398,'oddspedia-matches'!$A:$AD,AP$2,0)</f>
        <v>#N/A</v>
      </c>
      <c r="AQ398" t="e">
        <f>VLOOKUP($AC398,'oddspedia-matches'!$A:$AD,AQ$2,0)</f>
        <v>#N/A</v>
      </c>
      <c r="AR398" t="e">
        <f>VLOOKUP($AC398,'oddspedia-matches'!$A:$AD,AR$2,0)</f>
        <v>#N/A</v>
      </c>
      <c r="AS398" t="e">
        <f>VLOOKUP($AC398,'oddspedia-matches'!$A:$AD,AS$2,0)</f>
        <v>#N/A</v>
      </c>
      <c r="AT398" t="e">
        <f>VLOOKUP($AC398,'oddspedia-matches'!$A:$AD,AT$2,0)</f>
        <v>#N/A</v>
      </c>
    </row>
    <row r="399" spans="2:46" x14ac:dyDescent="0.25">
      <c r="B399" t="s">
        <v>493</v>
      </c>
      <c r="C399" t="s">
        <v>948</v>
      </c>
      <c r="D399" s="25">
        <v>0.53125</v>
      </c>
      <c r="E399" t="s">
        <v>1097</v>
      </c>
      <c r="F399" t="s">
        <v>1098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t="s">
        <v>22</v>
      </c>
      <c r="Y399" t="s">
        <v>22</v>
      </c>
      <c r="AA399">
        <f>VLOOKUP(E399,'Transform table'!A:B,2,0)</f>
        <v>0</v>
      </c>
      <c r="AB399" t="e">
        <f>VLOOKUP(F399,'Transform table'!A:B,2,0)</f>
        <v>#N/A</v>
      </c>
      <c r="AC399" t="e">
        <f t="shared" si="6"/>
        <v>#N/A</v>
      </c>
      <c r="AD399" t="e">
        <f>VLOOKUP($AC399,'oddspedia-matches'!$A:$AD,AD$2,0)</f>
        <v>#N/A</v>
      </c>
      <c r="AE399" t="e">
        <f>VLOOKUP($AC399,'oddspedia-matches'!$A:$AD,AE$2,0)</f>
        <v>#N/A</v>
      </c>
      <c r="AF399" t="e">
        <f>VLOOKUP($AC399,'oddspedia-matches'!$A:$AD,AF$2,0)</f>
        <v>#N/A</v>
      </c>
      <c r="AG399" t="e">
        <f>VLOOKUP($AC399,'oddspedia-matches'!$A:$AD,AG$2,0)</f>
        <v>#N/A</v>
      </c>
      <c r="AH399" t="e">
        <f>VLOOKUP($AC399,'oddspedia-matches'!$A:$AD,AH$2,0)</f>
        <v>#N/A</v>
      </c>
      <c r="AI399" t="e">
        <f>VLOOKUP($AC399,'oddspedia-matches'!$A:$AD,AI$2,0)</f>
        <v>#N/A</v>
      </c>
      <c r="AJ399" t="e">
        <f>VLOOKUP($AC399,'oddspedia-matches'!$A:$AD,AJ$2,0)</f>
        <v>#N/A</v>
      </c>
      <c r="AK399" t="e">
        <f>VLOOKUP($AC399,'oddspedia-matches'!$A:$AD,AK$2,0)</f>
        <v>#N/A</v>
      </c>
      <c r="AL399" t="e">
        <f>VLOOKUP($AC399,'oddspedia-matches'!$A:$AD,AL$2,0)</f>
        <v>#N/A</v>
      </c>
      <c r="AM399" t="e">
        <f>VLOOKUP($AC399,'oddspedia-matches'!$A:$AD,AM$2,0)</f>
        <v>#N/A</v>
      </c>
      <c r="AN399" t="e">
        <f>VLOOKUP($AC399,'oddspedia-matches'!$A:$AD,AN$2,0)</f>
        <v>#N/A</v>
      </c>
      <c r="AO399" t="e">
        <f>VLOOKUP($AC399,'oddspedia-matches'!$A:$AD,AO$2,0)</f>
        <v>#N/A</v>
      </c>
      <c r="AP399" t="e">
        <f>VLOOKUP($AC399,'oddspedia-matches'!$A:$AD,AP$2,0)</f>
        <v>#N/A</v>
      </c>
      <c r="AQ399" t="e">
        <f>VLOOKUP($AC399,'oddspedia-matches'!$A:$AD,AQ$2,0)</f>
        <v>#N/A</v>
      </c>
      <c r="AR399" t="e">
        <f>VLOOKUP($AC399,'oddspedia-matches'!$A:$AD,AR$2,0)</f>
        <v>#N/A</v>
      </c>
      <c r="AS399" t="e">
        <f>VLOOKUP($AC399,'oddspedia-matches'!$A:$AD,AS$2,0)</f>
        <v>#N/A</v>
      </c>
      <c r="AT399" t="e">
        <f>VLOOKUP($AC399,'oddspedia-matches'!$A:$AD,AT$2,0)</f>
        <v>#N/A</v>
      </c>
    </row>
    <row r="400" spans="2:46" x14ac:dyDescent="0.25">
      <c r="B400" t="s">
        <v>1099</v>
      </c>
      <c r="C400" t="s">
        <v>948</v>
      </c>
      <c r="D400" s="25">
        <v>0.54166666666666663</v>
      </c>
      <c r="E400" t="s">
        <v>1100</v>
      </c>
      <c r="F400" t="s">
        <v>1101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t="s">
        <v>22</v>
      </c>
      <c r="Y400" t="s">
        <v>22</v>
      </c>
      <c r="AA400">
        <f>VLOOKUP(E400,'Transform table'!A:B,2,0)</f>
        <v>0</v>
      </c>
      <c r="AB400" t="e">
        <f>VLOOKUP(F400,'Transform table'!A:B,2,0)</f>
        <v>#N/A</v>
      </c>
      <c r="AC400" t="e">
        <f t="shared" si="6"/>
        <v>#N/A</v>
      </c>
      <c r="AD400" t="e">
        <f>VLOOKUP($AC400,'oddspedia-matches'!$A:$AD,AD$2,0)</f>
        <v>#N/A</v>
      </c>
      <c r="AE400" t="e">
        <f>VLOOKUP($AC400,'oddspedia-matches'!$A:$AD,AE$2,0)</f>
        <v>#N/A</v>
      </c>
      <c r="AF400" t="e">
        <f>VLOOKUP($AC400,'oddspedia-matches'!$A:$AD,AF$2,0)</f>
        <v>#N/A</v>
      </c>
      <c r="AG400" t="e">
        <f>VLOOKUP($AC400,'oddspedia-matches'!$A:$AD,AG$2,0)</f>
        <v>#N/A</v>
      </c>
      <c r="AH400" t="e">
        <f>VLOOKUP($AC400,'oddspedia-matches'!$A:$AD,AH$2,0)</f>
        <v>#N/A</v>
      </c>
      <c r="AI400" t="e">
        <f>VLOOKUP($AC400,'oddspedia-matches'!$A:$AD,AI$2,0)</f>
        <v>#N/A</v>
      </c>
      <c r="AJ400" t="e">
        <f>VLOOKUP($AC400,'oddspedia-matches'!$A:$AD,AJ$2,0)</f>
        <v>#N/A</v>
      </c>
      <c r="AK400" t="e">
        <f>VLOOKUP($AC400,'oddspedia-matches'!$A:$AD,AK$2,0)</f>
        <v>#N/A</v>
      </c>
      <c r="AL400" t="e">
        <f>VLOOKUP($AC400,'oddspedia-matches'!$A:$AD,AL$2,0)</f>
        <v>#N/A</v>
      </c>
      <c r="AM400" t="e">
        <f>VLOOKUP($AC400,'oddspedia-matches'!$A:$AD,AM$2,0)</f>
        <v>#N/A</v>
      </c>
      <c r="AN400" t="e">
        <f>VLOOKUP($AC400,'oddspedia-matches'!$A:$AD,AN$2,0)</f>
        <v>#N/A</v>
      </c>
      <c r="AO400" t="e">
        <f>VLOOKUP($AC400,'oddspedia-matches'!$A:$AD,AO$2,0)</f>
        <v>#N/A</v>
      </c>
      <c r="AP400" t="e">
        <f>VLOOKUP($AC400,'oddspedia-matches'!$A:$AD,AP$2,0)</f>
        <v>#N/A</v>
      </c>
      <c r="AQ400" t="e">
        <f>VLOOKUP($AC400,'oddspedia-matches'!$A:$AD,AQ$2,0)</f>
        <v>#N/A</v>
      </c>
      <c r="AR400" t="e">
        <f>VLOOKUP($AC400,'oddspedia-matches'!$A:$AD,AR$2,0)</f>
        <v>#N/A</v>
      </c>
      <c r="AS400" t="e">
        <f>VLOOKUP($AC400,'oddspedia-matches'!$A:$AD,AS$2,0)</f>
        <v>#N/A</v>
      </c>
      <c r="AT400" t="e">
        <f>VLOOKUP($AC400,'oddspedia-matches'!$A:$AD,AT$2,0)</f>
        <v>#N/A</v>
      </c>
    </row>
    <row r="401" spans="2:46" x14ac:dyDescent="0.25">
      <c r="B401" t="s">
        <v>1000</v>
      </c>
      <c r="C401" t="s">
        <v>948</v>
      </c>
      <c r="D401" s="25">
        <v>0.54166666666666663</v>
      </c>
      <c r="E401" t="s">
        <v>1102</v>
      </c>
      <c r="F401" t="s">
        <v>1103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t="s">
        <v>22</v>
      </c>
      <c r="Y401" t="s">
        <v>22</v>
      </c>
      <c r="AA401">
        <f>VLOOKUP(E401,'Transform table'!A:B,2,0)</f>
        <v>0</v>
      </c>
      <c r="AB401" t="e">
        <f>VLOOKUP(F401,'Transform table'!A:B,2,0)</f>
        <v>#N/A</v>
      </c>
      <c r="AC401" t="e">
        <f t="shared" si="6"/>
        <v>#N/A</v>
      </c>
      <c r="AD401" t="e">
        <f>VLOOKUP($AC401,'oddspedia-matches'!$A:$AD,AD$2,0)</f>
        <v>#N/A</v>
      </c>
      <c r="AE401" t="e">
        <f>VLOOKUP($AC401,'oddspedia-matches'!$A:$AD,AE$2,0)</f>
        <v>#N/A</v>
      </c>
      <c r="AF401" t="e">
        <f>VLOOKUP($AC401,'oddspedia-matches'!$A:$AD,AF$2,0)</f>
        <v>#N/A</v>
      </c>
      <c r="AG401" t="e">
        <f>VLOOKUP($AC401,'oddspedia-matches'!$A:$AD,AG$2,0)</f>
        <v>#N/A</v>
      </c>
      <c r="AH401" t="e">
        <f>VLOOKUP($AC401,'oddspedia-matches'!$A:$AD,AH$2,0)</f>
        <v>#N/A</v>
      </c>
      <c r="AI401" t="e">
        <f>VLOOKUP($AC401,'oddspedia-matches'!$A:$AD,AI$2,0)</f>
        <v>#N/A</v>
      </c>
      <c r="AJ401" t="e">
        <f>VLOOKUP($AC401,'oddspedia-matches'!$A:$AD,AJ$2,0)</f>
        <v>#N/A</v>
      </c>
      <c r="AK401" t="e">
        <f>VLOOKUP($AC401,'oddspedia-matches'!$A:$AD,AK$2,0)</f>
        <v>#N/A</v>
      </c>
      <c r="AL401" t="e">
        <f>VLOOKUP($AC401,'oddspedia-matches'!$A:$AD,AL$2,0)</f>
        <v>#N/A</v>
      </c>
      <c r="AM401" t="e">
        <f>VLOOKUP($AC401,'oddspedia-matches'!$A:$AD,AM$2,0)</f>
        <v>#N/A</v>
      </c>
      <c r="AN401" t="e">
        <f>VLOOKUP($AC401,'oddspedia-matches'!$A:$AD,AN$2,0)</f>
        <v>#N/A</v>
      </c>
      <c r="AO401" t="e">
        <f>VLOOKUP($AC401,'oddspedia-matches'!$A:$AD,AO$2,0)</f>
        <v>#N/A</v>
      </c>
      <c r="AP401" t="e">
        <f>VLOOKUP($AC401,'oddspedia-matches'!$A:$AD,AP$2,0)</f>
        <v>#N/A</v>
      </c>
      <c r="AQ401" t="e">
        <f>VLOOKUP($AC401,'oddspedia-matches'!$A:$AD,AQ$2,0)</f>
        <v>#N/A</v>
      </c>
      <c r="AR401" t="e">
        <f>VLOOKUP($AC401,'oddspedia-matches'!$A:$AD,AR$2,0)</f>
        <v>#N/A</v>
      </c>
      <c r="AS401" t="e">
        <f>VLOOKUP($AC401,'oddspedia-matches'!$A:$AD,AS$2,0)</f>
        <v>#N/A</v>
      </c>
      <c r="AT401" t="e">
        <f>VLOOKUP($AC401,'oddspedia-matches'!$A:$AD,AT$2,0)</f>
        <v>#N/A</v>
      </c>
    </row>
    <row r="402" spans="2:46" x14ac:dyDescent="0.25">
      <c r="B402" t="s">
        <v>1104</v>
      </c>
      <c r="C402" t="s">
        <v>948</v>
      </c>
      <c r="D402" s="25">
        <v>0.54166666666666663</v>
      </c>
      <c r="E402" t="s">
        <v>1105</v>
      </c>
      <c r="F402" t="s">
        <v>1106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">
        <v>22</v>
      </c>
      <c r="Y402" t="s">
        <v>22</v>
      </c>
      <c r="AA402" t="str">
        <f>VLOOKUP(E402,'Transform table'!A:B,2,0)</f>
        <v>NK Bravo</v>
      </c>
      <c r="AB402" t="e">
        <f>VLOOKUP(F402,'Transform table'!A:B,2,0)</f>
        <v>#N/A</v>
      </c>
      <c r="AC402" t="e">
        <f t="shared" si="6"/>
        <v>#N/A</v>
      </c>
      <c r="AD402" t="e">
        <f>VLOOKUP($AC402,'oddspedia-matches'!$A:$AD,AD$2,0)</f>
        <v>#N/A</v>
      </c>
      <c r="AE402" t="e">
        <f>VLOOKUP($AC402,'oddspedia-matches'!$A:$AD,AE$2,0)</f>
        <v>#N/A</v>
      </c>
      <c r="AF402" t="e">
        <f>VLOOKUP($AC402,'oddspedia-matches'!$A:$AD,AF$2,0)</f>
        <v>#N/A</v>
      </c>
      <c r="AG402" t="e">
        <f>VLOOKUP($AC402,'oddspedia-matches'!$A:$AD,AG$2,0)</f>
        <v>#N/A</v>
      </c>
      <c r="AH402" t="e">
        <f>VLOOKUP($AC402,'oddspedia-matches'!$A:$AD,AH$2,0)</f>
        <v>#N/A</v>
      </c>
      <c r="AI402" t="e">
        <f>VLOOKUP($AC402,'oddspedia-matches'!$A:$AD,AI$2,0)</f>
        <v>#N/A</v>
      </c>
      <c r="AJ402" t="e">
        <f>VLOOKUP($AC402,'oddspedia-matches'!$A:$AD,AJ$2,0)</f>
        <v>#N/A</v>
      </c>
      <c r="AK402" t="e">
        <f>VLOOKUP($AC402,'oddspedia-matches'!$A:$AD,AK$2,0)</f>
        <v>#N/A</v>
      </c>
      <c r="AL402" t="e">
        <f>VLOOKUP($AC402,'oddspedia-matches'!$A:$AD,AL$2,0)</f>
        <v>#N/A</v>
      </c>
      <c r="AM402" t="e">
        <f>VLOOKUP($AC402,'oddspedia-matches'!$A:$AD,AM$2,0)</f>
        <v>#N/A</v>
      </c>
      <c r="AN402" t="e">
        <f>VLOOKUP($AC402,'oddspedia-matches'!$A:$AD,AN$2,0)</f>
        <v>#N/A</v>
      </c>
      <c r="AO402" t="e">
        <f>VLOOKUP($AC402,'oddspedia-matches'!$A:$AD,AO$2,0)</f>
        <v>#N/A</v>
      </c>
      <c r="AP402" t="e">
        <f>VLOOKUP($AC402,'oddspedia-matches'!$A:$AD,AP$2,0)</f>
        <v>#N/A</v>
      </c>
      <c r="AQ402" t="e">
        <f>VLOOKUP($AC402,'oddspedia-matches'!$A:$AD,AQ$2,0)</f>
        <v>#N/A</v>
      </c>
      <c r="AR402" t="e">
        <f>VLOOKUP($AC402,'oddspedia-matches'!$A:$AD,AR$2,0)</f>
        <v>#N/A</v>
      </c>
      <c r="AS402" t="e">
        <f>VLOOKUP($AC402,'oddspedia-matches'!$A:$AD,AS$2,0)</f>
        <v>#N/A</v>
      </c>
      <c r="AT402" t="e">
        <f>VLOOKUP($AC402,'oddspedia-matches'!$A:$AD,AT$2,0)</f>
        <v>#N/A</v>
      </c>
    </row>
    <row r="403" spans="2:46" x14ac:dyDescent="0.25">
      <c r="B403" t="s">
        <v>1042</v>
      </c>
      <c r="C403" t="s">
        <v>948</v>
      </c>
      <c r="D403" s="25">
        <v>0.54166666666666663</v>
      </c>
      <c r="E403" t="s">
        <v>1107</v>
      </c>
      <c r="F403" t="s">
        <v>1108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">
        <v>22</v>
      </c>
      <c r="Y403" t="s">
        <v>22</v>
      </c>
      <c r="AA403" t="str">
        <f>VLOOKUP(E403,'Transform table'!A:B,2,0)</f>
        <v>Debreceni VSC</v>
      </c>
      <c r="AB403" t="e">
        <f>VLOOKUP(F403,'Transform table'!A:B,2,0)</f>
        <v>#N/A</v>
      </c>
      <c r="AC403" t="e">
        <f t="shared" si="6"/>
        <v>#N/A</v>
      </c>
      <c r="AD403" t="e">
        <f>VLOOKUP($AC403,'oddspedia-matches'!$A:$AD,AD$2,0)</f>
        <v>#N/A</v>
      </c>
      <c r="AE403" t="e">
        <f>VLOOKUP($AC403,'oddspedia-matches'!$A:$AD,AE$2,0)</f>
        <v>#N/A</v>
      </c>
      <c r="AF403" t="e">
        <f>VLOOKUP($AC403,'oddspedia-matches'!$A:$AD,AF$2,0)</f>
        <v>#N/A</v>
      </c>
      <c r="AG403" t="e">
        <f>VLOOKUP($AC403,'oddspedia-matches'!$A:$AD,AG$2,0)</f>
        <v>#N/A</v>
      </c>
      <c r="AH403" t="e">
        <f>VLOOKUP($AC403,'oddspedia-matches'!$A:$AD,AH$2,0)</f>
        <v>#N/A</v>
      </c>
      <c r="AI403" t="e">
        <f>VLOOKUP($AC403,'oddspedia-matches'!$A:$AD,AI$2,0)</f>
        <v>#N/A</v>
      </c>
      <c r="AJ403" t="e">
        <f>VLOOKUP($AC403,'oddspedia-matches'!$A:$AD,AJ$2,0)</f>
        <v>#N/A</v>
      </c>
      <c r="AK403" t="e">
        <f>VLOOKUP($AC403,'oddspedia-matches'!$A:$AD,AK$2,0)</f>
        <v>#N/A</v>
      </c>
      <c r="AL403" t="e">
        <f>VLOOKUP($AC403,'oddspedia-matches'!$A:$AD,AL$2,0)</f>
        <v>#N/A</v>
      </c>
      <c r="AM403" t="e">
        <f>VLOOKUP($AC403,'oddspedia-matches'!$A:$AD,AM$2,0)</f>
        <v>#N/A</v>
      </c>
      <c r="AN403" t="e">
        <f>VLOOKUP($AC403,'oddspedia-matches'!$A:$AD,AN$2,0)</f>
        <v>#N/A</v>
      </c>
      <c r="AO403" t="e">
        <f>VLOOKUP($AC403,'oddspedia-matches'!$A:$AD,AO$2,0)</f>
        <v>#N/A</v>
      </c>
      <c r="AP403" t="e">
        <f>VLOOKUP($AC403,'oddspedia-matches'!$A:$AD,AP$2,0)</f>
        <v>#N/A</v>
      </c>
      <c r="AQ403" t="e">
        <f>VLOOKUP($AC403,'oddspedia-matches'!$A:$AD,AQ$2,0)</f>
        <v>#N/A</v>
      </c>
      <c r="AR403" t="e">
        <f>VLOOKUP($AC403,'oddspedia-matches'!$A:$AD,AR$2,0)</f>
        <v>#N/A</v>
      </c>
      <c r="AS403" t="e">
        <f>VLOOKUP($AC403,'oddspedia-matches'!$A:$AD,AS$2,0)</f>
        <v>#N/A</v>
      </c>
      <c r="AT403" t="e">
        <f>VLOOKUP($AC403,'oddspedia-matches'!$A:$AD,AT$2,0)</f>
        <v>#N/A</v>
      </c>
    </row>
    <row r="404" spans="2:46" x14ac:dyDescent="0.25">
      <c r="B404" t="s">
        <v>1008</v>
      </c>
      <c r="C404" t="s">
        <v>948</v>
      </c>
      <c r="D404" s="25">
        <v>0.54166666666666663</v>
      </c>
      <c r="E404" t="s">
        <v>1109</v>
      </c>
      <c r="F404" t="s">
        <v>1110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>
        <v>20</v>
      </c>
      <c r="Y404">
        <v>0</v>
      </c>
      <c r="AA404" t="str">
        <f>VLOOKUP(E404,'Transform table'!A:B,2,0)</f>
        <v>FK Auda</v>
      </c>
      <c r="AB404" t="e">
        <f>VLOOKUP(F404,'Transform table'!A:B,2,0)</f>
        <v>#N/A</v>
      </c>
      <c r="AC404" t="e">
        <f t="shared" si="6"/>
        <v>#N/A</v>
      </c>
      <c r="AD404" t="e">
        <f>VLOOKUP($AC404,'oddspedia-matches'!$A:$AD,AD$2,0)</f>
        <v>#N/A</v>
      </c>
      <c r="AE404" t="e">
        <f>VLOOKUP($AC404,'oddspedia-matches'!$A:$AD,AE$2,0)</f>
        <v>#N/A</v>
      </c>
      <c r="AF404" t="e">
        <f>VLOOKUP($AC404,'oddspedia-matches'!$A:$AD,AF$2,0)</f>
        <v>#N/A</v>
      </c>
      <c r="AG404" t="e">
        <f>VLOOKUP($AC404,'oddspedia-matches'!$A:$AD,AG$2,0)</f>
        <v>#N/A</v>
      </c>
      <c r="AH404" t="e">
        <f>VLOOKUP($AC404,'oddspedia-matches'!$A:$AD,AH$2,0)</f>
        <v>#N/A</v>
      </c>
      <c r="AI404" t="e">
        <f>VLOOKUP($AC404,'oddspedia-matches'!$A:$AD,AI$2,0)</f>
        <v>#N/A</v>
      </c>
      <c r="AJ404" t="e">
        <f>VLOOKUP($AC404,'oddspedia-matches'!$A:$AD,AJ$2,0)</f>
        <v>#N/A</v>
      </c>
      <c r="AK404" t="e">
        <f>VLOOKUP($AC404,'oddspedia-matches'!$A:$AD,AK$2,0)</f>
        <v>#N/A</v>
      </c>
      <c r="AL404" t="e">
        <f>VLOOKUP($AC404,'oddspedia-matches'!$A:$AD,AL$2,0)</f>
        <v>#N/A</v>
      </c>
      <c r="AM404" t="e">
        <f>VLOOKUP($AC404,'oddspedia-matches'!$A:$AD,AM$2,0)</f>
        <v>#N/A</v>
      </c>
      <c r="AN404" t="e">
        <f>VLOOKUP($AC404,'oddspedia-matches'!$A:$AD,AN$2,0)</f>
        <v>#N/A</v>
      </c>
      <c r="AO404" t="e">
        <f>VLOOKUP($AC404,'oddspedia-matches'!$A:$AD,AO$2,0)</f>
        <v>#N/A</v>
      </c>
      <c r="AP404" t="e">
        <f>VLOOKUP($AC404,'oddspedia-matches'!$A:$AD,AP$2,0)</f>
        <v>#N/A</v>
      </c>
      <c r="AQ404" t="e">
        <f>VLOOKUP($AC404,'oddspedia-matches'!$A:$AD,AQ$2,0)</f>
        <v>#N/A</v>
      </c>
      <c r="AR404" t="e">
        <f>VLOOKUP($AC404,'oddspedia-matches'!$A:$AD,AR$2,0)</f>
        <v>#N/A</v>
      </c>
      <c r="AS404" t="e">
        <f>VLOOKUP($AC404,'oddspedia-matches'!$A:$AD,AS$2,0)</f>
        <v>#N/A</v>
      </c>
      <c r="AT404" t="e">
        <f>VLOOKUP($AC404,'oddspedia-matches'!$A:$AD,AT$2,0)</f>
        <v>#N/A</v>
      </c>
    </row>
    <row r="405" spans="2:46" x14ac:dyDescent="0.25">
      <c r="B405" t="s">
        <v>493</v>
      </c>
      <c r="C405" t="s">
        <v>948</v>
      </c>
      <c r="D405" s="25">
        <v>0.54166666666666663</v>
      </c>
      <c r="E405" t="s">
        <v>1111</v>
      </c>
      <c r="F405" t="s">
        <v>1112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>
        <v>20</v>
      </c>
      <c r="Y405">
        <v>40</v>
      </c>
      <c r="AA405">
        <f>VLOOKUP(E405,'Transform table'!A:B,2,0)</f>
        <v>0</v>
      </c>
      <c r="AB405" t="e">
        <f>VLOOKUP(F405,'Transform table'!A:B,2,0)</f>
        <v>#N/A</v>
      </c>
      <c r="AC405" t="e">
        <f t="shared" si="6"/>
        <v>#N/A</v>
      </c>
      <c r="AD405" t="e">
        <f>VLOOKUP($AC405,'oddspedia-matches'!$A:$AD,AD$2,0)</f>
        <v>#N/A</v>
      </c>
      <c r="AE405" t="e">
        <f>VLOOKUP($AC405,'oddspedia-matches'!$A:$AD,AE$2,0)</f>
        <v>#N/A</v>
      </c>
      <c r="AF405" t="e">
        <f>VLOOKUP($AC405,'oddspedia-matches'!$A:$AD,AF$2,0)</f>
        <v>#N/A</v>
      </c>
      <c r="AG405" t="e">
        <f>VLOOKUP($AC405,'oddspedia-matches'!$A:$AD,AG$2,0)</f>
        <v>#N/A</v>
      </c>
      <c r="AH405" t="e">
        <f>VLOOKUP($AC405,'oddspedia-matches'!$A:$AD,AH$2,0)</f>
        <v>#N/A</v>
      </c>
      <c r="AI405" t="e">
        <f>VLOOKUP($AC405,'oddspedia-matches'!$A:$AD,AI$2,0)</f>
        <v>#N/A</v>
      </c>
      <c r="AJ405" t="e">
        <f>VLOOKUP($AC405,'oddspedia-matches'!$A:$AD,AJ$2,0)</f>
        <v>#N/A</v>
      </c>
      <c r="AK405" t="e">
        <f>VLOOKUP($AC405,'oddspedia-matches'!$A:$AD,AK$2,0)</f>
        <v>#N/A</v>
      </c>
      <c r="AL405" t="e">
        <f>VLOOKUP($AC405,'oddspedia-matches'!$A:$AD,AL$2,0)</f>
        <v>#N/A</v>
      </c>
      <c r="AM405" t="e">
        <f>VLOOKUP($AC405,'oddspedia-matches'!$A:$AD,AM$2,0)</f>
        <v>#N/A</v>
      </c>
      <c r="AN405" t="e">
        <f>VLOOKUP($AC405,'oddspedia-matches'!$A:$AD,AN$2,0)</f>
        <v>#N/A</v>
      </c>
      <c r="AO405" t="e">
        <f>VLOOKUP($AC405,'oddspedia-matches'!$A:$AD,AO$2,0)</f>
        <v>#N/A</v>
      </c>
      <c r="AP405" t="e">
        <f>VLOOKUP($AC405,'oddspedia-matches'!$A:$AD,AP$2,0)</f>
        <v>#N/A</v>
      </c>
      <c r="AQ405" t="e">
        <f>VLOOKUP($AC405,'oddspedia-matches'!$A:$AD,AQ$2,0)</f>
        <v>#N/A</v>
      </c>
      <c r="AR405" t="e">
        <f>VLOOKUP($AC405,'oddspedia-matches'!$A:$AD,AR$2,0)</f>
        <v>#N/A</v>
      </c>
      <c r="AS405" t="e">
        <f>VLOOKUP($AC405,'oddspedia-matches'!$A:$AD,AS$2,0)</f>
        <v>#N/A</v>
      </c>
      <c r="AT405" t="e">
        <f>VLOOKUP($AC405,'oddspedia-matches'!$A:$AD,AT$2,0)</f>
        <v>#N/A</v>
      </c>
    </row>
    <row r="406" spans="2:46" x14ac:dyDescent="0.25">
      <c r="B406" t="s">
        <v>506</v>
      </c>
      <c r="C406" t="s">
        <v>948</v>
      </c>
      <c r="D406" s="25">
        <v>0.5625</v>
      </c>
      <c r="E406" t="s">
        <v>1113</v>
      </c>
      <c r="F406" t="s">
        <v>1114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>
        <v>12.5</v>
      </c>
      <c r="Y406">
        <v>25</v>
      </c>
      <c r="AA406" t="str">
        <f>VLOOKUP(E406,'Transform table'!A:B,2,0)</f>
        <v>Puerto Nuevo</v>
      </c>
      <c r="AB406" t="e">
        <f>VLOOKUP(F406,'Transform table'!A:B,2,0)</f>
        <v>#N/A</v>
      </c>
      <c r="AC406" t="e">
        <f t="shared" si="6"/>
        <v>#N/A</v>
      </c>
      <c r="AD406" t="e">
        <f>VLOOKUP($AC406,'oddspedia-matches'!$A:$AD,AD$2,0)</f>
        <v>#N/A</v>
      </c>
      <c r="AE406" t="e">
        <f>VLOOKUP($AC406,'oddspedia-matches'!$A:$AD,AE$2,0)</f>
        <v>#N/A</v>
      </c>
      <c r="AF406" t="e">
        <f>VLOOKUP($AC406,'oddspedia-matches'!$A:$AD,AF$2,0)</f>
        <v>#N/A</v>
      </c>
      <c r="AG406" t="e">
        <f>VLOOKUP($AC406,'oddspedia-matches'!$A:$AD,AG$2,0)</f>
        <v>#N/A</v>
      </c>
      <c r="AH406" t="e">
        <f>VLOOKUP($AC406,'oddspedia-matches'!$A:$AD,AH$2,0)</f>
        <v>#N/A</v>
      </c>
      <c r="AI406" t="e">
        <f>VLOOKUP($AC406,'oddspedia-matches'!$A:$AD,AI$2,0)</f>
        <v>#N/A</v>
      </c>
      <c r="AJ406" t="e">
        <f>VLOOKUP($AC406,'oddspedia-matches'!$A:$AD,AJ$2,0)</f>
        <v>#N/A</v>
      </c>
      <c r="AK406" t="e">
        <f>VLOOKUP($AC406,'oddspedia-matches'!$A:$AD,AK$2,0)</f>
        <v>#N/A</v>
      </c>
      <c r="AL406" t="e">
        <f>VLOOKUP($AC406,'oddspedia-matches'!$A:$AD,AL$2,0)</f>
        <v>#N/A</v>
      </c>
      <c r="AM406" t="e">
        <f>VLOOKUP($AC406,'oddspedia-matches'!$A:$AD,AM$2,0)</f>
        <v>#N/A</v>
      </c>
      <c r="AN406" t="e">
        <f>VLOOKUP($AC406,'oddspedia-matches'!$A:$AD,AN$2,0)</f>
        <v>#N/A</v>
      </c>
      <c r="AO406" t="e">
        <f>VLOOKUP($AC406,'oddspedia-matches'!$A:$AD,AO$2,0)</f>
        <v>#N/A</v>
      </c>
      <c r="AP406" t="e">
        <f>VLOOKUP($AC406,'oddspedia-matches'!$A:$AD,AP$2,0)</f>
        <v>#N/A</v>
      </c>
      <c r="AQ406" t="e">
        <f>VLOOKUP($AC406,'oddspedia-matches'!$A:$AD,AQ$2,0)</f>
        <v>#N/A</v>
      </c>
      <c r="AR406" t="e">
        <f>VLOOKUP($AC406,'oddspedia-matches'!$A:$AD,AR$2,0)</f>
        <v>#N/A</v>
      </c>
      <c r="AS406" t="e">
        <f>VLOOKUP($AC406,'oddspedia-matches'!$A:$AD,AS$2,0)</f>
        <v>#N/A</v>
      </c>
      <c r="AT406" t="e">
        <f>VLOOKUP($AC406,'oddspedia-matches'!$A:$AD,AT$2,0)</f>
        <v>#N/A</v>
      </c>
    </row>
    <row r="407" spans="2:46" x14ac:dyDescent="0.25">
      <c r="B407" t="s">
        <v>506</v>
      </c>
      <c r="C407" t="s">
        <v>948</v>
      </c>
      <c r="D407" s="25">
        <v>0.5625</v>
      </c>
      <c r="E407" t="s">
        <v>1115</v>
      </c>
      <c r="F407" t="s">
        <v>1116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t="s">
        <v>22</v>
      </c>
      <c r="Y407" t="s">
        <v>22</v>
      </c>
      <c r="AA407">
        <f>VLOOKUP(E407,'Transform table'!A:B,2,0)</f>
        <v>0</v>
      </c>
      <c r="AB407" t="e">
        <f>VLOOKUP(F407,'Transform table'!A:B,2,0)</f>
        <v>#N/A</v>
      </c>
      <c r="AC407" t="e">
        <f t="shared" si="6"/>
        <v>#N/A</v>
      </c>
      <c r="AD407" t="e">
        <f>VLOOKUP($AC407,'oddspedia-matches'!$A:$AD,AD$2,0)</f>
        <v>#N/A</v>
      </c>
      <c r="AE407" t="e">
        <f>VLOOKUP($AC407,'oddspedia-matches'!$A:$AD,AE$2,0)</f>
        <v>#N/A</v>
      </c>
      <c r="AF407" t="e">
        <f>VLOOKUP($AC407,'oddspedia-matches'!$A:$AD,AF$2,0)</f>
        <v>#N/A</v>
      </c>
      <c r="AG407" t="e">
        <f>VLOOKUP($AC407,'oddspedia-matches'!$A:$AD,AG$2,0)</f>
        <v>#N/A</v>
      </c>
      <c r="AH407" t="e">
        <f>VLOOKUP($AC407,'oddspedia-matches'!$A:$AD,AH$2,0)</f>
        <v>#N/A</v>
      </c>
      <c r="AI407" t="e">
        <f>VLOOKUP($AC407,'oddspedia-matches'!$A:$AD,AI$2,0)</f>
        <v>#N/A</v>
      </c>
      <c r="AJ407" t="e">
        <f>VLOOKUP($AC407,'oddspedia-matches'!$A:$AD,AJ$2,0)</f>
        <v>#N/A</v>
      </c>
      <c r="AK407" t="e">
        <f>VLOOKUP($AC407,'oddspedia-matches'!$A:$AD,AK$2,0)</f>
        <v>#N/A</v>
      </c>
      <c r="AL407" t="e">
        <f>VLOOKUP($AC407,'oddspedia-matches'!$A:$AD,AL$2,0)</f>
        <v>#N/A</v>
      </c>
      <c r="AM407" t="e">
        <f>VLOOKUP($AC407,'oddspedia-matches'!$A:$AD,AM$2,0)</f>
        <v>#N/A</v>
      </c>
      <c r="AN407" t="e">
        <f>VLOOKUP($AC407,'oddspedia-matches'!$A:$AD,AN$2,0)</f>
        <v>#N/A</v>
      </c>
      <c r="AO407" t="e">
        <f>VLOOKUP($AC407,'oddspedia-matches'!$A:$AD,AO$2,0)</f>
        <v>#N/A</v>
      </c>
      <c r="AP407" t="e">
        <f>VLOOKUP($AC407,'oddspedia-matches'!$A:$AD,AP$2,0)</f>
        <v>#N/A</v>
      </c>
      <c r="AQ407" t="e">
        <f>VLOOKUP($AC407,'oddspedia-matches'!$A:$AD,AQ$2,0)</f>
        <v>#N/A</v>
      </c>
      <c r="AR407" t="e">
        <f>VLOOKUP($AC407,'oddspedia-matches'!$A:$AD,AR$2,0)</f>
        <v>#N/A</v>
      </c>
      <c r="AS407" t="e">
        <f>VLOOKUP($AC407,'oddspedia-matches'!$A:$AD,AS$2,0)</f>
        <v>#N/A</v>
      </c>
      <c r="AT407" t="e">
        <f>VLOOKUP($AC407,'oddspedia-matches'!$A:$AD,AT$2,0)</f>
        <v>#N/A</v>
      </c>
    </row>
    <row r="408" spans="2:46" x14ac:dyDescent="0.25">
      <c r="B408" t="s">
        <v>983</v>
      </c>
      <c r="C408" t="s">
        <v>948</v>
      </c>
      <c r="D408" s="25">
        <v>0.5625</v>
      </c>
      <c r="E408" t="s">
        <v>1117</v>
      </c>
      <c r="F408" t="s">
        <v>1118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t="s">
        <v>22</v>
      </c>
      <c r="Y408" t="s">
        <v>22</v>
      </c>
      <c r="AA408">
        <f>VLOOKUP(E408,'Transform table'!A:B,2,0)</f>
        <v>0</v>
      </c>
      <c r="AB408" t="e">
        <f>VLOOKUP(F408,'Transform table'!A:B,2,0)</f>
        <v>#N/A</v>
      </c>
      <c r="AC408" t="e">
        <f t="shared" si="6"/>
        <v>#N/A</v>
      </c>
      <c r="AD408" t="e">
        <f>VLOOKUP($AC408,'oddspedia-matches'!$A:$AD,AD$2,0)</f>
        <v>#N/A</v>
      </c>
      <c r="AE408" t="e">
        <f>VLOOKUP($AC408,'oddspedia-matches'!$A:$AD,AE$2,0)</f>
        <v>#N/A</v>
      </c>
      <c r="AF408" t="e">
        <f>VLOOKUP($AC408,'oddspedia-matches'!$A:$AD,AF$2,0)</f>
        <v>#N/A</v>
      </c>
      <c r="AG408" t="e">
        <f>VLOOKUP($AC408,'oddspedia-matches'!$A:$AD,AG$2,0)</f>
        <v>#N/A</v>
      </c>
      <c r="AH408" t="e">
        <f>VLOOKUP($AC408,'oddspedia-matches'!$A:$AD,AH$2,0)</f>
        <v>#N/A</v>
      </c>
      <c r="AI408" t="e">
        <f>VLOOKUP($AC408,'oddspedia-matches'!$A:$AD,AI$2,0)</f>
        <v>#N/A</v>
      </c>
      <c r="AJ408" t="e">
        <f>VLOOKUP($AC408,'oddspedia-matches'!$A:$AD,AJ$2,0)</f>
        <v>#N/A</v>
      </c>
      <c r="AK408" t="e">
        <f>VLOOKUP($AC408,'oddspedia-matches'!$A:$AD,AK$2,0)</f>
        <v>#N/A</v>
      </c>
      <c r="AL408" t="e">
        <f>VLOOKUP($AC408,'oddspedia-matches'!$A:$AD,AL$2,0)</f>
        <v>#N/A</v>
      </c>
      <c r="AM408" t="e">
        <f>VLOOKUP($AC408,'oddspedia-matches'!$A:$AD,AM$2,0)</f>
        <v>#N/A</v>
      </c>
      <c r="AN408" t="e">
        <f>VLOOKUP($AC408,'oddspedia-matches'!$A:$AD,AN$2,0)</f>
        <v>#N/A</v>
      </c>
      <c r="AO408" t="e">
        <f>VLOOKUP($AC408,'oddspedia-matches'!$A:$AD,AO$2,0)</f>
        <v>#N/A</v>
      </c>
      <c r="AP408" t="e">
        <f>VLOOKUP($AC408,'oddspedia-matches'!$A:$AD,AP$2,0)</f>
        <v>#N/A</v>
      </c>
      <c r="AQ408" t="e">
        <f>VLOOKUP($AC408,'oddspedia-matches'!$A:$AD,AQ$2,0)</f>
        <v>#N/A</v>
      </c>
      <c r="AR408" t="e">
        <f>VLOOKUP($AC408,'oddspedia-matches'!$A:$AD,AR$2,0)</f>
        <v>#N/A</v>
      </c>
      <c r="AS408" t="e">
        <f>VLOOKUP($AC408,'oddspedia-matches'!$A:$AD,AS$2,0)</f>
        <v>#N/A</v>
      </c>
      <c r="AT408" t="e">
        <f>VLOOKUP($AC408,'oddspedia-matches'!$A:$AD,AT$2,0)</f>
        <v>#N/A</v>
      </c>
    </row>
    <row r="409" spans="2:46" x14ac:dyDescent="0.25">
      <c r="B409" t="s">
        <v>1070</v>
      </c>
      <c r="C409" t="s">
        <v>948</v>
      </c>
      <c r="D409" s="25">
        <v>0.58333333333333337</v>
      </c>
      <c r="E409" t="s">
        <v>1119</v>
      </c>
      <c r="F409" t="s">
        <v>1120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t="s">
        <v>22</v>
      </c>
      <c r="Y409" t="s">
        <v>22</v>
      </c>
      <c r="AA409">
        <f>VLOOKUP(E409,'Transform table'!A:B,2,0)</f>
        <v>0</v>
      </c>
      <c r="AB409" t="e">
        <f>VLOOKUP(F409,'Transform table'!A:B,2,0)</f>
        <v>#N/A</v>
      </c>
      <c r="AC409" t="e">
        <f t="shared" si="6"/>
        <v>#N/A</v>
      </c>
      <c r="AD409" t="e">
        <f>VLOOKUP($AC409,'oddspedia-matches'!$A:$AD,AD$2,0)</f>
        <v>#N/A</v>
      </c>
      <c r="AE409" t="e">
        <f>VLOOKUP($AC409,'oddspedia-matches'!$A:$AD,AE$2,0)</f>
        <v>#N/A</v>
      </c>
      <c r="AF409" t="e">
        <f>VLOOKUP($AC409,'oddspedia-matches'!$A:$AD,AF$2,0)</f>
        <v>#N/A</v>
      </c>
      <c r="AG409" t="e">
        <f>VLOOKUP($AC409,'oddspedia-matches'!$A:$AD,AG$2,0)</f>
        <v>#N/A</v>
      </c>
      <c r="AH409" t="e">
        <f>VLOOKUP($AC409,'oddspedia-matches'!$A:$AD,AH$2,0)</f>
        <v>#N/A</v>
      </c>
      <c r="AI409" t="e">
        <f>VLOOKUP($AC409,'oddspedia-matches'!$A:$AD,AI$2,0)</f>
        <v>#N/A</v>
      </c>
      <c r="AJ409" t="e">
        <f>VLOOKUP($AC409,'oddspedia-matches'!$A:$AD,AJ$2,0)</f>
        <v>#N/A</v>
      </c>
      <c r="AK409" t="e">
        <f>VLOOKUP($AC409,'oddspedia-matches'!$A:$AD,AK$2,0)</f>
        <v>#N/A</v>
      </c>
      <c r="AL409" t="e">
        <f>VLOOKUP($AC409,'oddspedia-matches'!$A:$AD,AL$2,0)</f>
        <v>#N/A</v>
      </c>
      <c r="AM409" t="e">
        <f>VLOOKUP($AC409,'oddspedia-matches'!$A:$AD,AM$2,0)</f>
        <v>#N/A</v>
      </c>
      <c r="AN409" t="e">
        <f>VLOOKUP($AC409,'oddspedia-matches'!$A:$AD,AN$2,0)</f>
        <v>#N/A</v>
      </c>
      <c r="AO409" t="e">
        <f>VLOOKUP($AC409,'oddspedia-matches'!$A:$AD,AO$2,0)</f>
        <v>#N/A</v>
      </c>
      <c r="AP409" t="e">
        <f>VLOOKUP($AC409,'oddspedia-matches'!$A:$AD,AP$2,0)</f>
        <v>#N/A</v>
      </c>
      <c r="AQ409" t="e">
        <f>VLOOKUP($AC409,'oddspedia-matches'!$A:$AD,AQ$2,0)</f>
        <v>#N/A</v>
      </c>
      <c r="AR409" t="e">
        <f>VLOOKUP($AC409,'oddspedia-matches'!$A:$AD,AR$2,0)</f>
        <v>#N/A</v>
      </c>
      <c r="AS409" t="e">
        <f>VLOOKUP($AC409,'oddspedia-matches'!$A:$AD,AS$2,0)</f>
        <v>#N/A</v>
      </c>
      <c r="AT409" t="e">
        <f>VLOOKUP($AC409,'oddspedia-matches'!$A:$AD,AT$2,0)</f>
        <v>#N/A</v>
      </c>
    </row>
    <row r="410" spans="2:46" x14ac:dyDescent="0.25">
      <c r="B410" t="s">
        <v>1070</v>
      </c>
      <c r="C410" t="s">
        <v>948</v>
      </c>
      <c r="D410" s="25">
        <v>0.58333333333333337</v>
      </c>
      <c r="E410" t="s">
        <v>1121</v>
      </c>
      <c r="F410" t="s">
        <v>1122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t="s">
        <v>22</v>
      </c>
      <c r="Y410" t="s">
        <v>22</v>
      </c>
      <c r="AA410">
        <f>VLOOKUP(E410,'Transform table'!A:B,2,0)</f>
        <v>0</v>
      </c>
      <c r="AB410" t="e">
        <f>VLOOKUP(F410,'Transform table'!A:B,2,0)</f>
        <v>#N/A</v>
      </c>
      <c r="AC410" t="e">
        <f t="shared" si="6"/>
        <v>#N/A</v>
      </c>
      <c r="AD410" t="e">
        <f>VLOOKUP($AC410,'oddspedia-matches'!$A:$AD,AD$2,0)</f>
        <v>#N/A</v>
      </c>
      <c r="AE410" t="e">
        <f>VLOOKUP($AC410,'oddspedia-matches'!$A:$AD,AE$2,0)</f>
        <v>#N/A</v>
      </c>
      <c r="AF410" t="e">
        <f>VLOOKUP($AC410,'oddspedia-matches'!$A:$AD,AF$2,0)</f>
        <v>#N/A</v>
      </c>
      <c r="AG410" t="e">
        <f>VLOOKUP($AC410,'oddspedia-matches'!$A:$AD,AG$2,0)</f>
        <v>#N/A</v>
      </c>
      <c r="AH410" t="e">
        <f>VLOOKUP($AC410,'oddspedia-matches'!$A:$AD,AH$2,0)</f>
        <v>#N/A</v>
      </c>
      <c r="AI410" t="e">
        <f>VLOOKUP($AC410,'oddspedia-matches'!$A:$AD,AI$2,0)</f>
        <v>#N/A</v>
      </c>
      <c r="AJ410" t="e">
        <f>VLOOKUP($AC410,'oddspedia-matches'!$A:$AD,AJ$2,0)</f>
        <v>#N/A</v>
      </c>
      <c r="AK410" t="e">
        <f>VLOOKUP($AC410,'oddspedia-matches'!$A:$AD,AK$2,0)</f>
        <v>#N/A</v>
      </c>
      <c r="AL410" t="e">
        <f>VLOOKUP($AC410,'oddspedia-matches'!$A:$AD,AL$2,0)</f>
        <v>#N/A</v>
      </c>
      <c r="AM410" t="e">
        <f>VLOOKUP($AC410,'oddspedia-matches'!$A:$AD,AM$2,0)</f>
        <v>#N/A</v>
      </c>
      <c r="AN410" t="e">
        <f>VLOOKUP($AC410,'oddspedia-matches'!$A:$AD,AN$2,0)</f>
        <v>#N/A</v>
      </c>
      <c r="AO410" t="e">
        <f>VLOOKUP($AC410,'oddspedia-matches'!$A:$AD,AO$2,0)</f>
        <v>#N/A</v>
      </c>
      <c r="AP410" t="e">
        <f>VLOOKUP($AC410,'oddspedia-matches'!$A:$AD,AP$2,0)</f>
        <v>#N/A</v>
      </c>
      <c r="AQ410" t="e">
        <f>VLOOKUP($AC410,'oddspedia-matches'!$A:$AD,AQ$2,0)</f>
        <v>#N/A</v>
      </c>
      <c r="AR410" t="e">
        <f>VLOOKUP($AC410,'oddspedia-matches'!$A:$AD,AR$2,0)</f>
        <v>#N/A</v>
      </c>
      <c r="AS410" t="e">
        <f>VLOOKUP($AC410,'oddspedia-matches'!$A:$AD,AS$2,0)</f>
        <v>#N/A</v>
      </c>
      <c r="AT410" t="e">
        <f>VLOOKUP($AC410,'oddspedia-matches'!$A:$AD,AT$2,0)</f>
        <v>#N/A</v>
      </c>
    </row>
    <row r="411" spans="2:46" x14ac:dyDescent="0.25">
      <c r="B411" t="s">
        <v>1123</v>
      </c>
      <c r="C411" t="s">
        <v>948</v>
      </c>
      <c r="D411" s="25">
        <v>0.58333333333333337</v>
      </c>
      <c r="E411" t="s">
        <v>373</v>
      </c>
      <c r="F411" t="s">
        <v>1124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>
        <v>100</v>
      </c>
      <c r="Y411" t="s">
        <v>22</v>
      </c>
      <c r="AA411" t="str">
        <f>VLOOKUP(E411,'Transform table'!A:B,2,0)</f>
        <v>Red Star Belgrade</v>
      </c>
      <c r="AB411" t="e">
        <f>VLOOKUP(F411,'Transform table'!A:B,2,0)</f>
        <v>#N/A</v>
      </c>
      <c r="AC411" t="e">
        <f t="shared" si="6"/>
        <v>#N/A</v>
      </c>
      <c r="AD411" t="e">
        <f>VLOOKUP($AC411,'oddspedia-matches'!$A:$AD,AD$2,0)</f>
        <v>#N/A</v>
      </c>
      <c r="AE411" t="e">
        <f>VLOOKUP($AC411,'oddspedia-matches'!$A:$AD,AE$2,0)</f>
        <v>#N/A</v>
      </c>
      <c r="AF411" t="e">
        <f>VLOOKUP($AC411,'oddspedia-matches'!$A:$AD,AF$2,0)</f>
        <v>#N/A</v>
      </c>
      <c r="AG411" t="e">
        <f>VLOOKUP($AC411,'oddspedia-matches'!$A:$AD,AG$2,0)</f>
        <v>#N/A</v>
      </c>
      <c r="AH411" t="e">
        <f>VLOOKUP($AC411,'oddspedia-matches'!$A:$AD,AH$2,0)</f>
        <v>#N/A</v>
      </c>
      <c r="AI411" t="e">
        <f>VLOOKUP($AC411,'oddspedia-matches'!$A:$AD,AI$2,0)</f>
        <v>#N/A</v>
      </c>
      <c r="AJ411" t="e">
        <f>VLOOKUP($AC411,'oddspedia-matches'!$A:$AD,AJ$2,0)</f>
        <v>#N/A</v>
      </c>
      <c r="AK411" t="e">
        <f>VLOOKUP($AC411,'oddspedia-matches'!$A:$AD,AK$2,0)</f>
        <v>#N/A</v>
      </c>
      <c r="AL411" t="e">
        <f>VLOOKUP($AC411,'oddspedia-matches'!$A:$AD,AL$2,0)</f>
        <v>#N/A</v>
      </c>
      <c r="AM411" t="e">
        <f>VLOOKUP($AC411,'oddspedia-matches'!$A:$AD,AM$2,0)</f>
        <v>#N/A</v>
      </c>
      <c r="AN411" t="e">
        <f>VLOOKUP($AC411,'oddspedia-matches'!$A:$AD,AN$2,0)</f>
        <v>#N/A</v>
      </c>
      <c r="AO411" t="e">
        <f>VLOOKUP($AC411,'oddspedia-matches'!$A:$AD,AO$2,0)</f>
        <v>#N/A</v>
      </c>
      <c r="AP411" t="e">
        <f>VLOOKUP($AC411,'oddspedia-matches'!$A:$AD,AP$2,0)</f>
        <v>#N/A</v>
      </c>
      <c r="AQ411" t="e">
        <f>VLOOKUP($AC411,'oddspedia-matches'!$A:$AD,AQ$2,0)</f>
        <v>#N/A</v>
      </c>
      <c r="AR411" t="e">
        <f>VLOOKUP($AC411,'oddspedia-matches'!$A:$AD,AR$2,0)</f>
        <v>#N/A</v>
      </c>
      <c r="AS411" t="e">
        <f>VLOOKUP($AC411,'oddspedia-matches'!$A:$AD,AS$2,0)</f>
        <v>#N/A</v>
      </c>
      <c r="AT411" t="e">
        <f>VLOOKUP($AC411,'oddspedia-matches'!$A:$AD,AT$2,0)</f>
        <v>#N/A</v>
      </c>
    </row>
    <row r="412" spans="2:46" x14ac:dyDescent="0.25">
      <c r="B412" t="s">
        <v>483</v>
      </c>
      <c r="C412" t="s">
        <v>948</v>
      </c>
      <c r="D412" s="25">
        <v>0.59375</v>
      </c>
      <c r="E412" t="s">
        <v>1125</v>
      </c>
      <c r="F412" t="s">
        <v>36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t="s">
        <v>22</v>
      </c>
      <c r="Y412" t="s">
        <v>22</v>
      </c>
      <c r="AA412">
        <f>VLOOKUP(E412,'Transform table'!A:B,2,0)</f>
        <v>0</v>
      </c>
      <c r="AB412" t="str">
        <f>VLOOKUP(F412,'Transform table'!A:B,2,0)</f>
        <v>Viking</v>
      </c>
      <c r="AC412" t="str">
        <f t="shared" si="6"/>
        <v>26/07/20260Viking</v>
      </c>
      <c r="AD412" t="e">
        <f>VLOOKUP($AC412,'oddspedia-matches'!$A:$AD,AD$2,0)</f>
        <v>#N/A</v>
      </c>
      <c r="AE412" t="e">
        <f>VLOOKUP($AC412,'oddspedia-matches'!$A:$AD,AE$2,0)</f>
        <v>#N/A</v>
      </c>
      <c r="AF412" t="e">
        <f>VLOOKUP($AC412,'oddspedia-matches'!$A:$AD,AF$2,0)</f>
        <v>#N/A</v>
      </c>
      <c r="AG412" t="e">
        <f>VLOOKUP($AC412,'oddspedia-matches'!$A:$AD,AG$2,0)</f>
        <v>#N/A</v>
      </c>
      <c r="AH412" t="e">
        <f>VLOOKUP($AC412,'oddspedia-matches'!$A:$AD,AH$2,0)</f>
        <v>#N/A</v>
      </c>
      <c r="AI412" t="e">
        <f>VLOOKUP($AC412,'oddspedia-matches'!$A:$AD,AI$2,0)</f>
        <v>#N/A</v>
      </c>
      <c r="AJ412" t="e">
        <f>VLOOKUP($AC412,'oddspedia-matches'!$A:$AD,AJ$2,0)</f>
        <v>#N/A</v>
      </c>
      <c r="AK412" t="e">
        <f>VLOOKUP($AC412,'oddspedia-matches'!$A:$AD,AK$2,0)</f>
        <v>#N/A</v>
      </c>
      <c r="AL412" t="e">
        <f>VLOOKUP($AC412,'oddspedia-matches'!$A:$AD,AL$2,0)</f>
        <v>#N/A</v>
      </c>
      <c r="AM412" t="e">
        <f>VLOOKUP($AC412,'oddspedia-matches'!$A:$AD,AM$2,0)</f>
        <v>#N/A</v>
      </c>
      <c r="AN412" t="e">
        <f>VLOOKUP($AC412,'oddspedia-matches'!$A:$AD,AN$2,0)</f>
        <v>#N/A</v>
      </c>
      <c r="AO412" t="e">
        <f>VLOOKUP($AC412,'oddspedia-matches'!$A:$AD,AO$2,0)</f>
        <v>#N/A</v>
      </c>
      <c r="AP412" t="e">
        <f>VLOOKUP($AC412,'oddspedia-matches'!$A:$AD,AP$2,0)</f>
        <v>#N/A</v>
      </c>
      <c r="AQ412" t="e">
        <f>VLOOKUP($AC412,'oddspedia-matches'!$A:$AD,AQ$2,0)</f>
        <v>#N/A</v>
      </c>
      <c r="AR412" t="e">
        <f>VLOOKUP($AC412,'oddspedia-matches'!$A:$AD,AR$2,0)</f>
        <v>#N/A</v>
      </c>
      <c r="AS412" t="e">
        <f>VLOOKUP($AC412,'oddspedia-matches'!$A:$AD,AS$2,0)</f>
        <v>#N/A</v>
      </c>
      <c r="AT412" t="e">
        <f>VLOOKUP($AC412,'oddspedia-matches'!$A:$AD,AT$2,0)</f>
        <v>#N/A</v>
      </c>
    </row>
    <row r="413" spans="2:46" x14ac:dyDescent="0.25">
      <c r="B413" t="s">
        <v>1030</v>
      </c>
      <c r="C413" t="s">
        <v>948</v>
      </c>
      <c r="D413" s="25">
        <v>0.60416666666666663</v>
      </c>
      <c r="E413" t="s">
        <v>1126</v>
      </c>
      <c r="F413" t="s">
        <v>1127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t="s">
        <v>22</v>
      </c>
      <c r="Y413" t="s">
        <v>22</v>
      </c>
      <c r="AA413">
        <f>VLOOKUP(E413,'Transform table'!A:B,2,0)</f>
        <v>0</v>
      </c>
      <c r="AB413" t="e">
        <f>VLOOKUP(F413,'Transform table'!A:B,2,0)</f>
        <v>#N/A</v>
      </c>
      <c r="AC413" t="e">
        <f t="shared" si="6"/>
        <v>#N/A</v>
      </c>
      <c r="AD413" t="e">
        <f>VLOOKUP($AC413,'oddspedia-matches'!$A:$AD,AD$2,0)</f>
        <v>#N/A</v>
      </c>
      <c r="AE413" t="e">
        <f>VLOOKUP($AC413,'oddspedia-matches'!$A:$AD,AE$2,0)</f>
        <v>#N/A</v>
      </c>
      <c r="AF413" t="e">
        <f>VLOOKUP($AC413,'oddspedia-matches'!$A:$AD,AF$2,0)</f>
        <v>#N/A</v>
      </c>
      <c r="AG413" t="e">
        <f>VLOOKUP($AC413,'oddspedia-matches'!$A:$AD,AG$2,0)</f>
        <v>#N/A</v>
      </c>
      <c r="AH413" t="e">
        <f>VLOOKUP($AC413,'oddspedia-matches'!$A:$AD,AH$2,0)</f>
        <v>#N/A</v>
      </c>
      <c r="AI413" t="e">
        <f>VLOOKUP($AC413,'oddspedia-matches'!$A:$AD,AI$2,0)</f>
        <v>#N/A</v>
      </c>
      <c r="AJ413" t="e">
        <f>VLOOKUP($AC413,'oddspedia-matches'!$A:$AD,AJ$2,0)</f>
        <v>#N/A</v>
      </c>
      <c r="AK413" t="e">
        <f>VLOOKUP($AC413,'oddspedia-matches'!$A:$AD,AK$2,0)</f>
        <v>#N/A</v>
      </c>
      <c r="AL413" t="e">
        <f>VLOOKUP($AC413,'oddspedia-matches'!$A:$AD,AL$2,0)</f>
        <v>#N/A</v>
      </c>
      <c r="AM413" t="e">
        <f>VLOOKUP($AC413,'oddspedia-matches'!$A:$AD,AM$2,0)</f>
        <v>#N/A</v>
      </c>
      <c r="AN413" t="e">
        <f>VLOOKUP($AC413,'oddspedia-matches'!$A:$AD,AN$2,0)</f>
        <v>#N/A</v>
      </c>
      <c r="AO413" t="e">
        <f>VLOOKUP($AC413,'oddspedia-matches'!$A:$AD,AO$2,0)</f>
        <v>#N/A</v>
      </c>
      <c r="AP413" t="e">
        <f>VLOOKUP($AC413,'oddspedia-matches'!$A:$AD,AP$2,0)</f>
        <v>#N/A</v>
      </c>
      <c r="AQ413" t="e">
        <f>VLOOKUP($AC413,'oddspedia-matches'!$A:$AD,AQ$2,0)</f>
        <v>#N/A</v>
      </c>
      <c r="AR413" t="e">
        <f>VLOOKUP($AC413,'oddspedia-matches'!$A:$AD,AR$2,0)</f>
        <v>#N/A</v>
      </c>
      <c r="AS413" t="e">
        <f>VLOOKUP($AC413,'oddspedia-matches'!$A:$AD,AS$2,0)</f>
        <v>#N/A</v>
      </c>
      <c r="AT413" t="e">
        <f>VLOOKUP($AC413,'oddspedia-matches'!$A:$AD,AT$2,0)</f>
        <v>#N/A</v>
      </c>
    </row>
    <row r="414" spans="2:46" x14ac:dyDescent="0.25">
      <c r="B414" t="s">
        <v>1061</v>
      </c>
      <c r="C414" t="s">
        <v>948</v>
      </c>
      <c r="D414" s="25">
        <v>0.60416666666666663</v>
      </c>
      <c r="E414" t="s">
        <v>1128</v>
      </c>
      <c r="F414" t="s">
        <v>1129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">
        <v>22</v>
      </c>
      <c r="Y414" t="s">
        <v>22</v>
      </c>
      <c r="AA414" t="str">
        <f>VLOOKUP(E414,'Transform table'!A:B,2,0)</f>
        <v>Csikszereda Miercurea Ciuc</v>
      </c>
      <c r="AB414" t="e">
        <f>VLOOKUP(F414,'Transform table'!A:B,2,0)</f>
        <v>#N/A</v>
      </c>
      <c r="AC414" t="e">
        <f t="shared" si="6"/>
        <v>#N/A</v>
      </c>
      <c r="AD414" t="e">
        <f>VLOOKUP($AC414,'oddspedia-matches'!$A:$AD,AD$2,0)</f>
        <v>#N/A</v>
      </c>
      <c r="AE414" t="e">
        <f>VLOOKUP($AC414,'oddspedia-matches'!$A:$AD,AE$2,0)</f>
        <v>#N/A</v>
      </c>
      <c r="AF414" t="e">
        <f>VLOOKUP($AC414,'oddspedia-matches'!$A:$AD,AF$2,0)</f>
        <v>#N/A</v>
      </c>
      <c r="AG414" t="e">
        <f>VLOOKUP($AC414,'oddspedia-matches'!$A:$AD,AG$2,0)</f>
        <v>#N/A</v>
      </c>
      <c r="AH414" t="e">
        <f>VLOOKUP($AC414,'oddspedia-matches'!$A:$AD,AH$2,0)</f>
        <v>#N/A</v>
      </c>
      <c r="AI414" t="e">
        <f>VLOOKUP($AC414,'oddspedia-matches'!$A:$AD,AI$2,0)</f>
        <v>#N/A</v>
      </c>
      <c r="AJ414" t="e">
        <f>VLOOKUP($AC414,'oddspedia-matches'!$A:$AD,AJ$2,0)</f>
        <v>#N/A</v>
      </c>
      <c r="AK414" t="e">
        <f>VLOOKUP($AC414,'oddspedia-matches'!$A:$AD,AK$2,0)</f>
        <v>#N/A</v>
      </c>
      <c r="AL414" t="e">
        <f>VLOOKUP($AC414,'oddspedia-matches'!$A:$AD,AL$2,0)</f>
        <v>#N/A</v>
      </c>
      <c r="AM414" t="e">
        <f>VLOOKUP($AC414,'oddspedia-matches'!$A:$AD,AM$2,0)</f>
        <v>#N/A</v>
      </c>
      <c r="AN414" t="e">
        <f>VLOOKUP($AC414,'oddspedia-matches'!$A:$AD,AN$2,0)</f>
        <v>#N/A</v>
      </c>
      <c r="AO414" t="e">
        <f>VLOOKUP($AC414,'oddspedia-matches'!$A:$AD,AO$2,0)</f>
        <v>#N/A</v>
      </c>
      <c r="AP414" t="e">
        <f>VLOOKUP($AC414,'oddspedia-matches'!$A:$AD,AP$2,0)</f>
        <v>#N/A</v>
      </c>
      <c r="AQ414" t="e">
        <f>VLOOKUP($AC414,'oddspedia-matches'!$A:$AD,AQ$2,0)</f>
        <v>#N/A</v>
      </c>
      <c r="AR414" t="e">
        <f>VLOOKUP($AC414,'oddspedia-matches'!$A:$AD,AR$2,0)</f>
        <v>#N/A</v>
      </c>
      <c r="AS414" t="e">
        <f>VLOOKUP($AC414,'oddspedia-matches'!$A:$AD,AS$2,0)</f>
        <v>#N/A</v>
      </c>
      <c r="AT414" t="e">
        <f>VLOOKUP($AC414,'oddspedia-matches'!$A:$AD,AT$2,0)</f>
        <v>#N/A</v>
      </c>
    </row>
    <row r="415" spans="2:46" x14ac:dyDescent="0.25">
      <c r="B415" t="s">
        <v>488</v>
      </c>
      <c r="C415" t="s">
        <v>948</v>
      </c>
      <c r="D415" s="25">
        <v>0.625</v>
      </c>
      <c r="E415" t="s">
        <v>1130</v>
      </c>
      <c r="F415" t="s">
        <v>383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>
        <v>0</v>
      </c>
      <c r="Y415">
        <v>28.6</v>
      </c>
      <c r="AA415">
        <f>VLOOKUP(E415,'Transform table'!A:B,2,0)</f>
        <v>0</v>
      </c>
      <c r="AB415" t="e">
        <f>VLOOKUP(F415,'Transform table'!A:B,2,0)</f>
        <v>#N/A</v>
      </c>
      <c r="AC415" t="e">
        <f t="shared" si="6"/>
        <v>#N/A</v>
      </c>
      <c r="AD415" t="e">
        <f>VLOOKUP($AC415,'oddspedia-matches'!$A:$AD,AD$2,0)</f>
        <v>#N/A</v>
      </c>
      <c r="AE415" t="e">
        <f>VLOOKUP($AC415,'oddspedia-matches'!$A:$AD,AE$2,0)</f>
        <v>#N/A</v>
      </c>
      <c r="AF415" t="e">
        <f>VLOOKUP($AC415,'oddspedia-matches'!$A:$AD,AF$2,0)</f>
        <v>#N/A</v>
      </c>
      <c r="AG415" t="e">
        <f>VLOOKUP($AC415,'oddspedia-matches'!$A:$AD,AG$2,0)</f>
        <v>#N/A</v>
      </c>
      <c r="AH415" t="e">
        <f>VLOOKUP($AC415,'oddspedia-matches'!$A:$AD,AH$2,0)</f>
        <v>#N/A</v>
      </c>
      <c r="AI415" t="e">
        <f>VLOOKUP($AC415,'oddspedia-matches'!$A:$AD,AI$2,0)</f>
        <v>#N/A</v>
      </c>
      <c r="AJ415" t="e">
        <f>VLOOKUP($AC415,'oddspedia-matches'!$A:$AD,AJ$2,0)</f>
        <v>#N/A</v>
      </c>
      <c r="AK415" t="e">
        <f>VLOOKUP($AC415,'oddspedia-matches'!$A:$AD,AK$2,0)</f>
        <v>#N/A</v>
      </c>
      <c r="AL415" t="e">
        <f>VLOOKUP($AC415,'oddspedia-matches'!$A:$AD,AL$2,0)</f>
        <v>#N/A</v>
      </c>
      <c r="AM415" t="e">
        <f>VLOOKUP($AC415,'oddspedia-matches'!$A:$AD,AM$2,0)</f>
        <v>#N/A</v>
      </c>
      <c r="AN415" t="e">
        <f>VLOOKUP($AC415,'oddspedia-matches'!$A:$AD,AN$2,0)</f>
        <v>#N/A</v>
      </c>
      <c r="AO415" t="e">
        <f>VLOOKUP($AC415,'oddspedia-matches'!$A:$AD,AO$2,0)</f>
        <v>#N/A</v>
      </c>
      <c r="AP415" t="e">
        <f>VLOOKUP($AC415,'oddspedia-matches'!$A:$AD,AP$2,0)</f>
        <v>#N/A</v>
      </c>
      <c r="AQ415" t="e">
        <f>VLOOKUP($AC415,'oddspedia-matches'!$A:$AD,AQ$2,0)</f>
        <v>#N/A</v>
      </c>
      <c r="AR415" t="e">
        <f>VLOOKUP($AC415,'oddspedia-matches'!$A:$AD,AR$2,0)</f>
        <v>#N/A</v>
      </c>
      <c r="AS415" t="e">
        <f>VLOOKUP($AC415,'oddspedia-matches'!$A:$AD,AS$2,0)</f>
        <v>#N/A</v>
      </c>
      <c r="AT415" t="e">
        <f>VLOOKUP($AC415,'oddspedia-matches'!$A:$AD,AT$2,0)</f>
        <v>#N/A</v>
      </c>
    </row>
    <row r="416" spans="2:46" x14ac:dyDescent="0.25">
      <c r="B416" t="s">
        <v>665</v>
      </c>
      <c r="C416" t="s">
        <v>948</v>
      </c>
      <c r="D416" s="25">
        <v>0.625</v>
      </c>
      <c r="E416" t="s">
        <v>1131</v>
      </c>
      <c r="F416" t="s">
        <v>722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t="s">
        <v>22</v>
      </c>
      <c r="Y416" t="s">
        <v>22</v>
      </c>
      <c r="AA416">
        <f>VLOOKUP(E416,'Transform table'!A:B,2,0)</f>
        <v>0</v>
      </c>
      <c r="AB416" t="str">
        <f>VLOOKUP(F416,'Transform table'!A:B,2,0)</f>
        <v>San Martin de San Juan</v>
      </c>
      <c r="AC416" t="str">
        <f t="shared" si="6"/>
        <v>26/07/20260San Martin de San Juan</v>
      </c>
      <c r="AD416" t="e">
        <f>VLOOKUP($AC416,'oddspedia-matches'!$A:$AD,AD$2,0)</f>
        <v>#N/A</v>
      </c>
      <c r="AE416" t="e">
        <f>VLOOKUP($AC416,'oddspedia-matches'!$A:$AD,AE$2,0)</f>
        <v>#N/A</v>
      </c>
      <c r="AF416" t="e">
        <f>VLOOKUP($AC416,'oddspedia-matches'!$A:$AD,AF$2,0)</f>
        <v>#N/A</v>
      </c>
      <c r="AG416" t="e">
        <f>VLOOKUP($AC416,'oddspedia-matches'!$A:$AD,AG$2,0)</f>
        <v>#N/A</v>
      </c>
      <c r="AH416" t="e">
        <f>VLOOKUP($AC416,'oddspedia-matches'!$A:$AD,AH$2,0)</f>
        <v>#N/A</v>
      </c>
      <c r="AI416" t="e">
        <f>VLOOKUP($AC416,'oddspedia-matches'!$A:$AD,AI$2,0)</f>
        <v>#N/A</v>
      </c>
      <c r="AJ416" t="e">
        <f>VLOOKUP($AC416,'oddspedia-matches'!$A:$AD,AJ$2,0)</f>
        <v>#N/A</v>
      </c>
      <c r="AK416" t="e">
        <f>VLOOKUP($AC416,'oddspedia-matches'!$A:$AD,AK$2,0)</f>
        <v>#N/A</v>
      </c>
      <c r="AL416" t="e">
        <f>VLOOKUP($AC416,'oddspedia-matches'!$A:$AD,AL$2,0)</f>
        <v>#N/A</v>
      </c>
      <c r="AM416" t="e">
        <f>VLOOKUP($AC416,'oddspedia-matches'!$A:$AD,AM$2,0)</f>
        <v>#N/A</v>
      </c>
      <c r="AN416" t="e">
        <f>VLOOKUP($AC416,'oddspedia-matches'!$A:$AD,AN$2,0)</f>
        <v>#N/A</v>
      </c>
      <c r="AO416" t="e">
        <f>VLOOKUP($AC416,'oddspedia-matches'!$A:$AD,AO$2,0)</f>
        <v>#N/A</v>
      </c>
      <c r="AP416" t="e">
        <f>VLOOKUP($AC416,'oddspedia-matches'!$A:$AD,AP$2,0)</f>
        <v>#N/A</v>
      </c>
      <c r="AQ416" t="e">
        <f>VLOOKUP($AC416,'oddspedia-matches'!$A:$AD,AQ$2,0)</f>
        <v>#N/A</v>
      </c>
      <c r="AR416" t="e">
        <f>VLOOKUP($AC416,'oddspedia-matches'!$A:$AD,AR$2,0)</f>
        <v>#N/A</v>
      </c>
      <c r="AS416" t="e">
        <f>VLOOKUP($AC416,'oddspedia-matches'!$A:$AD,AS$2,0)</f>
        <v>#N/A</v>
      </c>
      <c r="AT416" t="e">
        <f>VLOOKUP($AC416,'oddspedia-matches'!$A:$AD,AT$2,0)</f>
        <v>#N/A</v>
      </c>
    </row>
    <row r="417" spans="2:46" x14ac:dyDescent="0.25">
      <c r="B417" t="s">
        <v>665</v>
      </c>
      <c r="C417" t="s">
        <v>948</v>
      </c>
      <c r="D417" s="25">
        <v>0.625</v>
      </c>
      <c r="E417" t="s">
        <v>1132</v>
      </c>
      <c r="F417" t="s">
        <v>337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>
        <v>0</v>
      </c>
      <c r="Y417">
        <v>10</v>
      </c>
      <c r="AA417">
        <f>VLOOKUP(E417,'Transform table'!A:B,2,0)</f>
        <v>0</v>
      </c>
      <c r="AB417" t="e">
        <f>VLOOKUP(F417,'Transform table'!A:B,2,0)</f>
        <v>#N/A</v>
      </c>
      <c r="AC417" t="e">
        <f t="shared" si="6"/>
        <v>#N/A</v>
      </c>
      <c r="AD417" t="e">
        <f>VLOOKUP($AC417,'oddspedia-matches'!$A:$AD,AD$2,0)</f>
        <v>#N/A</v>
      </c>
      <c r="AE417" t="e">
        <f>VLOOKUP($AC417,'oddspedia-matches'!$A:$AD,AE$2,0)</f>
        <v>#N/A</v>
      </c>
      <c r="AF417" t="e">
        <f>VLOOKUP($AC417,'oddspedia-matches'!$A:$AD,AF$2,0)</f>
        <v>#N/A</v>
      </c>
      <c r="AG417" t="e">
        <f>VLOOKUP($AC417,'oddspedia-matches'!$A:$AD,AG$2,0)</f>
        <v>#N/A</v>
      </c>
      <c r="AH417" t="e">
        <f>VLOOKUP($AC417,'oddspedia-matches'!$A:$AD,AH$2,0)</f>
        <v>#N/A</v>
      </c>
      <c r="AI417" t="e">
        <f>VLOOKUP($AC417,'oddspedia-matches'!$A:$AD,AI$2,0)</f>
        <v>#N/A</v>
      </c>
      <c r="AJ417" t="e">
        <f>VLOOKUP($AC417,'oddspedia-matches'!$A:$AD,AJ$2,0)</f>
        <v>#N/A</v>
      </c>
      <c r="AK417" t="e">
        <f>VLOOKUP($AC417,'oddspedia-matches'!$A:$AD,AK$2,0)</f>
        <v>#N/A</v>
      </c>
      <c r="AL417" t="e">
        <f>VLOOKUP($AC417,'oddspedia-matches'!$A:$AD,AL$2,0)</f>
        <v>#N/A</v>
      </c>
      <c r="AM417" t="e">
        <f>VLOOKUP($AC417,'oddspedia-matches'!$A:$AD,AM$2,0)</f>
        <v>#N/A</v>
      </c>
      <c r="AN417" t="e">
        <f>VLOOKUP($AC417,'oddspedia-matches'!$A:$AD,AN$2,0)</f>
        <v>#N/A</v>
      </c>
      <c r="AO417" t="e">
        <f>VLOOKUP($AC417,'oddspedia-matches'!$A:$AD,AO$2,0)</f>
        <v>#N/A</v>
      </c>
      <c r="AP417" t="e">
        <f>VLOOKUP($AC417,'oddspedia-matches'!$A:$AD,AP$2,0)</f>
        <v>#N/A</v>
      </c>
      <c r="AQ417" t="e">
        <f>VLOOKUP($AC417,'oddspedia-matches'!$A:$AD,AQ$2,0)</f>
        <v>#N/A</v>
      </c>
      <c r="AR417" t="e">
        <f>VLOOKUP($AC417,'oddspedia-matches'!$A:$AD,AR$2,0)</f>
        <v>#N/A</v>
      </c>
      <c r="AS417" t="e">
        <f>VLOOKUP($AC417,'oddspedia-matches'!$A:$AD,AS$2,0)</f>
        <v>#N/A</v>
      </c>
      <c r="AT417" t="e">
        <f>VLOOKUP($AC417,'oddspedia-matches'!$A:$AD,AT$2,0)</f>
        <v>#N/A</v>
      </c>
    </row>
    <row r="418" spans="2:46" x14ac:dyDescent="0.25">
      <c r="B418" t="s">
        <v>665</v>
      </c>
      <c r="C418" t="s">
        <v>948</v>
      </c>
      <c r="D418" s="25">
        <v>0.625</v>
      </c>
      <c r="E418" t="s">
        <v>1133</v>
      </c>
      <c r="F418" t="s">
        <v>1134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>
        <v>10</v>
      </c>
      <c r="Y418">
        <v>9.1</v>
      </c>
      <c r="AA418">
        <f>VLOOKUP(E418,'Transform table'!A:B,2,0)</f>
        <v>0</v>
      </c>
      <c r="AB418" t="e">
        <f>VLOOKUP(F418,'Transform table'!A:B,2,0)</f>
        <v>#N/A</v>
      </c>
      <c r="AC418" t="e">
        <f t="shared" si="6"/>
        <v>#N/A</v>
      </c>
      <c r="AD418" t="e">
        <f>VLOOKUP($AC418,'oddspedia-matches'!$A:$AD,AD$2,0)</f>
        <v>#N/A</v>
      </c>
      <c r="AE418" t="e">
        <f>VLOOKUP($AC418,'oddspedia-matches'!$A:$AD,AE$2,0)</f>
        <v>#N/A</v>
      </c>
      <c r="AF418" t="e">
        <f>VLOOKUP($AC418,'oddspedia-matches'!$A:$AD,AF$2,0)</f>
        <v>#N/A</v>
      </c>
      <c r="AG418" t="e">
        <f>VLOOKUP($AC418,'oddspedia-matches'!$A:$AD,AG$2,0)</f>
        <v>#N/A</v>
      </c>
      <c r="AH418" t="e">
        <f>VLOOKUP($AC418,'oddspedia-matches'!$A:$AD,AH$2,0)</f>
        <v>#N/A</v>
      </c>
      <c r="AI418" t="e">
        <f>VLOOKUP($AC418,'oddspedia-matches'!$A:$AD,AI$2,0)</f>
        <v>#N/A</v>
      </c>
      <c r="AJ418" t="e">
        <f>VLOOKUP($AC418,'oddspedia-matches'!$A:$AD,AJ$2,0)</f>
        <v>#N/A</v>
      </c>
      <c r="AK418" t="e">
        <f>VLOOKUP($AC418,'oddspedia-matches'!$A:$AD,AK$2,0)</f>
        <v>#N/A</v>
      </c>
      <c r="AL418" t="e">
        <f>VLOOKUP($AC418,'oddspedia-matches'!$A:$AD,AL$2,0)</f>
        <v>#N/A</v>
      </c>
      <c r="AM418" t="e">
        <f>VLOOKUP($AC418,'oddspedia-matches'!$A:$AD,AM$2,0)</f>
        <v>#N/A</v>
      </c>
      <c r="AN418" t="e">
        <f>VLOOKUP($AC418,'oddspedia-matches'!$A:$AD,AN$2,0)</f>
        <v>#N/A</v>
      </c>
      <c r="AO418" t="e">
        <f>VLOOKUP($AC418,'oddspedia-matches'!$A:$AD,AO$2,0)</f>
        <v>#N/A</v>
      </c>
      <c r="AP418" t="e">
        <f>VLOOKUP($AC418,'oddspedia-matches'!$A:$AD,AP$2,0)</f>
        <v>#N/A</v>
      </c>
      <c r="AQ418" t="e">
        <f>VLOOKUP($AC418,'oddspedia-matches'!$A:$AD,AQ$2,0)</f>
        <v>#N/A</v>
      </c>
      <c r="AR418" t="e">
        <f>VLOOKUP($AC418,'oddspedia-matches'!$A:$AD,AR$2,0)</f>
        <v>#N/A</v>
      </c>
      <c r="AS418" t="e">
        <f>VLOOKUP($AC418,'oddspedia-matches'!$A:$AD,AS$2,0)</f>
        <v>#N/A</v>
      </c>
      <c r="AT418" t="e">
        <f>VLOOKUP($AC418,'oddspedia-matches'!$A:$AD,AT$2,0)</f>
        <v>#N/A</v>
      </c>
    </row>
    <row r="419" spans="2:46" x14ac:dyDescent="0.25">
      <c r="B419" t="s">
        <v>665</v>
      </c>
      <c r="C419" t="s">
        <v>948</v>
      </c>
      <c r="D419" s="25">
        <v>0.625</v>
      </c>
      <c r="E419" t="s">
        <v>336</v>
      </c>
      <c r="F419" t="s">
        <v>378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>
        <v>9.1</v>
      </c>
      <c r="Y419">
        <v>10</v>
      </c>
      <c r="AA419" t="str">
        <f>VLOOKUP(E419,'Transform table'!A:B,2,0)</f>
        <v>Los Andes</v>
      </c>
      <c r="AB419" t="e">
        <f>VLOOKUP(F419,'Transform table'!A:B,2,0)</f>
        <v>#N/A</v>
      </c>
      <c r="AC419" t="e">
        <f t="shared" si="6"/>
        <v>#N/A</v>
      </c>
      <c r="AD419" t="e">
        <f>VLOOKUP($AC419,'oddspedia-matches'!$A:$AD,AD$2,0)</f>
        <v>#N/A</v>
      </c>
      <c r="AE419" t="e">
        <f>VLOOKUP($AC419,'oddspedia-matches'!$A:$AD,AE$2,0)</f>
        <v>#N/A</v>
      </c>
      <c r="AF419" t="e">
        <f>VLOOKUP($AC419,'oddspedia-matches'!$A:$AD,AF$2,0)</f>
        <v>#N/A</v>
      </c>
      <c r="AG419" t="e">
        <f>VLOOKUP($AC419,'oddspedia-matches'!$A:$AD,AG$2,0)</f>
        <v>#N/A</v>
      </c>
      <c r="AH419" t="e">
        <f>VLOOKUP($AC419,'oddspedia-matches'!$A:$AD,AH$2,0)</f>
        <v>#N/A</v>
      </c>
      <c r="AI419" t="e">
        <f>VLOOKUP($AC419,'oddspedia-matches'!$A:$AD,AI$2,0)</f>
        <v>#N/A</v>
      </c>
      <c r="AJ419" t="e">
        <f>VLOOKUP($AC419,'oddspedia-matches'!$A:$AD,AJ$2,0)</f>
        <v>#N/A</v>
      </c>
      <c r="AK419" t="e">
        <f>VLOOKUP($AC419,'oddspedia-matches'!$A:$AD,AK$2,0)</f>
        <v>#N/A</v>
      </c>
      <c r="AL419" t="e">
        <f>VLOOKUP($AC419,'oddspedia-matches'!$A:$AD,AL$2,0)</f>
        <v>#N/A</v>
      </c>
      <c r="AM419" t="e">
        <f>VLOOKUP($AC419,'oddspedia-matches'!$A:$AD,AM$2,0)</f>
        <v>#N/A</v>
      </c>
      <c r="AN419" t="e">
        <f>VLOOKUP($AC419,'oddspedia-matches'!$A:$AD,AN$2,0)</f>
        <v>#N/A</v>
      </c>
      <c r="AO419" t="e">
        <f>VLOOKUP($AC419,'oddspedia-matches'!$A:$AD,AO$2,0)</f>
        <v>#N/A</v>
      </c>
      <c r="AP419" t="e">
        <f>VLOOKUP($AC419,'oddspedia-matches'!$A:$AD,AP$2,0)</f>
        <v>#N/A</v>
      </c>
      <c r="AQ419" t="e">
        <f>VLOOKUP($AC419,'oddspedia-matches'!$A:$AD,AQ$2,0)</f>
        <v>#N/A</v>
      </c>
      <c r="AR419" t="e">
        <f>VLOOKUP($AC419,'oddspedia-matches'!$A:$AD,AR$2,0)</f>
        <v>#N/A</v>
      </c>
      <c r="AS419" t="e">
        <f>VLOOKUP($AC419,'oddspedia-matches'!$A:$AD,AS$2,0)</f>
        <v>#N/A</v>
      </c>
      <c r="AT419" t="e">
        <f>VLOOKUP($AC419,'oddspedia-matches'!$A:$AD,AT$2,0)</f>
        <v>#N/A</v>
      </c>
    </row>
    <row r="420" spans="2:46" x14ac:dyDescent="0.25">
      <c r="B420" t="s">
        <v>723</v>
      </c>
      <c r="C420" t="s">
        <v>948</v>
      </c>
      <c r="D420" s="25">
        <v>0.625</v>
      </c>
      <c r="E420" t="s">
        <v>736</v>
      </c>
      <c r="F420" t="s">
        <v>737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>
        <v>23.1</v>
      </c>
      <c r="Y420">
        <v>23.1</v>
      </c>
      <c r="AA420">
        <f>VLOOKUP(E420,'Transform table'!A:B,2,0)</f>
        <v>0</v>
      </c>
      <c r="AB420" t="e">
        <f>VLOOKUP(F420,'Transform table'!A:B,2,0)</f>
        <v>#N/A</v>
      </c>
      <c r="AC420" t="e">
        <f t="shared" si="6"/>
        <v>#N/A</v>
      </c>
      <c r="AD420" t="e">
        <f>VLOOKUP($AC420,'oddspedia-matches'!$A:$AD,AD$2,0)</f>
        <v>#N/A</v>
      </c>
      <c r="AE420" t="e">
        <f>VLOOKUP($AC420,'oddspedia-matches'!$A:$AD,AE$2,0)</f>
        <v>#N/A</v>
      </c>
      <c r="AF420" t="e">
        <f>VLOOKUP($AC420,'oddspedia-matches'!$A:$AD,AF$2,0)</f>
        <v>#N/A</v>
      </c>
      <c r="AG420" t="e">
        <f>VLOOKUP($AC420,'oddspedia-matches'!$A:$AD,AG$2,0)</f>
        <v>#N/A</v>
      </c>
      <c r="AH420" t="e">
        <f>VLOOKUP($AC420,'oddspedia-matches'!$A:$AD,AH$2,0)</f>
        <v>#N/A</v>
      </c>
      <c r="AI420" t="e">
        <f>VLOOKUP($AC420,'oddspedia-matches'!$A:$AD,AI$2,0)</f>
        <v>#N/A</v>
      </c>
      <c r="AJ420" t="e">
        <f>VLOOKUP($AC420,'oddspedia-matches'!$A:$AD,AJ$2,0)</f>
        <v>#N/A</v>
      </c>
      <c r="AK420" t="e">
        <f>VLOOKUP($AC420,'oddspedia-matches'!$A:$AD,AK$2,0)</f>
        <v>#N/A</v>
      </c>
      <c r="AL420" t="e">
        <f>VLOOKUP($AC420,'oddspedia-matches'!$A:$AD,AL$2,0)</f>
        <v>#N/A</v>
      </c>
      <c r="AM420" t="e">
        <f>VLOOKUP($AC420,'oddspedia-matches'!$A:$AD,AM$2,0)</f>
        <v>#N/A</v>
      </c>
      <c r="AN420" t="e">
        <f>VLOOKUP($AC420,'oddspedia-matches'!$A:$AD,AN$2,0)</f>
        <v>#N/A</v>
      </c>
      <c r="AO420" t="e">
        <f>VLOOKUP($AC420,'oddspedia-matches'!$A:$AD,AO$2,0)</f>
        <v>#N/A</v>
      </c>
      <c r="AP420" t="e">
        <f>VLOOKUP($AC420,'oddspedia-matches'!$A:$AD,AP$2,0)</f>
        <v>#N/A</v>
      </c>
      <c r="AQ420" t="e">
        <f>VLOOKUP($AC420,'oddspedia-matches'!$A:$AD,AQ$2,0)</f>
        <v>#N/A</v>
      </c>
      <c r="AR420" t="e">
        <f>VLOOKUP($AC420,'oddspedia-matches'!$A:$AD,AR$2,0)</f>
        <v>#N/A</v>
      </c>
      <c r="AS420" t="e">
        <f>VLOOKUP($AC420,'oddspedia-matches'!$A:$AD,AS$2,0)</f>
        <v>#N/A</v>
      </c>
      <c r="AT420" t="e">
        <f>VLOOKUP($AC420,'oddspedia-matches'!$A:$AD,AT$2,0)</f>
        <v>#N/A</v>
      </c>
    </row>
    <row r="421" spans="2:46" x14ac:dyDescent="0.25">
      <c r="B421" t="s">
        <v>668</v>
      </c>
      <c r="C421" t="s">
        <v>948</v>
      </c>
      <c r="D421" s="25">
        <v>0.625</v>
      </c>
      <c r="E421" t="s">
        <v>381</v>
      </c>
      <c r="F421" t="s">
        <v>683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s">
        <v>22</v>
      </c>
      <c r="Y421" t="s">
        <v>22</v>
      </c>
      <c r="AA421" t="str">
        <f>VLOOKUP(E421,'Transform table'!A:B,2,0)</f>
        <v>Juventud Unida San Miguel</v>
      </c>
      <c r="AB421" t="e">
        <f>VLOOKUP(F421,'Transform table'!A:B,2,0)</f>
        <v>#N/A</v>
      </c>
      <c r="AC421" t="e">
        <f t="shared" si="6"/>
        <v>#N/A</v>
      </c>
      <c r="AD421" t="e">
        <f>VLOOKUP($AC421,'oddspedia-matches'!$A:$AD,AD$2,0)</f>
        <v>#N/A</v>
      </c>
      <c r="AE421" t="e">
        <f>VLOOKUP($AC421,'oddspedia-matches'!$A:$AD,AE$2,0)</f>
        <v>#N/A</v>
      </c>
      <c r="AF421" t="e">
        <f>VLOOKUP($AC421,'oddspedia-matches'!$A:$AD,AF$2,0)</f>
        <v>#N/A</v>
      </c>
      <c r="AG421" t="e">
        <f>VLOOKUP($AC421,'oddspedia-matches'!$A:$AD,AG$2,0)</f>
        <v>#N/A</v>
      </c>
      <c r="AH421" t="e">
        <f>VLOOKUP($AC421,'oddspedia-matches'!$A:$AD,AH$2,0)</f>
        <v>#N/A</v>
      </c>
      <c r="AI421" t="e">
        <f>VLOOKUP($AC421,'oddspedia-matches'!$A:$AD,AI$2,0)</f>
        <v>#N/A</v>
      </c>
      <c r="AJ421" t="e">
        <f>VLOOKUP($AC421,'oddspedia-matches'!$A:$AD,AJ$2,0)</f>
        <v>#N/A</v>
      </c>
      <c r="AK421" t="e">
        <f>VLOOKUP($AC421,'oddspedia-matches'!$A:$AD,AK$2,0)</f>
        <v>#N/A</v>
      </c>
      <c r="AL421" t="e">
        <f>VLOOKUP($AC421,'oddspedia-matches'!$A:$AD,AL$2,0)</f>
        <v>#N/A</v>
      </c>
      <c r="AM421" t="e">
        <f>VLOOKUP($AC421,'oddspedia-matches'!$A:$AD,AM$2,0)</f>
        <v>#N/A</v>
      </c>
      <c r="AN421" t="e">
        <f>VLOOKUP($AC421,'oddspedia-matches'!$A:$AD,AN$2,0)</f>
        <v>#N/A</v>
      </c>
      <c r="AO421" t="e">
        <f>VLOOKUP($AC421,'oddspedia-matches'!$A:$AD,AO$2,0)</f>
        <v>#N/A</v>
      </c>
      <c r="AP421" t="e">
        <f>VLOOKUP($AC421,'oddspedia-matches'!$A:$AD,AP$2,0)</f>
        <v>#N/A</v>
      </c>
      <c r="AQ421" t="e">
        <f>VLOOKUP($AC421,'oddspedia-matches'!$A:$AD,AQ$2,0)</f>
        <v>#N/A</v>
      </c>
      <c r="AR421" t="e">
        <f>VLOOKUP($AC421,'oddspedia-matches'!$A:$AD,AR$2,0)</f>
        <v>#N/A</v>
      </c>
      <c r="AS421" t="e">
        <f>VLOOKUP($AC421,'oddspedia-matches'!$A:$AD,AS$2,0)</f>
        <v>#N/A</v>
      </c>
      <c r="AT421" t="e">
        <f>VLOOKUP($AC421,'oddspedia-matches'!$A:$AD,AT$2,0)</f>
        <v>#N/A</v>
      </c>
    </row>
    <row r="422" spans="2:46" x14ac:dyDescent="0.25">
      <c r="B422" t="s">
        <v>502</v>
      </c>
      <c r="C422" t="s">
        <v>948</v>
      </c>
      <c r="D422" s="25">
        <v>0.625</v>
      </c>
      <c r="E422" t="s">
        <v>1135</v>
      </c>
      <c r="F422" t="s">
        <v>1136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t="s">
        <v>22</v>
      </c>
      <c r="Y422" t="s">
        <v>22</v>
      </c>
      <c r="AA422">
        <f>VLOOKUP(E422,'Transform table'!A:B,2,0)</f>
        <v>0</v>
      </c>
      <c r="AB422" t="e">
        <f>VLOOKUP(F422,'Transform table'!A:B,2,0)</f>
        <v>#N/A</v>
      </c>
      <c r="AC422" t="e">
        <f t="shared" si="6"/>
        <v>#N/A</v>
      </c>
      <c r="AD422" t="e">
        <f>VLOOKUP($AC422,'oddspedia-matches'!$A:$AD,AD$2,0)</f>
        <v>#N/A</v>
      </c>
      <c r="AE422" t="e">
        <f>VLOOKUP($AC422,'oddspedia-matches'!$A:$AD,AE$2,0)</f>
        <v>#N/A</v>
      </c>
      <c r="AF422" t="e">
        <f>VLOOKUP($AC422,'oddspedia-matches'!$A:$AD,AF$2,0)</f>
        <v>#N/A</v>
      </c>
      <c r="AG422" t="e">
        <f>VLOOKUP($AC422,'oddspedia-matches'!$A:$AD,AG$2,0)</f>
        <v>#N/A</v>
      </c>
      <c r="AH422" t="e">
        <f>VLOOKUP($AC422,'oddspedia-matches'!$A:$AD,AH$2,0)</f>
        <v>#N/A</v>
      </c>
      <c r="AI422" t="e">
        <f>VLOOKUP($AC422,'oddspedia-matches'!$A:$AD,AI$2,0)</f>
        <v>#N/A</v>
      </c>
      <c r="AJ422" t="e">
        <f>VLOOKUP($AC422,'oddspedia-matches'!$A:$AD,AJ$2,0)</f>
        <v>#N/A</v>
      </c>
      <c r="AK422" t="e">
        <f>VLOOKUP($AC422,'oddspedia-matches'!$A:$AD,AK$2,0)</f>
        <v>#N/A</v>
      </c>
      <c r="AL422" t="e">
        <f>VLOOKUP($AC422,'oddspedia-matches'!$A:$AD,AL$2,0)</f>
        <v>#N/A</v>
      </c>
      <c r="AM422" t="e">
        <f>VLOOKUP($AC422,'oddspedia-matches'!$A:$AD,AM$2,0)</f>
        <v>#N/A</v>
      </c>
      <c r="AN422" t="e">
        <f>VLOOKUP($AC422,'oddspedia-matches'!$A:$AD,AN$2,0)</f>
        <v>#N/A</v>
      </c>
      <c r="AO422" t="e">
        <f>VLOOKUP($AC422,'oddspedia-matches'!$A:$AD,AO$2,0)</f>
        <v>#N/A</v>
      </c>
      <c r="AP422" t="e">
        <f>VLOOKUP($AC422,'oddspedia-matches'!$A:$AD,AP$2,0)</f>
        <v>#N/A</v>
      </c>
      <c r="AQ422" t="e">
        <f>VLOOKUP($AC422,'oddspedia-matches'!$A:$AD,AQ$2,0)</f>
        <v>#N/A</v>
      </c>
      <c r="AR422" t="e">
        <f>VLOOKUP($AC422,'oddspedia-matches'!$A:$AD,AR$2,0)</f>
        <v>#N/A</v>
      </c>
      <c r="AS422" t="e">
        <f>VLOOKUP($AC422,'oddspedia-matches'!$A:$AD,AS$2,0)</f>
        <v>#N/A</v>
      </c>
      <c r="AT422" t="e">
        <f>VLOOKUP($AC422,'oddspedia-matches'!$A:$AD,AT$2,0)</f>
        <v>#N/A</v>
      </c>
    </row>
    <row r="423" spans="2:46" x14ac:dyDescent="0.25">
      <c r="B423" t="s">
        <v>1042</v>
      </c>
      <c r="C423" t="s">
        <v>948</v>
      </c>
      <c r="D423" s="25">
        <v>0.625</v>
      </c>
      <c r="E423" t="s">
        <v>1137</v>
      </c>
      <c r="F423" t="s">
        <v>1138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">
        <v>22</v>
      </c>
      <c r="Y423" t="s">
        <v>22</v>
      </c>
      <c r="AA423" t="str">
        <f>VLOOKUP(E423,'Transform table'!A:B,2,0)</f>
        <v>Paksi SE</v>
      </c>
      <c r="AB423" t="e">
        <f>VLOOKUP(F423,'Transform table'!A:B,2,0)</f>
        <v>#N/A</v>
      </c>
      <c r="AC423" t="e">
        <f t="shared" si="6"/>
        <v>#N/A</v>
      </c>
      <c r="AD423" t="e">
        <f>VLOOKUP($AC423,'oddspedia-matches'!$A:$AD,AD$2,0)</f>
        <v>#N/A</v>
      </c>
      <c r="AE423" t="e">
        <f>VLOOKUP($AC423,'oddspedia-matches'!$A:$AD,AE$2,0)</f>
        <v>#N/A</v>
      </c>
      <c r="AF423" t="e">
        <f>VLOOKUP($AC423,'oddspedia-matches'!$A:$AD,AF$2,0)</f>
        <v>#N/A</v>
      </c>
      <c r="AG423" t="e">
        <f>VLOOKUP($AC423,'oddspedia-matches'!$A:$AD,AG$2,0)</f>
        <v>#N/A</v>
      </c>
      <c r="AH423" t="e">
        <f>VLOOKUP($AC423,'oddspedia-matches'!$A:$AD,AH$2,0)</f>
        <v>#N/A</v>
      </c>
      <c r="AI423" t="e">
        <f>VLOOKUP($AC423,'oddspedia-matches'!$A:$AD,AI$2,0)</f>
        <v>#N/A</v>
      </c>
      <c r="AJ423" t="e">
        <f>VLOOKUP($AC423,'oddspedia-matches'!$A:$AD,AJ$2,0)</f>
        <v>#N/A</v>
      </c>
      <c r="AK423" t="e">
        <f>VLOOKUP($AC423,'oddspedia-matches'!$A:$AD,AK$2,0)</f>
        <v>#N/A</v>
      </c>
      <c r="AL423" t="e">
        <f>VLOOKUP($AC423,'oddspedia-matches'!$A:$AD,AL$2,0)</f>
        <v>#N/A</v>
      </c>
      <c r="AM423" t="e">
        <f>VLOOKUP($AC423,'oddspedia-matches'!$A:$AD,AM$2,0)</f>
        <v>#N/A</v>
      </c>
      <c r="AN423" t="e">
        <f>VLOOKUP($AC423,'oddspedia-matches'!$A:$AD,AN$2,0)</f>
        <v>#N/A</v>
      </c>
      <c r="AO423" t="e">
        <f>VLOOKUP($AC423,'oddspedia-matches'!$A:$AD,AO$2,0)</f>
        <v>#N/A</v>
      </c>
      <c r="AP423" t="e">
        <f>VLOOKUP($AC423,'oddspedia-matches'!$A:$AD,AP$2,0)</f>
        <v>#N/A</v>
      </c>
      <c r="AQ423" t="e">
        <f>VLOOKUP($AC423,'oddspedia-matches'!$A:$AD,AQ$2,0)</f>
        <v>#N/A</v>
      </c>
      <c r="AR423" t="e">
        <f>VLOOKUP($AC423,'oddspedia-matches'!$A:$AD,AR$2,0)</f>
        <v>#N/A</v>
      </c>
      <c r="AS423" t="e">
        <f>VLOOKUP($AC423,'oddspedia-matches'!$A:$AD,AS$2,0)</f>
        <v>#N/A</v>
      </c>
      <c r="AT423" t="e">
        <f>VLOOKUP($AC423,'oddspedia-matches'!$A:$AD,AT$2,0)</f>
        <v>#N/A</v>
      </c>
    </row>
    <row r="424" spans="2:46" x14ac:dyDescent="0.25">
      <c r="B424" t="s">
        <v>500</v>
      </c>
      <c r="C424" t="s">
        <v>948</v>
      </c>
      <c r="D424" s="25">
        <v>0.625</v>
      </c>
      <c r="E424" t="s">
        <v>1139</v>
      </c>
      <c r="F424" t="s">
        <v>1140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>
        <v>12.5</v>
      </c>
      <c r="Y424">
        <v>0</v>
      </c>
      <c r="AA424">
        <f>VLOOKUP(E424,'Transform table'!A:B,2,0)</f>
        <v>0</v>
      </c>
      <c r="AB424" t="e">
        <f>VLOOKUP(F424,'Transform table'!A:B,2,0)</f>
        <v>#N/A</v>
      </c>
      <c r="AC424" t="e">
        <f t="shared" si="6"/>
        <v>#N/A</v>
      </c>
      <c r="AD424" t="e">
        <f>VLOOKUP($AC424,'oddspedia-matches'!$A:$AD,AD$2,0)</f>
        <v>#N/A</v>
      </c>
      <c r="AE424" t="e">
        <f>VLOOKUP($AC424,'oddspedia-matches'!$A:$AD,AE$2,0)</f>
        <v>#N/A</v>
      </c>
      <c r="AF424" t="e">
        <f>VLOOKUP($AC424,'oddspedia-matches'!$A:$AD,AF$2,0)</f>
        <v>#N/A</v>
      </c>
      <c r="AG424" t="e">
        <f>VLOOKUP($AC424,'oddspedia-matches'!$A:$AD,AG$2,0)</f>
        <v>#N/A</v>
      </c>
      <c r="AH424" t="e">
        <f>VLOOKUP($AC424,'oddspedia-matches'!$A:$AD,AH$2,0)</f>
        <v>#N/A</v>
      </c>
      <c r="AI424" t="e">
        <f>VLOOKUP($AC424,'oddspedia-matches'!$A:$AD,AI$2,0)</f>
        <v>#N/A</v>
      </c>
      <c r="AJ424" t="e">
        <f>VLOOKUP($AC424,'oddspedia-matches'!$A:$AD,AJ$2,0)</f>
        <v>#N/A</v>
      </c>
      <c r="AK424" t="e">
        <f>VLOOKUP($AC424,'oddspedia-matches'!$A:$AD,AK$2,0)</f>
        <v>#N/A</v>
      </c>
      <c r="AL424" t="e">
        <f>VLOOKUP($AC424,'oddspedia-matches'!$A:$AD,AL$2,0)</f>
        <v>#N/A</v>
      </c>
      <c r="AM424" t="e">
        <f>VLOOKUP($AC424,'oddspedia-matches'!$A:$AD,AM$2,0)</f>
        <v>#N/A</v>
      </c>
      <c r="AN424" t="e">
        <f>VLOOKUP($AC424,'oddspedia-matches'!$A:$AD,AN$2,0)</f>
        <v>#N/A</v>
      </c>
      <c r="AO424" t="e">
        <f>VLOOKUP($AC424,'oddspedia-matches'!$A:$AD,AO$2,0)</f>
        <v>#N/A</v>
      </c>
      <c r="AP424" t="e">
        <f>VLOOKUP($AC424,'oddspedia-matches'!$A:$AD,AP$2,0)</f>
        <v>#N/A</v>
      </c>
      <c r="AQ424" t="e">
        <f>VLOOKUP($AC424,'oddspedia-matches'!$A:$AD,AQ$2,0)</f>
        <v>#N/A</v>
      </c>
      <c r="AR424" t="e">
        <f>VLOOKUP($AC424,'oddspedia-matches'!$A:$AD,AR$2,0)</f>
        <v>#N/A</v>
      </c>
      <c r="AS424" t="e">
        <f>VLOOKUP($AC424,'oddspedia-matches'!$A:$AD,AS$2,0)</f>
        <v>#N/A</v>
      </c>
      <c r="AT424" t="e">
        <f>VLOOKUP($AC424,'oddspedia-matches'!$A:$AD,AT$2,0)</f>
        <v>#N/A</v>
      </c>
    </row>
    <row r="425" spans="2:46" x14ac:dyDescent="0.25">
      <c r="B425" t="s">
        <v>504</v>
      </c>
      <c r="C425" t="s">
        <v>948</v>
      </c>
      <c r="D425" s="25">
        <v>0.625</v>
      </c>
      <c r="E425" t="s">
        <v>1141</v>
      </c>
      <c r="F425" t="s">
        <v>1142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>
        <v>27.3</v>
      </c>
      <c r="Y425">
        <v>30</v>
      </c>
      <c r="AA425" t="str">
        <f>VLOOKUP(E425,'Transform table'!A:B,2,0)</f>
        <v>Alftanes</v>
      </c>
      <c r="AB425" t="e">
        <f>VLOOKUP(F425,'Transform table'!A:B,2,0)</f>
        <v>#N/A</v>
      </c>
      <c r="AC425" t="e">
        <f t="shared" si="6"/>
        <v>#N/A</v>
      </c>
      <c r="AD425" t="e">
        <f>VLOOKUP($AC425,'oddspedia-matches'!$A:$AD,AD$2,0)</f>
        <v>#N/A</v>
      </c>
      <c r="AE425" t="e">
        <f>VLOOKUP($AC425,'oddspedia-matches'!$A:$AD,AE$2,0)</f>
        <v>#N/A</v>
      </c>
      <c r="AF425" t="e">
        <f>VLOOKUP($AC425,'oddspedia-matches'!$A:$AD,AF$2,0)</f>
        <v>#N/A</v>
      </c>
      <c r="AG425" t="e">
        <f>VLOOKUP($AC425,'oddspedia-matches'!$A:$AD,AG$2,0)</f>
        <v>#N/A</v>
      </c>
      <c r="AH425" t="e">
        <f>VLOOKUP($AC425,'oddspedia-matches'!$A:$AD,AH$2,0)</f>
        <v>#N/A</v>
      </c>
      <c r="AI425" t="e">
        <f>VLOOKUP($AC425,'oddspedia-matches'!$A:$AD,AI$2,0)</f>
        <v>#N/A</v>
      </c>
      <c r="AJ425" t="e">
        <f>VLOOKUP($AC425,'oddspedia-matches'!$A:$AD,AJ$2,0)</f>
        <v>#N/A</v>
      </c>
      <c r="AK425" t="e">
        <f>VLOOKUP($AC425,'oddspedia-matches'!$A:$AD,AK$2,0)</f>
        <v>#N/A</v>
      </c>
      <c r="AL425" t="e">
        <f>VLOOKUP($AC425,'oddspedia-matches'!$A:$AD,AL$2,0)</f>
        <v>#N/A</v>
      </c>
      <c r="AM425" t="e">
        <f>VLOOKUP($AC425,'oddspedia-matches'!$A:$AD,AM$2,0)</f>
        <v>#N/A</v>
      </c>
      <c r="AN425" t="e">
        <f>VLOOKUP($AC425,'oddspedia-matches'!$A:$AD,AN$2,0)</f>
        <v>#N/A</v>
      </c>
      <c r="AO425" t="e">
        <f>VLOOKUP($AC425,'oddspedia-matches'!$A:$AD,AO$2,0)</f>
        <v>#N/A</v>
      </c>
      <c r="AP425" t="e">
        <f>VLOOKUP($AC425,'oddspedia-matches'!$A:$AD,AP$2,0)</f>
        <v>#N/A</v>
      </c>
      <c r="AQ425" t="e">
        <f>VLOOKUP($AC425,'oddspedia-matches'!$A:$AD,AQ$2,0)</f>
        <v>#N/A</v>
      </c>
      <c r="AR425" t="e">
        <f>VLOOKUP($AC425,'oddspedia-matches'!$A:$AD,AR$2,0)</f>
        <v>#N/A</v>
      </c>
      <c r="AS425" t="e">
        <f>VLOOKUP($AC425,'oddspedia-matches'!$A:$AD,AS$2,0)</f>
        <v>#N/A</v>
      </c>
      <c r="AT425" t="e">
        <f>VLOOKUP($AC425,'oddspedia-matches'!$A:$AD,AT$2,0)</f>
        <v>#N/A</v>
      </c>
    </row>
    <row r="426" spans="2:46" x14ac:dyDescent="0.25">
      <c r="B426" t="s">
        <v>504</v>
      </c>
      <c r="C426" t="s">
        <v>948</v>
      </c>
      <c r="D426" s="25">
        <v>0.625</v>
      </c>
      <c r="E426" t="s">
        <v>695</v>
      </c>
      <c r="F426" t="s">
        <v>1059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">
        <v>22</v>
      </c>
      <c r="Y426" t="s">
        <v>22</v>
      </c>
      <c r="AA426" t="str">
        <f>VLOOKUP(E426,'Transform table'!A:B,2,0)</f>
        <v>Cerro</v>
      </c>
      <c r="AB426">
        <f>VLOOKUP(F426,'Transform table'!A:B,2,0)</f>
        <v>0</v>
      </c>
      <c r="AC426" t="str">
        <f t="shared" si="6"/>
        <v>26/07/2026Cerro0</v>
      </c>
      <c r="AD426" t="e">
        <f>VLOOKUP($AC426,'oddspedia-matches'!$A:$AD,AD$2,0)</f>
        <v>#N/A</v>
      </c>
      <c r="AE426" t="e">
        <f>VLOOKUP($AC426,'oddspedia-matches'!$A:$AD,AE$2,0)</f>
        <v>#N/A</v>
      </c>
      <c r="AF426" t="e">
        <f>VLOOKUP($AC426,'oddspedia-matches'!$A:$AD,AF$2,0)</f>
        <v>#N/A</v>
      </c>
      <c r="AG426" t="e">
        <f>VLOOKUP($AC426,'oddspedia-matches'!$A:$AD,AG$2,0)</f>
        <v>#N/A</v>
      </c>
      <c r="AH426" t="e">
        <f>VLOOKUP($AC426,'oddspedia-matches'!$A:$AD,AH$2,0)</f>
        <v>#N/A</v>
      </c>
      <c r="AI426" t="e">
        <f>VLOOKUP($AC426,'oddspedia-matches'!$A:$AD,AI$2,0)</f>
        <v>#N/A</v>
      </c>
      <c r="AJ426" t="e">
        <f>VLOOKUP($AC426,'oddspedia-matches'!$A:$AD,AJ$2,0)</f>
        <v>#N/A</v>
      </c>
      <c r="AK426" t="e">
        <f>VLOOKUP($AC426,'oddspedia-matches'!$A:$AD,AK$2,0)</f>
        <v>#N/A</v>
      </c>
      <c r="AL426" t="e">
        <f>VLOOKUP($AC426,'oddspedia-matches'!$A:$AD,AL$2,0)</f>
        <v>#N/A</v>
      </c>
      <c r="AM426" t="e">
        <f>VLOOKUP($AC426,'oddspedia-matches'!$A:$AD,AM$2,0)</f>
        <v>#N/A</v>
      </c>
      <c r="AN426" t="e">
        <f>VLOOKUP($AC426,'oddspedia-matches'!$A:$AD,AN$2,0)</f>
        <v>#N/A</v>
      </c>
      <c r="AO426" t="e">
        <f>VLOOKUP($AC426,'oddspedia-matches'!$A:$AD,AO$2,0)</f>
        <v>#N/A</v>
      </c>
      <c r="AP426" t="e">
        <f>VLOOKUP($AC426,'oddspedia-matches'!$A:$AD,AP$2,0)</f>
        <v>#N/A</v>
      </c>
      <c r="AQ426" t="e">
        <f>VLOOKUP($AC426,'oddspedia-matches'!$A:$AD,AQ$2,0)</f>
        <v>#N/A</v>
      </c>
      <c r="AR426" t="e">
        <f>VLOOKUP($AC426,'oddspedia-matches'!$A:$AD,AR$2,0)</f>
        <v>#N/A</v>
      </c>
      <c r="AS426" t="e">
        <f>VLOOKUP($AC426,'oddspedia-matches'!$A:$AD,AS$2,0)</f>
        <v>#N/A</v>
      </c>
      <c r="AT426" t="e">
        <f>VLOOKUP($AC426,'oddspedia-matches'!$A:$AD,AT$2,0)</f>
        <v>#N/A</v>
      </c>
    </row>
    <row r="427" spans="2:46" x14ac:dyDescent="0.25">
      <c r="B427" t="s">
        <v>1025</v>
      </c>
      <c r="C427" t="s">
        <v>948</v>
      </c>
      <c r="D427" s="25">
        <v>0.625</v>
      </c>
      <c r="E427" t="s">
        <v>1143</v>
      </c>
      <c r="F427" t="s">
        <v>679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22</v>
      </c>
      <c r="O427" t="s">
        <v>22</v>
      </c>
      <c r="P427" t="s">
        <v>22</v>
      </c>
      <c r="Q427" t="s">
        <v>22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">
        <v>22</v>
      </c>
      <c r="Y427" t="s">
        <v>22</v>
      </c>
      <c r="AA427" t="str">
        <f>VLOOKUP(E427,'Transform table'!A:B,2,0)</f>
        <v>Cordoba</v>
      </c>
      <c r="AB427" t="str">
        <f>VLOOKUP(F427,'Transform table'!A:B,2,0)</f>
        <v>Fenerbahce</v>
      </c>
      <c r="AC427" t="str">
        <f t="shared" si="6"/>
        <v>26/07/2026CordobaFenerbahce</v>
      </c>
      <c r="AD427" t="e">
        <f>VLOOKUP($AC427,'oddspedia-matches'!$A:$AD,AD$2,0)</f>
        <v>#N/A</v>
      </c>
      <c r="AE427" t="e">
        <f>VLOOKUP($AC427,'oddspedia-matches'!$A:$AD,AE$2,0)</f>
        <v>#N/A</v>
      </c>
      <c r="AF427" t="e">
        <f>VLOOKUP($AC427,'oddspedia-matches'!$A:$AD,AF$2,0)</f>
        <v>#N/A</v>
      </c>
      <c r="AG427" t="e">
        <f>VLOOKUP($AC427,'oddspedia-matches'!$A:$AD,AG$2,0)</f>
        <v>#N/A</v>
      </c>
      <c r="AH427" t="e">
        <f>VLOOKUP($AC427,'oddspedia-matches'!$A:$AD,AH$2,0)</f>
        <v>#N/A</v>
      </c>
      <c r="AI427" t="e">
        <f>VLOOKUP($AC427,'oddspedia-matches'!$A:$AD,AI$2,0)</f>
        <v>#N/A</v>
      </c>
      <c r="AJ427" t="e">
        <f>VLOOKUP($AC427,'oddspedia-matches'!$A:$AD,AJ$2,0)</f>
        <v>#N/A</v>
      </c>
      <c r="AK427" t="e">
        <f>VLOOKUP($AC427,'oddspedia-matches'!$A:$AD,AK$2,0)</f>
        <v>#N/A</v>
      </c>
      <c r="AL427" t="e">
        <f>VLOOKUP($AC427,'oddspedia-matches'!$A:$AD,AL$2,0)</f>
        <v>#N/A</v>
      </c>
      <c r="AM427" t="e">
        <f>VLOOKUP($AC427,'oddspedia-matches'!$A:$AD,AM$2,0)</f>
        <v>#N/A</v>
      </c>
      <c r="AN427" t="e">
        <f>VLOOKUP($AC427,'oddspedia-matches'!$A:$AD,AN$2,0)</f>
        <v>#N/A</v>
      </c>
      <c r="AO427" t="e">
        <f>VLOOKUP($AC427,'oddspedia-matches'!$A:$AD,AO$2,0)</f>
        <v>#N/A</v>
      </c>
      <c r="AP427" t="e">
        <f>VLOOKUP($AC427,'oddspedia-matches'!$A:$AD,AP$2,0)</f>
        <v>#N/A</v>
      </c>
      <c r="AQ427" t="e">
        <f>VLOOKUP($AC427,'oddspedia-matches'!$A:$AD,AQ$2,0)</f>
        <v>#N/A</v>
      </c>
      <c r="AR427" t="e">
        <f>VLOOKUP($AC427,'oddspedia-matches'!$A:$AD,AR$2,0)</f>
        <v>#N/A</v>
      </c>
      <c r="AS427" t="e">
        <f>VLOOKUP($AC427,'oddspedia-matches'!$A:$AD,AS$2,0)</f>
        <v>#N/A</v>
      </c>
      <c r="AT427" t="e">
        <f>VLOOKUP($AC427,'oddspedia-matches'!$A:$AD,AT$2,0)</f>
        <v>#N/A</v>
      </c>
    </row>
    <row r="428" spans="2:46" x14ac:dyDescent="0.25">
      <c r="B428" t="s">
        <v>1099</v>
      </c>
      <c r="C428" t="s">
        <v>948</v>
      </c>
      <c r="D428" s="25">
        <v>0.63541666666666663</v>
      </c>
      <c r="E428" t="s">
        <v>1144</v>
      </c>
      <c r="F428" t="s">
        <v>1145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">
        <v>22</v>
      </c>
      <c r="Y428" t="s">
        <v>22</v>
      </c>
      <c r="AA428" t="str">
        <f>VLOOKUP(E428,'Transform table'!A:B,2,0)</f>
        <v>Lokomotiv Sofia</v>
      </c>
      <c r="AB428" t="e">
        <f>VLOOKUP(F428,'Transform table'!A:B,2,0)</f>
        <v>#N/A</v>
      </c>
      <c r="AC428" t="e">
        <f t="shared" si="6"/>
        <v>#N/A</v>
      </c>
      <c r="AD428" t="e">
        <f>VLOOKUP($AC428,'oddspedia-matches'!$A:$AD,AD$2,0)</f>
        <v>#N/A</v>
      </c>
      <c r="AE428" t="e">
        <f>VLOOKUP($AC428,'oddspedia-matches'!$A:$AD,AE$2,0)</f>
        <v>#N/A</v>
      </c>
      <c r="AF428" t="e">
        <f>VLOOKUP($AC428,'oddspedia-matches'!$A:$AD,AF$2,0)</f>
        <v>#N/A</v>
      </c>
      <c r="AG428" t="e">
        <f>VLOOKUP($AC428,'oddspedia-matches'!$A:$AD,AG$2,0)</f>
        <v>#N/A</v>
      </c>
      <c r="AH428" t="e">
        <f>VLOOKUP($AC428,'oddspedia-matches'!$A:$AD,AH$2,0)</f>
        <v>#N/A</v>
      </c>
      <c r="AI428" t="e">
        <f>VLOOKUP($AC428,'oddspedia-matches'!$A:$AD,AI$2,0)</f>
        <v>#N/A</v>
      </c>
      <c r="AJ428" t="e">
        <f>VLOOKUP($AC428,'oddspedia-matches'!$A:$AD,AJ$2,0)</f>
        <v>#N/A</v>
      </c>
      <c r="AK428" t="e">
        <f>VLOOKUP($AC428,'oddspedia-matches'!$A:$AD,AK$2,0)</f>
        <v>#N/A</v>
      </c>
      <c r="AL428" t="e">
        <f>VLOOKUP($AC428,'oddspedia-matches'!$A:$AD,AL$2,0)</f>
        <v>#N/A</v>
      </c>
      <c r="AM428" t="e">
        <f>VLOOKUP($AC428,'oddspedia-matches'!$A:$AD,AM$2,0)</f>
        <v>#N/A</v>
      </c>
      <c r="AN428" t="e">
        <f>VLOOKUP($AC428,'oddspedia-matches'!$A:$AD,AN$2,0)</f>
        <v>#N/A</v>
      </c>
      <c r="AO428" t="e">
        <f>VLOOKUP($AC428,'oddspedia-matches'!$A:$AD,AO$2,0)</f>
        <v>#N/A</v>
      </c>
      <c r="AP428" t="e">
        <f>VLOOKUP($AC428,'oddspedia-matches'!$A:$AD,AP$2,0)</f>
        <v>#N/A</v>
      </c>
      <c r="AQ428" t="e">
        <f>VLOOKUP($AC428,'oddspedia-matches'!$A:$AD,AQ$2,0)</f>
        <v>#N/A</v>
      </c>
      <c r="AR428" t="e">
        <f>VLOOKUP($AC428,'oddspedia-matches'!$A:$AD,AR$2,0)</f>
        <v>#N/A</v>
      </c>
      <c r="AS428" t="e">
        <f>VLOOKUP($AC428,'oddspedia-matches'!$A:$AD,AS$2,0)</f>
        <v>#N/A</v>
      </c>
      <c r="AT428" t="e">
        <f>VLOOKUP($AC428,'oddspedia-matches'!$A:$AD,AT$2,0)</f>
        <v>#N/A</v>
      </c>
    </row>
    <row r="429" spans="2:46" x14ac:dyDescent="0.25">
      <c r="B429" t="s">
        <v>470</v>
      </c>
      <c r="C429" t="s">
        <v>948</v>
      </c>
      <c r="D429" s="25">
        <v>0.63541666666666663</v>
      </c>
      <c r="E429" t="s">
        <v>105</v>
      </c>
      <c r="F429" t="s">
        <v>37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">
        <v>22</v>
      </c>
      <c r="Y429" t="s">
        <v>22</v>
      </c>
      <c r="AA429" t="str">
        <f>VLOOKUP(E429,'Transform table'!A:B,2,0)</f>
        <v>SD Aucas</v>
      </c>
      <c r="AB429" t="str">
        <f>VLOOKUP(F429,'Transform table'!A:B,2,0)</f>
        <v>CSD Macara</v>
      </c>
      <c r="AC429" t="str">
        <f t="shared" si="6"/>
        <v>26/07/2026SD AucasCSD Macara</v>
      </c>
      <c r="AD429" t="e">
        <f>VLOOKUP($AC429,'oddspedia-matches'!$A:$AD,AD$2,0)</f>
        <v>#N/A</v>
      </c>
      <c r="AE429" t="e">
        <f>VLOOKUP($AC429,'oddspedia-matches'!$A:$AD,AE$2,0)</f>
        <v>#N/A</v>
      </c>
      <c r="AF429" t="e">
        <f>VLOOKUP($AC429,'oddspedia-matches'!$A:$AD,AF$2,0)</f>
        <v>#N/A</v>
      </c>
      <c r="AG429" t="e">
        <f>VLOOKUP($AC429,'oddspedia-matches'!$A:$AD,AG$2,0)</f>
        <v>#N/A</v>
      </c>
      <c r="AH429" t="e">
        <f>VLOOKUP($AC429,'oddspedia-matches'!$A:$AD,AH$2,0)</f>
        <v>#N/A</v>
      </c>
      <c r="AI429" t="e">
        <f>VLOOKUP($AC429,'oddspedia-matches'!$A:$AD,AI$2,0)</f>
        <v>#N/A</v>
      </c>
      <c r="AJ429" t="e">
        <f>VLOOKUP($AC429,'oddspedia-matches'!$A:$AD,AJ$2,0)</f>
        <v>#N/A</v>
      </c>
      <c r="AK429" t="e">
        <f>VLOOKUP($AC429,'oddspedia-matches'!$A:$AD,AK$2,0)</f>
        <v>#N/A</v>
      </c>
      <c r="AL429" t="e">
        <f>VLOOKUP($AC429,'oddspedia-matches'!$A:$AD,AL$2,0)</f>
        <v>#N/A</v>
      </c>
      <c r="AM429" t="e">
        <f>VLOOKUP($AC429,'oddspedia-matches'!$A:$AD,AM$2,0)</f>
        <v>#N/A</v>
      </c>
      <c r="AN429" t="e">
        <f>VLOOKUP($AC429,'oddspedia-matches'!$A:$AD,AN$2,0)</f>
        <v>#N/A</v>
      </c>
      <c r="AO429" t="e">
        <f>VLOOKUP($AC429,'oddspedia-matches'!$A:$AD,AO$2,0)</f>
        <v>#N/A</v>
      </c>
      <c r="AP429" t="e">
        <f>VLOOKUP($AC429,'oddspedia-matches'!$A:$AD,AP$2,0)</f>
        <v>#N/A</v>
      </c>
      <c r="AQ429" t="e">
        <f>VLOOKUP($AC429,'oddspedia-matches'!$A:$AD,AQ$2,0)</f>
        <v>#N/A</v>
      </c>
      <c r="AR429" t="e">
        <f>VLOOKUP($AC429,'oddspedia-matches'!$A:$AD,AR$2,0)</f>
        <v>#N/A</v>
      </c>
      <c r="AS429" t="e">
        <f>VLOOKUP($AC429,'oddspedia-matches'!$A:$AD,AS$2,0)</f>
        <v>#N/A</v>
      </c>
      <c r="AT429" t="e">
        <f>VLOOKUP($AC429,'oddspedia-matches'!$A:$AD,AT$2,0)</f>
        <v>#N/A</v>
      </c>
    </row>
    <row r="430" spans="2:46" x14ac:dyDescent="0.25">
      <c r="B430" t="s">
        <v>470</v>
      </c>
      <c r="C430" t="s">
        <v>948</v>
      </c>
      <c r="D430" s="25">
        <v>0.63541666666666663</v>
      </c>
      <c r="E430" t="s">
        <v>231</v>
      </c>
      <c r="F430" t="s">
        <v>102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>
        <v>0</v>
      </c>
      <c r="Y430">
        <v>0</v>
      </c>
      <c r="AA430" t="str">
        <f>VLOOKUP(E430,'Transform table'!A:B,2,0)</f>
        <v>Delfin SC</v>
      </c>
      <c r="AB430" t="str">
        <f>VLOOKUP(F430,'Transform table'!A:B,2,0)</f>
        <v>CD Leones Del Norte</v>
      </c>
      <c r="AC430" t="str">
        <f t="shared" si="6"/>
        <v>26/07/2026Delfin SCCD Leones Del Norte</v>
      </c>
      <c r="AD430" t="e">
        <f>VLOOKUP($AC430,'oddspedia-matches'!$A:$AD,AD$2,0)</f>
        <v>#N/A</v>
      </c>
      <c r="AE430" t="e">
        <f>VLOOKUP($AC430,'oddspedia-matches'!$A:$AD,AE$2,0)</f>
        <v>#N/A</v>
      </c>
      <c r="AF430" t="e">
        <f>VLOOKUP($AC430,'oddspedia-matches'!$A:$AD,AF$2,0)</f>
        <v>#N/A</v>
      </c>
      <c r="AG430" t="e">
        <f>VLOOKUP($AC430,'oddspedia-matches'!$A:$AD,AG$2,0)</f>
        <v>#N/A</v>
      </c>
      <c r="AH430" t="e">
        <f>VLOOKUP($AC430,'oddspedia-matches'!$A:$AD,AH$2,0)</f>
        <v>#N/A</v>
      </c>
      <c r="AI430" t="e">
        <f>VLOOKUP($AC430,'oddspedia-matches'!$A:$AD,AI$2,0)</f>
        <v>#N/A</v>
      </c>
      <c r="AJ430" t="e">
        <f>VLOOKUP($AC430,'oddspedia-matches'!$A:$AD,AJ$2,0)</f>
        <v>#N/A</v>
      </c>
      <c r="AK430" t="e">
        <f>VLOOKUP($AC430,'oddspedia-matches'!$A:$AD,AK$2,0)</f>
        <v>#N/A</v>
      </c>
      <c r="AL430" t="e">
        <f>VLOOKUP($AC430,'oddspedia-matches'!$A:$AD,AL$2,0)</f>
        <v>#N/A</v>
      </c>
      <c r="AM430" t="e">
        <f>VLOOKUP($AC430,'oddspedia-matches'!$A:$AD,AM$2,0)</f>
        <v>#N/A</v>
      </c>
      <c r="AN430" t="e">
        <f>VLOOKUP($AC430,'oddspedia-matches'!$A:$AD,AN$2,0)</f>
        <v>#N/A</v>
      </c>
      <c r="AO430" t="e">
        <f>VLOOKUP($AC430,'oddspedia-matches'!$A:$AD,AO$2,0)</f>
        <v>#N/A</v>
      </c>
      <c r="AP430" t="e">
        <f>VLOOKUP($AC430,'oddspedia-matches'!$A:$AD,AP$2,0)</f>
        <v>#N/A</v>
      </c>
      <c r="AQ430" t="e">
        <f>VLOOKUP($AC430,'oddspedia-matches'!$A:$AD,AQ$2,0)</f>
        <v>#N/A</v>
      </c>
      <c r="AR430" t="e">
        <f>VLOOKUP($AC430,'oddspedia-matches'!$A:$AD,AR$2,0)</f>
        <v>#N/A</v>
      </c>
      <c r="AS430" t="e">
        <f>VLOOKUP($AC430,'oddspedia-matches'!$A:$AD,AS$2,0)</f>
        <v>#N/A</v>
      </c>
      <c r="AT430" t="e">
        <f>VLOOKUP($AC430,'oddspedia-matches'!$A:$AD,AT$2,0)</f>
        <v>#N/A</v>
      </c>
    </row>
    <row r="431" spans="2:46" x14ac:dyDescent="0.25">
      <c r="B431" t="s">
        <v>1104</v>
      </c>
      <c r="C431" t="s">
        <v>948</v>
      </c>
      <c r="D431" s="25">
        <v>0.63541666666666663</v>
      </c>
      <c r="E431" t="s">
        <v>1146</v>
      </c>
      <c r="F431" t="s">
        <v>1147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">
        <v>22</v>
      </c>
      <c r="Y431" t="s">
        <v>22</v>
      </c>
      <c r="AA431" t="str">
        <f>VLOOKUP(E431,'Transform table'!A:B,2,0)</f>
        <v>Koper</v>
      </c>
      <c r="AB431" t="e">
        <f>VLOOKUP(F431,'Transform table'!A:B,2,0)</f>
        <v>#N/A</v>
      </c>
      <c r="AC431" t="e">
        <f t="shared" si="6"/>
        <v>#N/A</v>
      </c>
      <c r="AD431" t="e">
        <f>VLOOKUP($AC431,'oddspedia-matches'!$A:$AD,AD$2,0)</f>
        <v>#N/A</v>
      </c>
      <c r="AE431" t="e">
        <f>VLOOKUP($AC431,'oddspedia-matches'!$A:$AD,AE$2,0)</f>
        <v>#N/A</v>
      </c>
      <c r="AF431" t="e">
        <f>VLOOKUP($AC431,'oddspedia-matches'!$A:$AD,AF$2,0)</f>
        <v>#N/A</v>
      </c>
      <c r="AG431" t="e">
        <f>VLOOKUP($AC431,'oddspedia-matches'!$A:$AD,AG$2,0)</f>
        <v>#N/A</v>
      </c>
      <c r="AH431" t="e">
        <f>VLOOKUP($AC431,'oddspedia-matches'!$A:$AD,AH$2,0)</f>
        <v>#N/A</v>
      </c>
      <c r="AI431" t="e">
        <f>VLOOKUP($AC431,'oddspedia-matches'!$A:$AD,AI$2,0)</f>
        <v>#N/A</v>
      </c>
      <c r="AJ431" t="e">
        <f>VLOOKUP($AC431,'oddspedia-matches'!$A:$AD,AJ$2,0)</f>
        <v>#N/A</v>
      </c>
      <c r="AK431" t="e">
        <f>VLOOKUP($AC431,'oddspedia-matches'!$A:$AD,AK$2,0)</f>
        <v>#N/A</v>
      </c>
      <c r="AL431" t="e">
        <f>VLOOKUP($AC431,'oddspedia-matches'!$A:$AD,AL$2,0)</f>
        <v>#N/A</v>
      </c>
      <c r="AM431" t="e">
        <f>VLOOKUP($AC431,'oddspedia-matches'!$A:$AD,AM$2,0)</f>
        <v>#N/A</v>
      </c>
      <c r="AN431" t="e">
        <f>VLOOKUP($AC431,'oddspedia-matches'!$A:$AD,AN$2,0)</f>
        <v>#N/A</v>
      </c>
      <c r="AO431" t="e">
        <f>VLOOKUP($AC431,'oddspedia-matches'!$A:$AD,AO$2,0)</f>
        <v>#N/A</v>
      </c>
      <c r="AP431" t="e">
        <f>VLOOKUP($AC431,'oddspedia-matches'!$A:$AD,AP$2,0)</f>
        <v>#N/A</v>
      </c>
      <c r="AQ431" t="e">
        <f>VLOOKUP($AC431,'oddspedia-matches'!$A:$AD,AQ$2,0)</f>
        <v>#N/A</v>
      </c>
      <c r="AR431" t="e">
        <f>VLOOKUP($AC431,'oddspedia-matches'!$A:$AD,AR$2,0)</f>
        <v>#N/A</v>
      </c>
      <c r="AS431" t="e">
        <f>VLOOKUP($AC431,'oddspedia-matches'!$A:$AD,AS$2,0)</f>
        <v>#N/A</v>
      </c>
      <c r="AT431" t="e">
        <f>VLOOKUP($AC431,'oddspedia-matches'!$A:$AD,AT$2,0)</f>
        <v>#N/A</v>
      </c>
    </row>
    <row r="432" spans="2:46" x14ac:dyDescent="0.25">
      <c r="B432" t="s">
        <v>1033</v>
      </c>
      <c r="C432" t="s">
        <v>948</v>
      </c>
      <c r="D432" s="25">
        <v>0.63541666666666663</v>
      </c>
      <c r="E432" t="s">
        <v>1148</v>
      </c>
      <c r="F432" t="s">
        <v>1149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">
        <v>22</v>
      </c>
      <c r="Y432" t="s">
        <v>22</v>
      </c>
      <c r="AA432" t="str">
        <f>VLOOKUP(E432,'Transform table'!A:B,2,0)</f>
        <v>Walsall</v>
      </c>
      <c r="AB432" t="e">
        <f>VLOOKUP(F432,'Transform table'!A:B,2,0)</f>
        <v>#N/A</v>
      </c>
      <c r="AC432" t="e">
        <f t="shared" si="6"/>
        <v>#N/A</v>
      </c>
      <c r="AD432" t="e">
        <f>VLOOKUP($AC432,'oddspedia-matches'!$A:$AD,AD$2,0)</f>
        <v>#N/A</v>
      </c>
      <c r="AE432" t="e">
        <f>VLOOKUP($AC432,'oddspedia-matches'!$A:$AD,AE$2,0)</f>
        <v>#N/A</v>
      </c>
      <c r="AF432" t="e">
        <f>VLOOKUP($AC432,'oddspedia-matches'!$A:$AD,AF$2,0)</f>
        <v>#N/A</v>
      </c>
      <c r="AG432" t="e">
        <f>VLOOKUP($AC432,'oddspedia-matches'!$A:$AD,AG$2,0)</f>
        <v>#N/A</v>
      </c>
      <c r="AH432" t="e">
        <f>VLOOKUP($AC432,'oddspedia-matches'!$A:$AD,AH$2,0)</f>
        <v>#N/A</v>
      </c>
      <c r="AI432" t="e">
        <f>VLOOKUP($AC432,'oddspedia-matches'!$A:$AD,AI$2,0)</f>
        <v>#N/A</v>
      </c>
      <c r="AJ432" t="e">
        <f>VLOOKUP($AC432,'oddspedia-matches'!$A:$AD,AJ$2,0)</f>
        <v>#N/A</v>
      </c>
      <c r="AK432" t="e">
        <f>VLOOKUP($AC432,'oddspedia-matches'!$A:$AD,AK$2,0)</f>
        <v>#N/A</v>
      </c>
      <c r="AL432" t="e">
        <f>VLOOKUP($AC432,'oddspedia-matches'!$A:$AD,AL$2,0)</f>
        <v>#N/A</v>
      </c>
      <c r="AM432" t="e">
        <f>VLOOKUP($AC432,'oddspedia-matches'!$A:$AD,AM$2,0)</f>
        <v>#N/A</v>
      </c>
      <c r="AN432" t="e">
        <f>VLOOKUP($AC432,'oddspedia-matches'!$A:$AD,AN$2,0)</f>
        <v>#N/A</v>
      </c>
      <c r="AO432" t="e">
        <f>VLOOKUP($AC432,'oddspedia-matches'!$A:$AD,AO$2,0)</f>
        <v>#N/A</v>
      </c>
      <c r="AP432" t="e">
        <f>VLOOKUP($AC432,'oddspedia-matches'!$A:$AD,AP$2,0)</f>
        <v>#N/A</v>
      </c>
      <c r="AQ432" t="e">
        <f>VLOOKUP($AC432,'oddspedia-matches'!$A:$AD,AQ$2,0)</f>
        <v>#N/A</v>
      </c>
      <c r="AR432" t="e">
        <f>VLOOKUP($AC432,'oddspedia-matches'!$A:$AD,AR$2,0)</f>
        <v>#N/A</v>
      </c>
      <c r="AS432" t="e">
        <f>VLOOKUP($AC432,'oddspedia-matches'!$A:$AD,AS$2,0)</f>
        <v>#N/A</v>
      </c>
      <c r="AT432" t="e">
        <f>VLOOKUP($AC432,'oddspedia-matches'!$A:$AD,AT$2,0)</f>
        <v>#N/A</v>
      </c>
    </row>
    <row r="433" spans="2:46" x14ac:dyDescent="0.25">
      <c r="B433" t="s">
        <v>665</v>
      </c>
      <c r="C433" t="s">
        <v>948</v>
      </c>
      <c r="D433" s="25">
        <v>0.64583333333333337</v>
      </c>
      <c r="E433" t="s">
        <v>717</v>
      </c>
      <c r="F433" t="s">
        <v>327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>
        <v>30</v>
      </c>
      <c r="Y433">
        <v>20</v>
      </c>
      <c r="AA433" t="str">
        <f>VLOOKUP(E433,'Transform table'!A:B,2,0)</f>
        <v>Colon de Santa Fe</v>
      </c>
      <c r="AB433" t="e">
        <f>VLOOKUP(F433,'Transform table'!A:B,2,0)</f>
        <v>#N/A</v>
      </c>
      <c r="AC433" t="e">
        <f t="shared" si="6"/>
        <v>#N/A</v>
      </c>
      <c r="AD433" t="e">
        <f>VLOOKUP($AC433,'oddspedia-matches'!$A:$AD,AD$2,0)</f>
        <v>#N/A</v>
      </c>
      <c r="AE433" t="e">
        <f>VLOOKUP($AC433,'oddspedia-matches'!$A:$AD,AE$2,0)</f>
        <v>#N/A</v>
      </c>
      <c r="AF433" t="e">
        <f>VLOOKUP($AC433,'oddspedia-matches'!$A:$AD,AF$2,0)</f>
        <v>#N/A</v>
      </c>
      <c r="AG433" t="e">
        <f>VLOOKUP($AC433,'oddspedia-matches'!$A:$AD,AG$2,0)</f>
        <v>#N/A</v>
      </c>
      <c r="AH433" t="e">
        <f>VLOOKUP($AC433,'oddspedia-matches'!$A:$AD,AH$2,0)</f>
        <v>#N/A</v>
      </c>
      <c r="AI433" t="e">
        <f>VLOOKUP($AC433,'oddspedia-matches'!$A:$AD,AI$2,0)</f>
        <v>#N/A</v>
      </c>
      <c r="AJ433" t="e">
        <f>VLOOKUP($AC433,'oddspedia-matches'!$A:$AD,AJ$2,0)</f>
        <v>#N/A</v>
      </c>
      <c r="AK433" t="e">
        <f>VLOOKUP($AC433,'oddspedia-matches'!$A:$AD,AK$2,0)</f>
        <v>#N/A</v>
      </c>
      <c r="AL433" t="e">
        <f>VLOOKUP($AC433,'oddspedia-matches'!$A:$AD,AL$2,0)</f>
        <v>#N/A</v>
      </c>
      <c r="AM433" t="e">
        <f>VLOOKUP($AC433,'oddspedia-matches'!$A:$AD,AM$2,0)</f>
        <v>#N/A</v>
      </c>
      <c r="AN433" t="e">
        <f>VLOOKUP($AC433,'oddspedia-matches'!$A:$AD,AN$2,0)</f>
        <v>#N/A</v>
      </c>
      <c r="AO433" t="e">
        <f>VLOOKUP($AC433,'oddspedia-matches'!$A:$AD,AO$2,0)</f>
        <v>#N/A</v>
      </c>
      <c r="AP433" t="e">
        <f>VLOOKUP($AC433,'oddspedia-matches'!$A:$AD,AP$2,0)</f>
        <v>#N/A</v>
      </c>
      <c r="AQ433" t="e">
        <f>VLOOKUP($AC433,'oddspedia-matches'!$A:$AD,AQ$2,0)</f>
        <v>#N/A</v>
      </c>
      <c r="AR433" t="e">
        <f>VLOOKUP($AC433,'oddspedia-matches'!$A:$AD,AR$2,0)</f>
        <v>#N/A</v>
      </c>
      <c r="AS433" t="e">
        <f>VLOOKUP($AC433,'oddspedia-matches'!$A:$AD,AS$2,0)</f>
        <v>#N/A</v>
      </c>
      <c r="AT433" t="e">
        <f>VLOOKUP($AC433,'oddspedia-matches'!$A:$AD,AT$2,0)</f>
        <v>#N/A</v>
      </c>
    </row>
    <row r="434" spans="2:46" x14ac:dyDescent="0.25">
      <c r="B434" t="s">
        <v>665</v>
      </c>
      <c r="C434" t="s">
        <v>948</v>
      </c>
      <c r="D434" s="25">
        <v>0.64583333333333337</v>
      </c>
      <c r="E434" t="s">
        <v>1150</v>
      </c>
      <c r="F434" t="s">
        <v>716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>
        <v>30</v>
      </c>
      <c r="Y434">
        <v>18.2</v>
      </c>
      <c r="AA434" t="str">
        <f>VLOOKUP(E434,'Transform table'!A:B,2,0)</f>
        <v>CA San Miguel</v>
      </c>
      <c r="AB434" t="str">
        <f>VLOOKUP(F434,'Transform table'!A:B,2,0)</f>
        <v>Club Atletico Acassuso</v>
      </c>
      <c r="AC434" t="str">
        <f t="shared" si="6"/>
        <v>26/07/2026CA San MiguelClub Atletico Acassuso</v>
      </c>
      <c r="AD434" t="e">
        <f>VLOOKUP($AC434,'oddspedia-matches'!$A:$AD,AD$2,0)</f>
        <v>#N/A</v>
      </c>
      <c r="AE434" t="e">
        <f>VLOOKUP($AC434,'oddspedia-matches'!$A:$AD,AE$2,0)</f>
        <v>#N/A</v>
      </c>
      <c r="AF434" t="e">
        <f>VLOOKUP($AC434,'oddspedia-matches'!$A:$AD,AF$2,0)</f>
        <v>#N/A</v>
      </c>
      <c r="AG434" t="e">
        <f>VLOOKUP($AC434,'oddspedia-matches'!$A:$AD,AG$2,0)</f>
        <v>#N/A</v>
      </c>
      <c r="AH434" t="e">
        <f>VLOOKUP($AC434,'oddspedia-matches'!$A:$AD,AH$2,0)</f>
        <v>#N/A</v>
      </c>
      <c r="AI434" t="e">
        <f>VLOOKUP($AC434,'oddspedia-matches'!$A:$AD,AI$2,0)</f>
        <v>#N/A</v>
      </c>
      <c r="AJ434" t="e">
        <f>VLOOKUP($AC434,'oddspedia-matches'!$A:$AD,AJ$2,0)</f>
        <v>#N/A</v>
      </c>
      <c r="AK434" t="e">
        <f>VLOOKUP($AC434,'oddspedia-matches'!$A:$AD,AK$2,0)</f>
        <v>#N/A</v>
      </c>
      <c r="AL434" t="e">
        <f>VLOOKUP($AC434,'oddspedia-matches'!$A:$AD,AL$2,0)</f>
        <v>#N/A</v>
      </c>
      <c r="AM434" t="e">
        <f>VLOOKUP($AC434,'oddspedia-matches'!$A:$AD,AM$2,0)</f>
        <v>#N/A</v>
      </c>
      <c r="AN434" t="e">
        <f>VLOOKUP($AC434,'oddspedia-matches'!$A:$AD,AN$2,0)</f>
        <v>#N/A</v>
      </c>
      <c r="AO434" t="e">
        <f>VLOOKUP($AC434,'oddspedia-matches'!$A:$AD,AO$2,0)</f>
        <v>#N/A</v>
      </c>
      <c r="AP434" t="e">
        <f>VLOOKUP($AC434,'oddspedia-matches'!$A:$AD,AP$2,0)</f>
        <v>#N/A</v>
      </c>
      <c r="AQ434" t="e">
        <f>VLOOKUP($AC434,'oddspedia-matches'!$A:$AD,AQ$2,0)</f>
        <v>#N/A</v>
      </c>
      <c r="AR434" t="e">
        <f>VLOOKUP($AC434,'oddspedia-matches'!$A:$AD,AR$2,0)</f>
        <v>#N/A</v>
      </c>
      <c r="AS434" t="e">
        <f>VLOOKUP($AC434,'oddspedia-matches'!$A:$AD,AS$2,0)</f>
        <v>#N/A</v>
      </c>
      <c r="AT434" t="e">
        <f>VLOOKUP($AC434,'oddspedia-matches'!$A:$AD,AT$2,0)</f>
        <v>#N/A</v>
      </c>
    </row>
    <row r="435" spans="2:46" x14ac:dyDescent="0.25">
      <c r="B435" t="s">
        <v>1123</v>
      </c>
      <c r="C435" t="s">
        <v>948</v>
      </c>
      <c r="D435" s="25">
        <v>0.64583333333333337</v>
      </c>
      <c r="E435" t="s">
        <v>1151</v>
      </c>
      <c r="F435" t="s">
        <v>1152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t="s">
        <v>22</v>
      </c>
      <c r="Y435" t="s">
        <v>22</v>
      </c>
      <c r="AA435">
        <f>VLOOKUP(E435,'Transform table'!A:B,2,0)</f>
        <v>0</v>
      </c>
      <c r="AB435" t="e">
        <f>VLOOKUP(F435,'Transform table'!A:B,2,0)</f>
        <v>#N/A</v>
      </c>
      <c r="AC435" t="e">
        <f t="shared" si="6"/>
        <v>#N/A</v>
      </c>
      <c r="AD435" t="e">
        <f>VLOOKUP($AC435,'oddspedia-matches'!$A:$AD,AD$2,0)</f>
        <v>#N/A</v>
      </c>
      <c r="AE435" t="e">
        <f>VLOOKUP($AC435,'oddspedia-matches'!$A:$AD,AE$2,0)</f>
        <v>#N/A</v>
      </c>
      <c r="AF435" t="e">
        <f>VLOOKUP($AC435,'oddspedia-matches'!$A:$AD,AF$2,0)</f>
        <v>#N/A</v>
      </c>
      <c r="AG435" t="e">
        <f>VLOOKUP($AC435,'oddspedia-matches'!$A:$AD,AG$2,0)</f>
        <v>#N/A</v>
      </c>
      <c r="AH435" t="e">
        <f>VLOOKUP($AC435,'oddspedia-matches'!$A:$AD,AH$2,0)</f>
        <v>#N/A</v>
      </c>
      <c r="AI435" t="e">
        <f>VLOOKUP($AC435,'oddspedia-matches'!$A:$AD,AI$2,0)</f>
        <v>#N/A</v>
      </c>
      <c r="AJ435" t="e">
        <f>VLOOKUP($AC435,'oddspedia-matches'!$A:$AD,AJ$2,0)</f>
        <v>#N/A</v>
      </c>
      <c r="AK435" t="e">
        <f>VLOOKUP($AC435,'oddspedia-matches'!$A:$AD,AK$2,0)</f>
        <v>#N/A</v>
      </c>
      <c r="AL435" t="e">
        <f>VLOOKUP($AC435,'oddspedia-matches'!$A:$AD,AL$2,0)</f>
        <v>#N/A</v>
      </c>
      <c r="AM435" t="e">
        <f>VLOOKUP($AC435,'oddspedia-matches'!$A:$AD,AM$2,0)</f>
        <v>#N/A</v>
      </c>
      <c r="AN435" t="e">
        <f>VLOOKUP($AC435,'oddspedia-matches'!$A:$AD,AN$2,0)</f>
        <v>#N/A</v>
      </c>
      <c r="AO435" t="e">
        <f>VLOOKUP($AC435,'oddspedia-matches'!$A:$AD,AO$2,0)</f>
        <v>#N/A</v>
      </c>
      <c r="AP435" t="e">
        <f>VLOOKUP($AC435,'oddspedia-matches'!$A:$AD,AP$2,0)</f>
        <v>#N/A</v>
      </c>
      <c r="AQ435" t="e">
        <f>VLOOKUP($AC435,'oddspedia-matches'!$A:$AD,AQ$2,0)</f>
        <v>#N/A</v>
      </c>
      <c r="AR435" t="e">
        <f>VLOOKUP($AC435,'oddspedia-matches'!$A:$AD,AR$2,0)</f>
        <v>#N/A</v>
      </c>
      <c r="AS435" t="e">
        <f>VLOOKUP($AC435,'oddspedia-matches'!$A:$AD,AS$2,0)</f>
        <v>#N/A</v>
      </c>
      <c r="AT435" t="e">
        <f>VLOOKUP($AC435,'oddspedia-matches'!$A:$AD,AT$2,0)</f>
        <v>#N/A</v>
      </c>
    </row>
    <row r="436" spans="2:46" x14ac:dyDescent="0.25">
      <c r="B436" t="s">
        <v>1123</v>
      </c>
      <c r="C436" t="s">
        <v>948</v>
      </c>
      <c r="D436" s="25">
        <v>0.64583333333333337</v>
      </c>
      <c r="E436" t="s">
        <v>1153</v>
      </c>
      <c r="F436" t="s">
        <v>1154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t="s">
        <v>22</v>
      </c>
      <c r="Y436" t="s">
        <v>22</v>
      </c>
      <c r="AA436">
        <f>VLOOKUP(E436,'Transform table'!A:B,2,0)</f>
        <v>0</v>
      </c>
      <c r="AB436" t="e">
        <f>VLOOKUP(F436,'Transform table'!A:B,2,0)</f>
        <v>#N/A</v>
      </c>
      <c r="AC436" t="e">
        <f t="shared" si="6"/>
        <v>#N/A</v>
      </c>
      <c r="AD436" t="e">
        <f>VLOOKUP($AC436,'oddspedia-matches'!$A:$AD,AD$2,0)</f>
        <v>#N/A</v>
      </c>
      <c r="AE436" t="e">
        <f>VLOOKUP($AC436,'oddspedia-matches'!$A:$AD,AE$2,0)</f>
        <v>#N/A</v>
      </c>
      <c r="AF436" t="e">
        <f>VLOOKUP($AC436,'oddspedia-matches'!$A:$AD,AF$2,0)</f>
        <v>#N/A</v>
      </c>
      <c r="AG436" t="e">
        <f>VLOOKUP($AC436,'oddspedia-matches'!$A:$AD,AG$2,0)</f>
        <v>#N/A</v>
      </c>
      <c r="AH436" t="e">
        <f>VLOOKUP($AC436,'oddspedia-matches'!$A:$AD,AH$2,0)</f>
        <v>#N/A</v>
      </c>
      <c r="AI436" t="e">
        <f>VLOOKUP($AC436,'oddspedia-matches'!$A:$AD,AI$2,0)</f>
        <v>#N/A</v>
      </c>
      <c r="AJ436" t="e">
        <f>VLOOKUP($AC436,'oddspedia-matches'!$A:$AD,AJ$2,0)</f>
        <v>#N/A</v>
      </c>
      <c r="AK436" t="e">
        <f>VLOOKUP($AC436,'oddspedia-matches'!$A:$AD,AK$2,0)</f>
        <v>#N/A</v>
      </c>
      <c r="AL436" t="e">
        <f>VLOOKUP($AC436,'oddspedia-matches'!$A:$AD,AL$2,0)</f>
        <v>#N/A</v>
      </c>
      <c r="AM436" t="e">
        <f>VLOOKUP($AC436,'oddspedia-matches'!$A:$AD,AM$2,0)</f>
        <v>#N/A</v>
      </c>
      <c r="AN436" t="e">
        <f>VLOOKUP($AC436,'oddspedia-matches'!$A:$AD,AN$2,0)</f>
        <v>#N/A</v>
      </c>
      <c r="AO436" t="e">
        <f>VLOOKUP($AC436,'oddspedia-matches'!$A:$AD,AO$2,0)</f>
        <v>#N/A</v>
      </c>
      <c r="AP436" t="e">
        <f>VLOOKUP($AC436,'oddspedia-matches'!$A:$AD,AP$2,0)</f>
        <v>#N/A</v>
      </c>
      <c r="AQ436" t="e">
        <f>VLOOKUP($AC436,'oddspedia-matches'!$A:$AD,AQ$2,0)</f>
        <v>#N/A</v>
      </c>
      <c r="AR436" t="e">
        <f>VLOOKUP($AC436,'oddspedia-matches'!$A:$AD,AR$2,0)</f>
        <v>#N/A</v>
      </c>
      <c r="AS436" t="e">
        <f>VLOOKUP($AC436,'oddspedia-matches'!$A:$AD,AS$2,0)</f>
        <v>#N/A</v>
      </c>
      <c r="AT436" t="e">
        <f>VLOOKUP($AC436,'oddspedia-matches'!$A:$AD,AT$2,0)</f>
        <v>#N/A</v>
      </c>
    </row>
    <row r="437" spans="2:46" x14ac:dyDescent="0.25">
      <c r="B437" t="s">
        <v>665</v>
      </c>
      <c r="C437" t="s">
        <v>948</v>
      </c>
      <c r="D437" s="25">
        <v>0.66666666666666663</v>
      </c>
      <c r="E437" t="s">
        <v>1155</v>
      </c>
      <c r="F437" t="s">
        <v>340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>
        <v>20</v>
      </c>
      <c r="Y437">
        <v>22.2</v>
      </c>
      <c r="AA437" t="str">
        <f>VLOOKUP(E437,'Transform table'!A:B,2,0)</f>
        <v>Gimnasia Jujuy</v>
      </c>
      <c r="AB437" t="e">
        <f>VLOOKUP(F437,'Transform table'!A:B,2,0)</f>
        <v>#N/A</v>
      </c>
      <c r="AC437" t="e">
        <f t="shared" si="6"/>
        <v>#N/A</v>
      </c>
      <c r="AD437" t="e">
        <f>VLOOKUP($AC437,'oddspedia-matches'!$A:$AD,AD$2,0)</f>
        <v>#N/A</v>
      </c>
      <c r="AE437" t="e">
        <f>VLOOKUP($AC437,'oddspedia-matches'!$A:$AD,AE$2,0)</f>
        <v>#N/A</v>
      </c>
      <c r="AF437" t="e">
        <f>VLOOKUP($AC437,'oddspedia-matches'!$A:$AD,AF$2,0)</f>
        <v>#N/A</v>
      </c>
      <c r="AG437" t="e">
        <f>VLOOKUP($AC437,'oddspedia-matches'!$A:$AD,AG$2,0)</f>
        <v>#N/A</v>
      </c>
      <c r="AH437" t="e">
        <f>VLOOKUP($AC437,'oddspedia-matches'!$A:$AD,AH$2,0)</f>
        <v>#N/A</v>
      </c>
      <c r="AI437" t="e">
        <f>VLOOKUP($AC437,'oddspedia-matches'!$A:$AD,AI$2,0)</f>
        <v>#N/A</v>
      </c>
      <c r="AJ437" t="e">
        <f>VLOOKUP($AC437,'oddspedia-matches'!$A:$AD,AJ$2,0)</f>
        <v>#N/A</v>
      </c>
      <c r="AK437" t="e">
        <f>VLOOKUP($AC437,'oddspedia-matches'!$A:$AD,AK$2,0)</f>
        <v>#N/A</v>
      </c>
      <c r="AL437" t="e">
        <f>VLOOKUP($AC437,'oddspedia-matches'!$A:$AD,AL$2,0)</f>
        <v>#N/A</v>
      </c>
      <c r="AM437" t="e">
        <f>VLOOKUP($AC437,'oddspedia-matches'!$A:$AD,AM$2,0)</f>
        <v>#N/A</v>
      </c>
      <c r="AN437" t="e">
        <f>VLOOKUP($AC437,'oddspedia-matches'!$A:$AD,AN$2,0)</f>
        <v>#N/A</v>
      </c>
      <c r="AO437" t="e">
        <f>VLOOKUP($AC437,'oddspedia-matches'!$A:$AD,AO$2,0)</f>
        <v>#N/A</v>
      </c>
      <c r="AP437" t="e">
        <f>VLOOKUP($AC437,'oddspedia-matches'!$A:$AD,AP$2,0)</f>
        <v>#N/A</v>
      </c>
      <c r="AQ437" t="e">
        <f>VLOOKUP($AC437,'oddspedia-matches'!$A:$AD,AQ$2,0)</f>
        <v>#N/A</v>
      </c>
      <c r="AR437" t="e">
        <f>VLOOKUP($AC437,'oddspedia-matches'!$A:$AD,AR$2,0)</f>
        <v>#N/A</v>
      </c>
      <c r="AS437" t="e">
        <f>VLOOKUP($AC437,'oddspedia-matches'!$A:$AD,AS$2,0)</f>
        <v>#N/A</v>
      </c>
      <c r="AT437" t="e">
        <f>VLOOKUP($AC437,'oddspedia-matches'!$A:$AD,AT$2,0)</f>
        <v>#N/A</v>
      </c>
    </row>
    <row r="438" spans="2:46" x14ac:dyDescent="0.25">
      <c r="B438" t="s">
        <v>665</v>
      </c>
      <c r="C438" t="s">
        <v>948</v>
      </c>
      <c r="D438" s="25">
        <v>0.66666666666666663</v>
      </c>
      <c r="E438" t="s">
        <v>719</v>
      </c>
      <c r="F438" t="s">
        <v>1156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>
        <v>18.2</v>
      </c>
      <c r="Y438">
        <v>0</v>
      </c>
      <c r="AA438" t="str">
        <f>VLOOKUP(E438,'Transform table'!A:B,2,0)</f>
        <v>Ferrocarril Midland</v>
      </c>
      <c r="AB438" t="e">
        <f>VLOOKUP(F438,'Transform table'!A:B,2,0)</f>
        <v>#N/A</v>
      </c>
      <c r="AC438" t="e">
        <f t="shared" si="6"/>
        <v>#N/A</v>
      </c>
      <c r="AD438" t="e">
        <f>VLOOKUP($AC438,'oddspedia-matches'!$A:$AD,AD$2,0)</f>
        <v>#N/A</v>
      </c>
      <c r="AE438" t="e">
        <f>VLOOKUP($AC438,'oddspedia-matches'!$A:$AD,AE$2,0)</f>
        <v>#N/A</v>
      </c>
      <c r="AF438" t="e">
        <f>VLOOKUP($AC438,'oddspedia-matches'!$A:$AD,AF$2,0)</f>
        <v>#N/A</v>
      </c>
      <c r="AG438" t="e">
        <f>VLOOKUP($AC438,'oddspedia-matches'!$A:$AD,AG$2,0)</f>
        <v>#N/A</v>
      </c>
      <c r="AH438" t="e">
        <f>VLOOKUP($AC438,'oddspedia-matches'!$A:$AD,AH$2,0)</f>
        <v>#N/A</v>
      </c>
      <c r="AI438" t="e">
        <f>VLOOKUP($AC438,'oddspedia-matches'!$A:$AD,AI$2,0)</f>
        <v>#N/A</v>
      </c>
      <c r="AJ438" t="e">
        <f>VLOOKUP($AC438,'oddspedia-matches'!$A:$AD,AJ$2,0)</f>
        <v>#N/A</v>
      </c>
      <c r="AK438" t="e">
        <f>VLOOKUP($AC438,'oddspedia-matches'!$A:$AD,AK$2,0)</f>
        <v>#N/A</v>
      </c>
      <c r="AL438" t="e">
        <f>VLOOKUP($AC438,'oddspedia-matches'!$A:$AD,AL$2,0)</f>
        <v>#N/A</v>
      </c>
      <c r="AM438" t="e">
        <f>VLOOKUP($AC438,'oddspedia-matches'!$A:$AD,AM$2,0)</f>
        <v>#N/A</v>
      </c>
      <c r="AN438" t="e">
        <f>VLOOKUP($AC438,'oddspedia-matches'!$A:$AD,AN$2,0)</f>
        <v>#N/A</v>
      </c>
      <c r="AO438" t="e">
        <f>VLOOKUP($AC438,'oddspedia-matches'!$A:$AD,AO$2,0)</f>
        <v>#N/A</v>
      </c>
      <c r="AP438" t="e">
        <f>VLOOKUP($AC438,'oddspedia-matches'!$A:$AD,AP$2,0)</f>
        <v>#N/A</v>
      </c>
      <c r="AQ438" t="e">
        <f>VLOOKUP($AC438,'oddspedia-matches'!$A:$AD,AQ$2,0)</f>
        <v>#N/A</v>
      </c>
      <c r="AR438" t="e">
        <f>VLOOKUP($AC438,'oddspedia-matches'!$A:$AD,AR$2,0)</f>
        <v>#N/A</v>
      </c>
      <c r="AS438" t="e">
        <f>VLOOKUP($AC438,'oddspedia-matches'!$A:$AD,AS$2,0)</f>
        <v>#N/A</v>
      </c>
      <c r="AT438" t="e">
        <f>VLOOKUP($AC438,'oddspedia-matches'!$A:$AD,AT$2,0)</f>
        <v>#N/A</v>
      </c>
    </row>
    <row r="439" spans="2:46" x14ac:dyDescent="0.25">
      <c r="B439" t="s">
        <v>665</v>
      </c>
      <c r="C439" t="s">
        <v>948</v>
      </c>
      <c r="D439" s="25">
        <v>0.66666666666666663</v>
      </c>
      <c r="E439" t="s">
        <v>1157</v>
      </c>
      <c r="F439" t="s">
        <v>1158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t="s">
        <v>22</v>
      </c>
      <c r="Y439" t="s">
        <v>22</v>
      </c>
      <c r="AA439">
        <f>VLOOKUP(E439,'Transform table'!A:B,2,0)</f>
        <v>0</v>
      </c>
      <c r="AB439" t="e">
        <f>VLOOKUP(F439,'Transform table'!A:B,2,0)</f>
        <v>#N/A</v>
      </c>
      <c r="AC439" t="e">
        <f t="shared" si="6"/>
        <v>#N/A</v>
      </c>
      <c r="AD439" t="e">
        <f>VLOOKUP($AC439,'oddspedia-matches'!$A:$AD,AD$2,0)</f>
        <v>#N/A</v>
      </c>
      <c r="AE439" t="e">
        <f>VLOOKUP($AC439,'oddspedia-matches'!$A:$AD,AE$2,0)</f>
        <v>#N/A</v>
      </c>
      <c r="AF439" t="e">
        <f>VLOOKUP($AC439,'oddspedia-matches'!$A:$AD,AF$2,0)</f>
        <v>#N/A</v>
      </c>
      <c r="AG439" t="e">
        <f>VLOOKUP($AC439,'oddspedia-matches'!$A:$AD,AG$2,0)</f>
        <v>#N/A</v>
      </c>
      <c r="AH439" t="e">
        <f>VLOOKUP($AC439,'oddspedia-matches'!$A:$AD,AH$2,0)</f>
        <v>#N/A</v>
      </c>
      <c r="AI439" t="e">
        <f>VLOOKUP($AC439,'oddspedia-matches'!$A:$AD,AI$2,0)</f>
        <v>#N/A</v>
      </c>
      <c r="AJ439" t="e">
        <f>VLOOKUP($AC439,'oddspedia-matches'!$A:$AD,AJ$2,0)</f>
        <v>#N/A</v>
      </c>
      <c r="AK439" t="e">
        <f>VLOOKUP($AC439,'oddspedia-matches'!$A:$AD,AK$2,0)</f>
        <v>#N/A</v>
      </c>
      <c r="AL439" t="e">
        <f>VLOOKUP($AC439,'oddspedia-matches'!$A:$AD,AL$2,0)</f>
        <v>#N/A</v>
      </c>
      <c r="AM439" t="e">
        <f>VLOOKUP($AC439,'oddspedia-matches'!$A:$AD,AM$2,0)</f>
        <v>#N/A</v>
      </c>
      <c r="AN439" t="e">
        <f>VLOOKUP($AC439,'oddspedia-matches'!$A:$AD,AN$2,0)</f>
        <v>#N/A</v>
      </c>
      <c r="AO439" t="e">
        <f>VLOOKUP($AC439,'oddspedia-matches'!$A:$AD,AO$2,0)</f>
        <v>#N/A</v>
      </c>
      <c r="AP439" t="e">
        <f>VLOOKUP($AC439,'oddspedia-matches'!$A:$AD,AP$2,0)</f>
        <v>#N/A</v>
      </c>
      <c r="AQ439" t="e">
        <f>VLOOKUP($AC439,'oddspedia-matches'!$A:$AD,AQ$2,0)</f>
        <v>#N/A</v>
      </c>
      <c r="AR439" t="e">
        <f>VLOOKUP($AC439,'oddspedia-matches'!$A:$AD,AR$2,0)</f>
        <v>#N/A</v>
      </c>
      <c r="AS439" t="e">
        <f>VLOOKUP($AC439,'oddspedia-matches'!$A:$AD,AS$2,0)</f>
        <v>#N/A</v>
      </c>
      <c r="AT439" t="e">
        <f>VLOOKUP($AC439,'oddspedia-matches'!$A:$AD,AT$2,0)</f>
        <v>#N/A</v>
      </c>
    </row>
    <row r="440" spans="2:46" x14ac:dyDescent="0.25">
      <c r="B440" t="s">
        <v>665</v>
      </c>
      <c r="C440" t="s">
        <v>948</v>
      </c>
      <c r="D440" s="25">
        <v>0.66666666666666663</v>
      </c>
      <c r="E440" t="s">
        <v>329</v>
      </c>
      <c r="F440" t="s">
        <v>1159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>
        <v>11.1</v>
      </c>
      <c r="Y440">
        <v>0</v>
      </c>
      <c r="AA440" t="str">
        <f>VLOOKUP(E440,'Transform table'!A:B,2,0)</f>
        <v>Quilmes</v>
      </c>
      <c r="AB440" t="e">
        <f>VLOOKUP(F440,'Transform table'!A:B,2,0)</f>
        <v>#N/A</v>
      </c>
      <c r="AC440" t="e">
        <f t="shared" si="6"/>
        <v>#N/A</v>
      </c>
      <c r="AD440" t="e">
        <f>VLOOKUP($AC440,'oddspedia-matches'!$A:$AD,AD$2,0)</f>
        <v>#N/A</v>
      </c>
      <c r="AE440" t="e">
        <f>VLOOKUP($AC440,'oddspedia-matches'!$A:$AD,AE$2,0)</f>
        <v>#N/A</v>
      </c>
      <c r="AF440" t="e">
        <f>VLOOKUP($AC440,'oddspedia-matches'!$A:$AD,AF$2,0)</f>
        <v>#N/A</v>
      </c>
      <c r="AG440" t="e">
        <f>VLOOKUP($AC440,'oddspedia-matches'!$A:$AD,AG$2,0)</f>
        <v>#N/A</v>
      </c>
      <c r="AH440" t="e">
        <f>VLOOKUP($AC440,'oddspedia-matches'!$A:$AD,AH$2,0)</f>
        <v>#N/A</v>
      </c>
      <c r="AI440" t="e">
        <f>VLOOKUP($AC440,'oddspedia-matches'!$A:$AD,AI$2,0)</f>
        <v>#N/A</v>
      </c>
      <c r="AJ440" t="e">
        <f>VLOOKUP($AC440,'oddspedia-matches'!$A:$AD,AJ$2,0)</f>
        <v>#N/A</v>
      </c>
      <c r="AK440" t="e">
        <f>VLOOKUP($AC440,'oddspedia-matches'!$A:$AD,AK$2,0)</f>
        <v>#N/A</v>
      </c>
      <c r="AL440" t="e">
        <f>VLOOKUP($AC440,'oddspedia-matches'!$A:$AD,AL$2,0)</f>
        <v>#N/A</v>
      </c>
      <c r="AM440" t="e">
        <f>VLOOKUP($AC440,'oddspedia-matches'!$A:$AD,AM$2,0)</f>
        <v>#N/A</v>
      </c>
      <c r="AN440" t="e">
        <f>VLOOKUP($AC440,'oddspedia-matches'!$A:$AD,AN$2,0)</f>
        <v>#N/A</v>
      </c>
      <c r="AO440" t="e">
        <f>VLOOKUP($AC440,'oddspedia-matches'!$A:$AD,AO$2,0)</f>
        <v>#N/A</v>
      </c>
      <c r="AP440" t="e">
        <f>VLOOKUP($AC440,'oddspedia-matches'!$A:$AD,AP$2,0)</f>
        <v>#N/A</v>
      </c>
      <c r="AQ440" t="e">
        <f>VLOOKUP($AC440,'oddspedia-matches'!$A:$AD,AQ$2,0)</f>
        <v>#N/A</v>
      </c>
      <c r="AR440" t="e">
        <f>VLOOKUP($AC440,'oddspedia-matches'!$A:$AD,AR$2,0)</f>
        <v>#N/A</v>
      </c>
      <c r="AS440" t="e">
        <f>VLOOKUP($AC440,'oddspedia-matches'!$A:$AD,AS$2,0)</f>
        <v>#N/A</v>
      </c>
      <c r="AT440" t="e">
        <f>VLOOKUP($AC440,'oddspedia-matches'!$A:$AD,AT$2,0)</f>
        <v>#N/A</v>
      </c>
    </row>
    <row r="441" spans="2:46" x14ac:dyDescent="0.25">
      <c r="B441" t="s">
        <v>665</v>
      </c>
      <c r="C441" t="s">
        <v>948</v>
      </c>
      <c r="D441" s="25">
        <v>0.66666666666666663</v>
      </c>
      <c r="E441" t="s">
        <v>1160</v>
      </c>
      <c r="F441" t="s">
        <v>338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>
        <v>10</v>
      </c>
      <c r="Y441">
        <v>0</v>
      </c>
      <c r="AA441">
        <f>VLOOKUP(E441,'Transform table'!A:B,2,0)</f>
        <v>0</v>
      </c>
      <c r="AB441" t="e">
        <f>VLOOKUP(F441,'Transform table'!A:B,2,0)</f>
        <v>#N/A</v>
      </c>
      <c r="AC441" t="e">
        <f t="shared" si="6"/>
        <v>#N/A</v>
      </c>
      <c r="AD441" t="e">
        <f>VLOOKUP($AC441,'oddspedia-matches'!$A:$AD,AD$2,0)</f>
        <v>#N/A</v>
      </c>
      <c r="AE441" t="e">
        <f>VLOOKUP($AC441,'oddspedia-matches'!$A:$AD,AE$2,0)</f>
        <v>#N/A</v>
      </c>
      <c r="AF441" t="e">
        <f>VLOOKUP($AC441,'oddspedia-matches'!$A:$AD,AF$2,0)</f>
        <v>#N/A</v>
      </c>
      <c r="AG441" t="e">
        <f>VLOOKUP($AC441,'oddspedia-matches'!$A:$AD,AG$2,0)</f>
        <v>#N/A</v>
      </c>
      <c r="AH441" t="e">
        <f>VLOOKUP($AC441,'oddspedia-matches'!$A:$AD,AH$2,0)</f>
        <v>#N/A</v>
      </c>
      <c r="AI441" t="e">
        <f>VLOOKUP($AC441,'oddspedia-matches'!$A:$AD,AI$2,0)</f>
        <v>#N/A</v>
      </c>
      <c r="AJ441" t="e">
        <f>VLOOKUP($AC441,'oddspedia-matches'!$A:$AD,AJ$2,0)</f>
        <v>#N/A</v>
      </c>
      <c r="AK441" t="e">
        <f>VLOOKUP($AC441,'oddspedia-matches'!$A:$AD,AK$2,0)</f>
        <v>#N/A</v>
      </c>
      <c r="AL441" t="e">
        <f>VLOOKUP($AC441,'oddspedia-matches'!$A:$AD,AL$2,0)</f>
        <v>#N/A</v>
      </c>
      <c r="AM441" t="e">
        <f>VLOOKUP($AC441,'oddspedia-matches'!$A:$AD,AM$2,0)</f>
        <v>#N/A</v>
      </c>
      <c r="AN441" t="e">
        <f>VLOOKUP($AC441,'oddspedia-matches'!$A:$AD,AN$2,0)</f>
        <v>#N/A</v>
      </c>
      <c r="AO441" t="e">
        <f>VLOOKUP($AC441,'oddspedia-matches'!$A:$AD,AO$2,0)</f>
        <v>#N/A</v>
      </c>
      <c r="AP441" t="e">
        <f>VLOOKUP($AC441,'oddspedia-matches'!$A:$AD,AP$2,0)</f>
        <v>#N/A</v>
      </c>
      <c r="AQ441" t="e">
        <f>VLOOKUP($AC441,'oddspedia-matches'!$A:$AD,AQ$2,0)</f>
        <v>#N/A</v>
      </c>
      <c r="AR441" t="e">
        <f>VLOOKUP($AC441,'oddspedia-matches'!$A:$AD,AR$2,0)</f>
        <v>#N/A</v>
      </c>
      <c r="AS441" t="e">
        <f>VLOOKUP($AC441,'oddspedia-matches'!$A:$AD,AS$2,0)</f>
        <v>#N/A</v>
      </c>
      <c r="AT441" t="e">
        <f>VLOOKUP($AC441,'oddspedia-matches'!$A:$AD,AT$2,0)</f>
        <v>#N/A</v>
      </c>
    </row>
    <row r="442" spans="2:46" x14ac:dyDescent="0.25">
      <c r="B442" t="s">
        <v>475</v>
      </c>
      <c r="C442" t="s">
        <v>948</v>
      </c>
      <c r="D442" s="25">
        <v>0.66666666666666663</v>
      </c>
      <c r="E442" t="s">
        <v>268</v>
      </c>
      <c r="F442" t="s">
        <v>1161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>
        <v>0</v>
      </c>
      <c r="Y442">
        <v>0</v>
      </c>
      <c r="AA442" t="str">
        <f>VLOOKUP(E442,'Transform table'!A:B,2,0)</f>
        <v>Nacional Potosi</v>
      </c>
      <c r="AB442" t="e">
        <f>VLOOKUP(F442,'Transform table'!A:B,2,0)</f>
        <v>#N/A</v>
      </c>
      <c r="AC442" t="e">
        <f t="shared" si="6"/>
        <v>#N/A</v>
      </c>
      <c r="AD442" t="e">
        <f>VLOOKUP($AC442,'oddspedia-matches'!$A:$AD,AD$2,0)</f>
        <v>#N/A</v>
      </c>
      <c r="AE442" t="e">
        <f>VLOOKUP($AC442,'oddspedia-matches'!$A:$AD,AE$2,0)</f>
        <v>#N/A</v>
      </c>
      <c r="AF442" t="e">
        <f>VLOOKUP($AC442,'oddspedia-matches'!$A:$AD,AF$2,0)</f>
        <v>#N/A</v>
      </c>
      <c r="AG442" t="e">
        <f>VLOOKUP($AC442,'oddspedia-matches'!$A:$AD,AG$2,0)</f>
        <v>#N/A</v>
      </c>
      <c r="AH442" t="e">
        <f>VLOOKUP($AC442,'oddspedia-matches'!$A:$AD,AH$2,0)</f>
        <v>#N/A</v>
      </c>
      <c r="AI442" t="e">
        <f>VLOOKUP($AC442,'oddspedia-matches'!$A:$AD,AI$2,0)</f>
        <v>#N/A</v>
      </c>
      <c r="AJ442" t="e">
        <f>VLOOKUP($AC442,'oddspedia-matches'!$A:$AD,AJ$2,0)</f>
        <v>#N/A</v>
      </c>
      <c r="AK442" t="e">
        <f>VLOOKUP($AC442,'oddspedia-matches'!$A:$AD,AK$2,0)</f>
        <v>#N/A</v>
      </c>
      <c r="AL442" t="e">
        <f>VLOOKUP($AC442,'oddspedia-matches'!$A:$AD,AL$2,0)</f>
        <v>#N/A</v>
      </c>
      <c r="AM442" t="e">
        <f>VLOOKUP($AC442,'oddspedia-matches'!$A:$AD,AM$2,0)</f>
        <v>#N/A</v>
      </c>
      <c r="AN442" t="e">
        <f>VLOOKUP($AC442,'oddspedia-matches'!$A:$AD,AN$2,0)</f>
        <v>#N/A</v>
      </c>
      <c r="AO442" t="e">
        <f>VLOOKUP($AC442,'oddspedia-matches'!$A:$AD,AO$2,0)</f>
        <v>#N/A</v>
      </c>
      <c r="AP442" t="e">
        <f>VLOOKUP($AC442,'oddspedia-matches'!$A:$AD,AP$2,0)</f>
        <v>#N/A</v>
      </c>
      <c r="AQ442" t="e">
        <f>VLOOKUP($AC442,'oddspedia-matches'!$A:$AD,AQ$2,0)</f>
        <v>#N/A</v>
      </c>
      <c r="AR442" t="e">
        <f>VLOOKUP($AC442,'oddspedia-matches'!$A:$AD,AR$2,0)</f>
        <v>#N/A</v>
      </c>
      <c r="AS442" t="e">
        <f>VLOOKUP($AC442,'oddspedia-matches'!$A:$AD,AS$2,0)</f>
        <v>#N/A</v>
      </c>
      <c r="AT442" t="e">
        <f>VLOOKUP($AC442,'oddspedia-matches'!$A:$AD,AT$2,0)</f>
        <v>#N/A</v>
      </c>
    </row>
    <row r="443" spans="2:46" x14ac:dyDescent="0.25">
      <c r="B443" t="s">
        <v>472</v>
      </c>
      <c r="C443" t="s">
        <v>948</v>
      </c>
      <c r="D443" s="25">
        <v>0.66666666666666663</v>
      </c>
      <c r="E443" t="s">
        <v>233</v>
      </c>
      <c r="F443" t="s">
        <v>112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>
        <v>20</v>
      </c>
      <c r="Y443">
        <v>33.299999999999997</v>
      </c>
      <c r="AA443" t="str">
        <f>VLOOKUP(E443,'Transform table'!A:B,2,0)</f>
        <v>Bahia</v>
      </c>
      <c r="AB443" t="str">
        <f>VLOOKUP(F443,'Transform table'!A:B,2,0)</f>
        <v>Corinthians</v>
      </c>
      <c r="AC443" t="str">
        <f t="shared" si="6"/>
        <v>26/07/2026BahiaCorinthians</v>
      </c>
      <c r="AD443" t="e">
        <f>VLOOKUP($AC443,'oddspedia-matches'!$A:$AD,AD$2,0)</f>
        <v>#N/A</v>
      </c>
      <c r="AE443" t="e">
        <f>VLOOKUP($AC443,'oddspedia-matches'!$A:$AD,AE$2,0)</f>
        <v>#N/A</v>
      </c>
      <c r="AF443" t="e">
        <f>VLOOKUP($AC443,'oddspedia-matches'!$A:$AD,AF$2,0)</f>
        <v>#N/A</v>
      </c>
      <c r="AG443" t="e">
        <f>VLOOKUP($AC443,'oddspedia-matches'!$A:$AD,AG$2,0)</f>
        <v>#N/A</v>
      </c>
      <c r="AH443" t="e">
        <f>VLOOKUP($AC443,'oddspedia-matches'!$A:$AD,AH$2,0)</f>
        <v>#N/A</v>
      </c>
      <c r="AI443" t="e">
        <f>VLOOKUP($AC443,'oddspedia-matches'!$A:$AD,AI$2,0)</f>
        <v>#N/A</v>
      </c>
      <c r="AJ443" t="e">
        <f>VLOOKUP($AC443,'oddspedia-matches'!$A:$AD,AJ$2,0)</f>
        <v>#N/A</v>
      </c>
      <c r="AK443" t="e">
        <f>VLOOKUP($AC443,'oddspedia-matches'!$A:$AD,AK$2,0)</f>
        <v>#N/A</v>
      </c>
      <c r="AL443" t="e">
        <f>VLOOKUP($AC443,'oddspedia-matches'!$A:$AD,AL$2,0)</f>
        <v>#N/A</v>
      </c>
      <c r="AM443" t="e">
        <f>VLOOKUP($AC443,'oddspedia-matches'!$A:$AD,AM$2,0)</f>
        <v>#N/A</v>
      </c>
      <c r="AN443" t="e">
        <f>VLOOKUP($AC443,'oddspedia-matches'!$A:$AD,AN$2,0)</f>
        <v>#N/A</v>
      </c>
      <c r="AO443" t="e">
        <f>VLOOKUP($AC443,'oddspedia-matches'!$A:$AD,AO$2,0)</f>
        <v>#N/A</v>
      </c>
      <c r="AP443" t="e">
        <f>VLOOKUP($AC443,'oddspedia-matches'!$A:$AD,AP$2,0)</f>
        <v>#N/A</v>
      </c>
      <c r="AQ443" t="e">
        <f>VLOOKUP($AC443,'oddspedia-matches'!$A:$AD,AQ$2,0)</f>
        <v>#N/A</v>
      </c>
      <c r="AR443" t="e">
        <f>VLOOKUP($AC443,'oddspedia-matches'!$A:$AD,AR$2,0)</f>
        <v>#N/A</v>
      </c>
      <c r="AS443" t="e">
        <f>VLOOKUP($AC443,'oddspedia-matches'!$A:$AD,AS$2,0)</f>
        <v>#N/A</v>
      </c>
      <c r="AT443" t="e">
        <f>VLOOKUP($AC443,'oddspedia-matches'!$A:$AD,AT$2,0)</f>
        <v>#N/A</v>
      </c>
    </row>
    <row r="444" spans="2:46" x14ac:dyDescent="0.25">
      <c r="B444" t="s">
        <v>472</v>
      </c>
      <c r="C444" t="s">
        <v>948</v>
      </c>
      <c r="D444" s="25">
        <v>0.66666666666666663</v>
      </c>
      <c r="E444" t="s">
        <v>70</v>
      </c>
      <c r="F444" t="s">
        <v>110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>
        <v>30</v>
      </c>
      <c r="Y444">
        <v>60</v>
      </c>
      <c r="AA444" t="str">
        <f>VLOOKUP(E444,'Transform table'!A:B,2,0)</f>
        <v>Cruzeiro</v>
      </c>
      <c r="AB444" t="str">
        <f>VLOOKUP(F444,'Transform table'!A:B,2,0)</f>
        <v>Botafogo RJ</v>
      </c>
      <c r="AC444" t="str">
        <f t="shared" si="6"/>
        <v>26/07/2026CruzeiroBotafogo RJ</v>
      </c>
      <c r="AD444" t="e">
        <f>VLOOKUP($AC444,'oddspedia-matches'!$A:$AD,AD$2,0)</f>
        <v>#N/A</v>
      </c>
      <c r="AE444" t="e">
        <f>VLOOKUP($AC444,'oddspedia-matches'!$A:$AD,AE$2,0)</f>
        <v>#N/A</v>
      </c>
      <c r="AF444" t="e">
        <f>VLOOKUP($AC444,'oddspedia-matches'!$A:$AD,AF$2,0)</f>
        <v>#N/A</v>
      </c>
      <c r="AG444" t="e">
        <f>VLOOKUP($AC444,'oddspedia-matches'!$A:$AD,AG$2,0)</f>
        <v>#N/A</v>
      </c>
      <c r="AH444" t="e">
        <f>VLOOKUP($AC444,'oddspedia-matches'!$A:$AD,AH$2,0)</f>
        <v>#N/A</v>
      </c>
      <c r="AI444" t="e">
        <f>VLOOKUP($AC444,'oddspedia-matches'!$A:$AD,AI$2,0)</f>
        <v>#N/A</v>
      </c>
      <c r="AJ444" t="e">
        <f>VLOOKUP($AC444,'oddspedia-matches'!$A:$AD,AJ$2,0)</f>
        <v>#N/A</v>
      </c>
      <c r="AK444" t="e">
        <f>VLOOKUP($AC444,'oddspedia-matches'!$A:$AD,AK$2,0)</f>
        <v>#N/A</v>
      </c>
      <c r="AL444" t="e">
        <f>VLOOKUP($AC444,'oddspedia-matches'!$A:$AD,AL$2,0)</f>
        <v>#N/A</v>
      </c>
      <c r="AM444" t="e">
        <f>VLOOKUP($AC444,'oddspedia-matches'!$A:$AD,AM$2,0)</f>
        <v>#N/A</v>
      </c>
      <c r="AN444" t="e">
        <f>VLOOKUP($AC444,'oddspedia-matches'!$A:$AD,AN$2,0)</f>
        <v>#N/A</v>
      </c>
      <c r="AO444" t="e">
        <f>VLOOKUP($AC444,'oddspedia-matches'!$A:$AD,AO$2,0)</f>
        <v>#N/A</v>
      </c>
      <c r="AP444" t="e">
        <f>VLOOKUP($AC444,'oddspedia-matches'!$A:$AD,AP$2,0)</f>
        <v>#N/A</v>
      </c>
      <c r="AQ444" t="e">
        <f>VLOOKUP($AC444,'oddspedia-matches'!$A:$AD,AQ$2,0)</f>
        <v>#N/A</v>
      </c>
      <c r="AR444" t="e">
        <f>VLOOKUP($AC444,'oddspedia-matches'!$A:$AD,AR$2,0)</f>
        <v>#N/A</v>
      </c>
      <c r="AS444" t="e">
        <f>VLOOKUP($AC444,'oddspedia-matches'!$A:$AD,AS$2,0)</f>
        <v>#N/A</v>
      </c>
      <c r="AT444" t="e">
        <f>VLOOKUP($AC444,'oddspedia-matches'!$A:$AD,AT$2,0)</f>
        <v>#N/A</v>
      </c>
    </row>
    <row r="445" spans="2:46" x14ac:dyDescent="0.25">
      <c r="B445" t="s">
        <v>473</v>
      </c>
      <c r="C445" t="s">
        <v>948</v>
      </c>
      <c r="D445" s="25">
        <v>0.66666666666666663</v>
      </c>
      <c r="E445" t="s">
        <v>237</v>
      </c>
      <c r="F445" t="s">
        <v>73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>
        <v>44.4</v>
      </c>
      <c r="Y445">
        <v>30</v>
      </c>
      <c r="AA445" t="str">
        <f>VLOOKUP(E445,'Transform table'!A:B,2,0)</f>
        <v>Criciuma</v>
      </c>
      <c r="AB445" t="str">
        <f>VLOOKUP(F445,'Transform table'!A:B,2,0)</f>
        <v>Nautico</v>
      </c>
      <c r="AC445" t="str">
        <f t="shared" si="6"/>
        <v>26/07/2026CriciumaNautico</v>
      </c>
      <c r="AD445" t="e">
        <f>VLOOKUP($AC445,'oddspedia-matches'!$A:$AD,AD$2,0)</f>
        <v>#N/A</v>
      </c>
      <c r="AE445" t="e">
        <f>VLOOKUP($AC445,'oddspedia-matches'!$A:$AD,AE$2,0)</f>
        <v>#N/A</v>
      </c>
      <c r="AF445" t="e">
        <f>VLOOKUP($AC445,'oddspedia-matches'!$A:$AD,AF$2,0)</f>
        <v>#N/A</v>
      </c>
      <c r="AG445" t="e">
        <f>VLOOKUP($AC445,'oddspedia-matches'!$A:$AD,AG$2,0)</f>
        <v>#N/A</v>
      </c>
      <c r="AH445" t="e">
        <f>VLOOKUP($AC445,'oddspedia-matches'!$A:$AD,AH$2,0)</f>
        <v>#N/A</v>
      </c>
      <c r="AI445" t="e">
        <f>VLOOKUP($AC445,'oddspedia-matches'!$A:$AD,AI$2,0)</f>
        <v>#N/A</v>
      </c>
      <c r="AJ445" t="e">
        <f>VLOOKUP($AC445,'oddspedia-matches'!$A:$AD,AJ$2,0)</f>
        <v>#N/A</v>
      </c>
      <c r="AK445" t="e">
        <f>VLOOKUP($AC445,'oddspedia-matches'!$A:$AD,AK$2,0)</f>
        <v>#N/A</v>
      </c>
      <c r="AL445" t="e">
        <f>VLOOKUP($AC445,'oddspedia-matches'!$A:$AD,AL$2,0)</f>
        <v>#N/A</v>
      </c>
      <c r="AM445" t="e">
        <f>VLOOKUP($AC445,'oddspedia-matches'!$A:$AD,AM$2,0)</f>
        <v>#N/A</v>
      </c>
      <c r="AN445" t="e">
        <f>VLOOKUP($AC445,'oddspedia-matches'!$A:$AD,AN$2,0)</f>
        <v>#N/A</v>
      </c>
      <c r="AO445" t="e">
        <f>VLOOKUP($AC445,'oddspedia-matches'!$A:$AD,AO$2,0)</f>
        <v>#N/A</v>
      </c>
      <c r="AP445" t="e">
        <f>VLOOKUP($AC445,'oddspedia-matches'!$A:$AD,AP$2,0)</f>
        <v>#N/A</v>
      </c>
      <c r="AQ445" t="e">
        <f>VLOOKUP($AC445,'oddspedia-matches'!$A:$AD,AQ$2,0)</f>
        <v>#N/A</v>
      </c>
      <c r="AR445" t="e">
        <f>VLOOKUP($AC445,'oddspedia-matches'!$A:$AD,AR$2,0)</f>
        <v>#N/A</v>
      </c>
      <c r="AS445" t="e">
        <f>VLOOKUP($AC445,'oddspedia-matches'!$A:$AD,AS$2,0)</f>
        <v>#N/A</v>
      </c>
      <c r="AT445" t="e">
        <f>VLOOKUP($AC445,'oddspedia-matches'!$A:$AD,AT$2,0)</f>
        <v>#N/A</v>
      </c>
    </row>
    <row r="446" spans="2:46" x14ac:dyDescent="0.25">
      <c r="B446" t="s">
        <v>473</v>
      </c>
      <c r="C446" t="s">
        <v>948</v>
      </c>
      <c r="D446" s="25">
        <v>0.66666666666666663</v>
      </c>
      <c r="E446" t="s">
        <v>115</v>
      </c>
      <c r="F446" t="s">
        <v>43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>
        <v>30</v>
      </c>
      <c r="Y446">
        <v>11.1</v>
      </c>
      <c r="AA446" t="str">
        <f>VLOOKUP(E446,'Transform table'!A:B,2,0)</f>
        <v>Sao Bernardo FC SP</v>
      </c>
      <c r="AB446" t="str">
        <f>VLOOKUP(F446,'Transform table'!A:B,2,0)</f>
        <v>Ceara</v>
      </c>
      <c r="AC446" t="str">
        <f t="shared" si="6"/>
        <v>26/07/2026Sao Bernardo FC SPCeara</v>
      </c>
      <c r="AD446" t="e">
        <f>VLOOKUP($AC446,'oddspedia-matches'!$A:$AD,AD$2,0)</f>
        <v>#N/A</v>
      </c>
      <c r="AE446" t="e">
        <f>VLOOKUP($AC446,'oddspedia-matches'!$A:$AD,AE$2,0)</f>
        <v>#N/A</v>
      </c>
      <c r="AF446" t="e">
        <f>VLOOKUP($AC446,'oddspedia-matches'!$A:$AD,AF$2,0)</f>
        <v>#N/A</v>
      </c>
      <c r="AG446" t="e">
        <f>VLOOKUP($AC446,'oddspedia-matches'!$A:$AD,AG$2,0)</f>
        <v>#N/A</v>
      </c>
      <c r="AH446" t="e">
        <f>VLOOKUP($AC446,'oddspedia-matches'!$A:$AD,AH$2,0)</f>
        <v>#N/A</v>
      </c>
      <c r="AI446" t="e">
        <f>VLOOKUP($AC446,'oddspedia-matches'!$A:$AD,AI$2,0)</f>
        <v>#N/A</v>
      </c>
      <c r="AJ446" t="e">
        <f>VLOOKUP($AC446,'oddspedia-matches'!$A:$AD,AJ$2,0)</f>
        <v>#N/A</v>
      </c>
      <c r="AK446" t="e">
        <f>VLOOKUP($AC446,'oddspedia-matches'!$A:$AD,AK$2,0)</f>
        <v>#N/A</v>
      </c>
      <c r="AL446" t="e">
        <f>VLOOKUP($AC446,'oddspedia-matches'!$A:$AD,AL$2,0)</f>
        <v>#N/A</v>
      </c>
      <c r="AM446" t="e">
        <f>VLOOKUP($AC446,'oddspedia-matches'!$A:$AD,AM$2,0)</f>
        <v>#N/A</v>
      </c>
      <c r="AN446" t="e">
        <f>VLOOKUP($AC446,'oddspedia-matches'!$A:$AD,AN$2,0)</f>
        <v>#N/A</v>
      </c>
      <c r="AO446" t="e">
        <f>VLOOKUP($AC446,'oddspedia-matches'!$A:$AD,AO$2,0)</f>
        <v>#N/A</v>
      </c>
      <c r="AP446" t="e">
        <f>VLOOKUP($AC446,'oddspedia-matches'!$A:$AD,AP$2,0)</f>
        <v>#N/A</v>
      </c>
      <c r="AQ446" t="e">
        <f>VLOOKUP($AC446,'oddspedia-matches'!$A:$AD,AQ$2,0)</f>
        <v>#N/A</v>
      </c>
      <c r="AR446" t="e">
        <f>VLOOKUP($AC446,'oddspedia-matches'!$A:$AD,AR$2,0)</f>
        <v>#N/A</v>
      </c>
      <c r="AS446" t="e">
        <f>VLOOKUP($AC446,'oddspedia-matches'!$A:$AD,AS$2,0)</f>
        <v>#N/A</v>
      </c>
      <c r="AT446" t="e">
        <f>VLOOKUP($AC446,'oddspedia-matches'!$A:$AD,AT$2,0)</f>
        <v>#N/A</v>
      </c>
    </row>
    <row r="447" spans="2:46" x14ac:dyDescent="0.25">
      <c r="B447" t="s">
        <v>746</v>
      </c>
      <c r="C447" t="s">
        <v>948</v>
      </c>
      <c r="D447" s="25">
        <v>0.66666666666666663</v>
      </c>
      <c r="E447" t="s">
        <v>1162</v>
      </c>
      <c r="F447" t="s">
        <v>1163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>
        <v>14.3</v>
      </c>
      <c r="Y447">
        <v>14.3</v>
      </c>
      <c r="AA447" t="str">
        <f>VLOOKUP(E447,'Transform table'!A:B,2,0)</f>
        <v>Brest</v>
      </c>
      <c r="AB447" t="e">
        <f>VLOOKUP(F447,'Transform table'!A:B,2,0)</f>
        <v>#N/A</v>
      </c>
      <c r="AC447" t="e">
        <f t="shared" si="6"/>
        <v>#N/A</v>
      </c>
      <c r="AD447" t="e">
        <f>VLOOKUP($AC447,'oddspedia-matches'!$A:$AD,AD$2,0)</f>
        <v>#N/A</v>
      </c>
      <c r="AE447" t="e">
        <f>VLOOKUP($AC447,'oddspedia-matches'!$A:$AD,AE$2,0)</f>
        <v>#N/A</v>
      </c>
      <c r="AF447" t="e">
        <f>VLOOKUP($AC447,'oddspedia-matches'!$A:$AD,AF$2,0)</f>
        <v>#N/A</v>
      </c>
      <c r="AG447" t="e">
        <f>VLOOKUP($AC447,'oddspedia-matches'!$A:$AD,AG$2,0)</f>
        <v>#N/A</v>
      </c>
      <c r="AH447" t="e">
        <f>VLOOKUP($AC447,'oddspedia-matches'!$A:$AD,AH$2,0)</f>
        <v>#N/A</v>
      </c>
      <c r="AI447" t="e">
        <f>VLOOKUP($AC447,'oddspedia-matches'!$A:$AD,AI$2,0)</f>
        <v>#N/A</v>
      </c>
      <c r="AJ447" t="e">
        <f>VLOOKUP($AC447,'oddspedia-matches'!$A:$AD,AJ$2,0)</f>
        <v>#N/A</v>
      </c>
      <c r="AK447" t="e">
        <f>VLOOKUP($AC447,'oddspedia-matches'!$A:$AD,AK$2,0)</f>
        <v>#N/A</v>
      </c>
      <c r="AL447" t="e">
        <f>VLOOKUP($AC447,'oddspedia-matches'!$A:$AD,AL$2,0)</f>
        <v>#N/A</v>
      </c>
      <c r="AM447" t="e">
        <f>VLOOKUP($AC447,'oddspedia-matches'!$A:$AD,AM$2,0)</f>
        <v>#N/A</v>
      </c>
      <c r="AN447" t="e">
        <f>VLOOKUP($AC447,'oddspedia-matches'!$A:$AD,AN$2,0)</f>
        <v>#N/A</v>
      </c>
      <c r="AO447" t="e">
        <f>VLOOKUP($AC447,'oddspedia-matches'!$A:$AD,AO$2,0)</f>
        <v>#N/A</v>
      </c>
      <c r="AP447" t="e">
        <f>VLOOKUP($AC447,'oddspedia-matches'!$A:$AD,AP$2,0)</f>
        <v>#N/A</v>
      </c>
      <c r="AQ447" t="e">
        <f>VLOOKUP($AC447,'oddspedia-matches'!$A:$AD,AQ$2,0)</f>
        <v>#N/A</v>
      </c>
      <c r="AR447" t="e">
        <f>VLOOKUP($AC447,'oddspedia-matches'!$A:$AD,AR$2,0)</f>
        <v>#N/A</v>
      </c>
      <c r="AS447" t="e">
        <f>VLOOKUP($AC447,'oddspedia-matches'!$A:$AD,AS$2,0)</f>
        <v>#N/A</v>
      </c>
      <c r="AT447" t="e">
        <f>VLOOKUP($AC447,'oddspedia-matches'!$A:$AD,AT$2,0)</f>
        <v>#N/A</v>
      </c>
    </row>
    <row r="448" spans="2:46" x14ac:dyDescent="0.25">
      <c r="B448" t="s">
        <v>746</v>
      </c>
      <c r="C448" t="s">
        <v>948</v>
      </c>
      <c r="D448" s="25">
        <v>0.66666666666666663</v>
      </c>
      <c r="E448" t="s">
        <v>1164</v>
      </c>
      <c r="F448" t="s">
        <v>1165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>
        <v>0</v>
      </c>
      <c r="Y448">
        <v>0</v>
      </c>
      <c r="AA448" t="str">
        <f>VLOOKUP(E448,'Transform table'!A:B,2,0)</f>
        <v>YPA</v>
      </c>
      <c r="AB448" t="e">
        <f>VLOOKUP(F448,'Transform table'!A:B,2,0)</f>
        <v>#N/A</v>
      </c>
      <c r="AC448" t="e">
        <f t="shared" si="6"/>
        <v>#N/A</v>
      </c>
      <c r="AD448" t="e">
        <f>VLOOKUP($AC448,'oddspedia-matches'!$A:$AD,AD$2,0)</f>
        <v>#N/A</v>
      </c>
      <c r="AE448" t="e">
        <f>VLOOKUP($AC448,'oddspedia-matches'!$A:$AD,AE$2,0)</f>
        <v>#N/A</v>
      </c>
      <c r="AF448" t="e">
        <f>VLOOKUP($AC448,'oddspedia-matches'!$A:$AD,AF$2,0)</f>
        <v>#N/A</v>
      </c>
      <c r="AG448" t="e">
        <f>VLOOKUP($AC448,'oddspedia-matches'!$A:$AD,AG$2,0)</f>
        <v>#N/A</v>
      </c>
      <c r="AH448" t="e">
        <f>VLOOKUP($AC448,'oddspedia-matches'!$A:$AD,AH$2,0)</f>
        <v>#N/A</v>
      </c>
      <c r="AI448" t="e">
        <f>VLOOKUP($AC448,'oddspedia-matches'!$A:$AD,AI$2,0)</f>
        <v>#N/A</v>
      </c>
      <c r="AJ448" t="e">
        <f>VLOOKUP($AC448,'oddspedia-matches'!$A:$AD,AJ$2,0)</f>
        <v>#N/A</v>
      </c>
      <c r="AK448" t="e">
        <f>VLOOKUP($AC448,'oddspedia-matches'!$A:$AD,AK$2,0)</f>
        <v>#N/A</v>
      </c>
      <c r="AL448" t="e">
        <f>VLOOKUP($AC448,'oddspedia-matches'!$A:$AD,AL$2,0)</f>
        <v>#N/A</v>
      </c>
      <c r="AM448" t="e">
        <f>VLOOKUP($AC448,'oddspedia-matches'!$A:$AD,AM$2,0)</f>
        <v>#N/A</v>
      </c>
      <c r="AN448" t="e">
        <f>VLOOKUP($AC448,'oddspedia-matches'!$A:$AD,AN$2,0)</f>
        <v>#N/A</v>
      </c>
      <c r="AO448" t="e">
        <f>VLOOKUP($AC448,'oddspedia-matches'!$A:$AD,AO$2,0)</f>
        <v>#N/A</v>
      </c>
      <c r="AP448" t="e">
        <f>VLOOKUP($AC448,'oddspedia-matches'!$A:$AD,AP$2,0)</f>
        <v>#N/A</v>
      </c>
      <c r="AQ448" t="e">
        <f>VLOOKUP($AC448,'oddspedia-matches'!$A:$AD,AQ$2,0)</f>
        <v>#N/A</v>
      </c>
      <c r="AR448" t="e">
        <f>VLOOKUP($AC448,'oddspedia-matches'!$A:$AD,AR$2,0)</f>
        <v>#N/A</v>
      </c>
      <c r="AS448" t="e">
        <f>VLOOKUP($AC448,'oddspedia-matches'!$A:$AD,AS$2,0)</f>
        <v>#N/A</v>
      </c>
      <c r="AT448" t="e">
        <f>VLOOKUP($AC448,'oddspedia-matches'!$A:$AD,AT$2,0)</f>
        <v>#N/A</v>
      </c>
    </row>
    <row r="449" spans="2:46" x14ac:dyDescent="0.25">
      <c r="B449" t="s">
        <v>703</v>
      </c>
      <c r="C449" t="s">
        <v>948</v>
      </c>
      <c r="D449" s="25">
        <v>0.66666666666666663</v>
      </c>
      <c r="E449" t="s">
        <v>1166</v>
      </c>
      <c r="F449" t="s">
        <v>1167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">
        <v>22</v>
      </c>
      <c r="Y449" t="s">
        <v>22</v>
      </c>
      <c r="AA449" t="str">
        <f>VLOOKUP(E449,'Transform table'!A:B,2,0)</f>
        <v>CSKA</v>
      </c>
      <c r="AB449" t="e">
        <f>VLOOKUP(F449,'Transform table'!A:B,2,0)</f>
        <v>#N/A</v>
      </c>
      <c r="AC449" t="e">
        <f t="shared" si="6"/>
        <v>#N/A</v>
      </c>
      <c r="AD449" t="e">
        <f>VLOOKUP($AC449,'oddspedia-matches'!$A:$AD,AD$2,0)</f>
        <v>#N/A</v>
      </c>
      <c r="AE449" t="e">
        <f>VLOOKUP($AC449,'oddspedia-matches'!$A:$AD,AE$2,0)</f>
        <v>#N/A</v>
      </c>
      <c r="AF449" t="e">
        <f>VLOOKUP($AC449,'oddspedia-matches'!$A:$AD,AF$2,0)</f>
        <v>#N/A</v>
      </c>
      <c r="AG449" t="e">
        <f>VLOOKUP($AC449,'oddspedia-matches'!$A:$AD,AG$2,0)</f>
        <v>#N/A</v>
      </c>
      <c r="AH449" t="e">
        <f>VLOOKUP($AC449,'oddspedia-matches'!$A:$AD,AH$2,0)</f>
        <v>#N/A</v>
      </c>
      <c r="AI449" t="e">
        <f>VLOOKUP($AC449,'oddspedia-matches'!$A:$AD,AI$2,0)</f>
        <v>#N/A</v>
      </c>
      <c r="AJ449" t="e">
        <f>VLOOKUP($AC449,'oddspedia-matches'!$A:$AD,AJ$2,0)</f>
        <v>#N/A</v>
      </c>
      <c r="AK449" t="e">
        <f>VLOOKUP($AC449,'oddspedia-matches'!$A:$AD,AK$2,0)</f>
        <v>#N/A</v>
      </c>
      <c r="AL449" t="e">
        <f>VLOOKUP($AC449,'oddspedia-matches'!$A:$AD,AL$2,0)</f>
        <v>#N/A</v>
      </c>
      <c r="AM449" t="e">
        <f>VLOOKUP($AC449,'oddspedia-matches'!$A:$AD,AM$2,0)</f>
        <v>#N/A</v>
      </c>
      <c r="AN449" t="e">
        <f>VLOOKUP($AC449,'oddspedia-matches'!$A:$AD,AN$2,0)</f>
        <v>#N/A</v>
      </c>
      <c r="AO449" t="e">
        <f>VLOOKUP($AC449,'oddspedia-matches'!$A:$AD,AO$2,0)</f>
        <v>#N/A</v>
      </c>
      <c r="AP449" t="e">
        <f>VLOOKUP($AC449,'oddspedia-matches'!$A:$AD,AP$2,0)</f>
        <v>#N/A</v>
      </c>
      <c r="AQ449" t="e">
        <f>VLOOKUP($AC449,'oddspedia-matches'!$A:$AD,AQ$2,0)</f>
        <v>#N/A</v>
      </c>
      <c r="AR449" t="e">
        <f>VLOOKUP($AC449,'oddspedia-matches'!$A:$AD,AR$2,0)</f>
        <v>#N/A</v>
      </c>
      <c r="AS449" t="e">
        <f>VLOOKUP($AC449,'oddspedia-matches'!$A:$AD,AS$2,0)</f>
        <v>#N/A</v>
      </c>
      <c r="AT449" t="e">
        <f>VLOOKUP($AC449,'oddspedia-matches'!$A:$AD,AT$2,0)</f>
        <v>#N/A</v>
      </c>
    </row>
    <row r="450" spans="2:46" x14ac:dyDescent="0.25">
      <c r="B450" t="s">
        <v>703</v>
      </c>
      <c r="C450" t="s">
        <v>948</v>
      </c>
      <c r="D450" s="25">
        <v>0.66666666666666663</v>
      </c>
      <c r="E450" t="s">
        <v>1168</v>
      </c>
      <c r="F450" t="s">
        <v>1169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t="s">
        <v>22</v>
      </c>
      <c r="Y450" t="s">
        <v>22</v>
      </c>
      <c r="AA450">
        <f>VLOOKUP(E450,'Transform table'!A:B,2,0)</f>
        <v>0</v>
      </c>
      <c r="AB450" t="e">
        <f>VLOOKUP(F450,'Transform table'!A:B,2,0)</f>
        <v>#N/A</v>
      </c>
      <c r="AC450" t="e">
        <f t="shared" si="6"/>
        <v>#N/A</v>
      </c>
      <c r="AD450" t="e">
        <f>VLOOKUP($AC450,'oddspedia-matches'!$A:$AD,AD$2,0)</f>
        <v>#N/A</v>
      </c>
      <c r="AE450" t="e">
        <f>VLOOKUP($AC450,'oddspedia-matches'!$A:$AD,AE$2,0)</f>
        <v>#N/A</v>
      </c>
      <c r="AF450" t="e">
        <f>VLOOKUP($AC450,'oddspedia-matches'!$A:$AD,AF$2,0)</f>
        <v>#N/A</v>
      </c>
      <c r="AG450" t="e">
        <f>VLOOKUP($AC450,'oddspedia-matches'!$A:$AD,AG$2,0)</f>
        <v>#N/A</v>
      </c>
      <c r="AH450" t="e">
        <f>VLOOKUP($AC450,'oddspedia-matches'!$A:$AD,AH$2,0)</f>
        <v>#N/A</v>
      </c>
      <c r="AI450" t="e">
        <f>VLOOKUP($AC450,'oddspedia-matches'!$A:$AD,AI$2,0)</f>
        <v>#N/A</v>
      </c>
      <c r="AJ450" t="e">
        <f>VLOOKUP($AC450,'oddspedia-matches'!$A:$AD,AJ$2,0)</f>
        <v>#N/A</v>
      </c>
      <c r="AK450" t="e">
        <f>VLOOKUP($AC450,'oddspedia-matches'!$A:$AD,AK$2,0)</f>
        <v>#N/A</v>
      </c>
      <c r="AL450" t="e">
        <f>VLOOKUP($AC450,'oddspedia-matches'!$A:$AD,AL$2,0)</f>
        <v>#N/A</v>
      </c>
      <c r="AM450" t="e">
        <f>VLOOKUP($AC450,'oddspedia-matches'!$A:$AD,AM$2,0)</f>
        <v>#N/A</v>
      </c>
      <c r="AN450" t="e">
        <f>VLOOKUP($AC450,'oddspedia-matches'!$A:$AD,AN$2,0)</f>
        <v>#N/A</v>
      </c>
      <c r="AO450" t="e">
        <f>VLOOKUP($AC450,'oddspedia-matches'!$A:$AD,AO$2,0)</f>
        <v>#N/A</v>
      </c>
      <c r="AP450" t="e">
        <f>VLOOKUP($AC450,'oddspedia-matches'!$A:$AD,AP$2,0)</f>
        <v>#N/A</v>
      </c>
      <c r="AQ450" t="e">
        <f>VLOOKUP($AC450,'oddspedia-matches'!$A:$AD,AQ$2,0)</f>
        <v>#N/A</v>
      </c>
      <c r="AR450" t="e">
        <f>VLOOKUP($AC450,'oddspedia-matches'!$A:$AD,AR$2,0)</f>
        <v>#N/A</v>
      </c>
      <c r="AS450" t="e">
        <f>VLOOKUP($AC450,'oddspedia-matches'!$A:$AD,AS$2,0)</f>
        <v>#N/A</v>
      </c>
      <c r="AT450" t="e">
        <f>VLOOKUP($AC450,'oddspedia-matches'!$A:$AD,AT$2,0)</f>
        <v>#N/A</v>
      </c>
    </row>
    <row r="451" spans="2:46" x14ac:dyDescent="0.25">
      <c r="B451" t="s">
        <v>503</v>
      </c>
      <c r="C451" t="s">
        <v>948</v>
      </c>
      <c r="D451" s="25">
        <v>0.66666666666666663</v>
      </c>
      <c r="E451" t="s">
        <v>1170</v>
      </c>
      <c r="F451" t="s">
        <v>1171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t="s">
        <v>22</v>
      </c>
      <c r="Y451" t="s">
        <v>22</v>
      </c>
      <c r="AA451">
        <f>VLOOKUP(E451,'Transform table'!A:B,2,0)</f>
        <v>0</v>
      </c>
      <c r="AB451" t="e">
        <f>VLOOKUP(F451,'Transform table'!A:B,2,0)</f>
        <v>#N/A</v>
      </c>
      <c r="AC451" t="e">
        <f t="shared" si="6"/>
        <v>#N/A</v>
      </c>
      <c r="AD451" t="e">
        <f>VLOOKUP($AC451,'oddspedia-matches'!$A:$AD,AD$2,0)</f>
        <v>#N/A</v>
      </c>
      <c r="AE451" t="e">
        <f>VLOOKUP($AC451,'oddspedia-matches'!$A:$AD,AE$2,0)</f>
        <v>#N/A</v>
      </c>
      <c r="AF451" t="e">
        <f>VLOOKUP($AC451,'oddspedia-matches'!$A:$AD,AF$2,0)</f>
        <v>#N/A</v>
      </c>
      <c r="AG451" t="e">
        <f>VLOOKUP($AC451,'oddspedia-matches'!$A:$AD,AG$2,0)</f>
        <v>#N/A</v>
      </c>
      <c r="AH451" t="e">
        <f>VLOOKUP($AC451,'oddspedia-matches'!$A:$AD,AH$2,0)</f>
        <v>#N/A</v>
      </c>
      <c r="AI451" t="e">
        <f>VLOOKUP($AC451,'oddspedia-matches'!$A:$AD,AI$2,0)</f>
        <v>#N/A</v>
      </c>
      <c r="AJ451" t="e">
        <f>VLOOKUP($AC451,'oddspedia-matches'!$A:$AD,AJ$2,0)</f>
        <v>#N/A</v>
      </c>
      <c r="AK451" t="e">
        <f>VLOOKUP($AC451,'oddspedia-matches'!$A:$AD,AK$2,0)</f>
        <v>#N/A</v>
      </c>
      <c r="AL451" t="e">
        <f>VLOOKUP($AC451,'oddspedia-matches'!$A:$AD,AL$2,0)</f>
        <v>#N/A</v>
      </c>
      <c r="AM451" t="e">
        <f>VLOOKUP($AC451,'oddspedia-matches'!$A:$AD,AM$2,0)</f>
        <v>#N/A</v>
      </c>
      <c r="AN451" t="e">
        <f>VLOOKUP($AC451,'oddspedia-matches'!$A:$AD,AN$2,0)</f>
        <v>#N/A</v>
      </c>
      <c r="AO451" t="e">
        <f>VLOOKUP($AC451,'oddspedia-matches'!$A:$AD,AO$2,0)</f>
        <v>#N/A</v>
      </c>
      <c r="AP451" t="e">
        <f>VLOOKUP($AC451,'oddspedia-matches'!$A:$AD,AP$2,0)</f>
        <v>#N/A</v>
      </c>
      <c r="AQ451" t="e">
        <f>VLOOKUP($AC451,'oddspedia-matches'!$A:$AD,AQ$2,0)</f>
        <v>#N/A</v>
      </c>
      <c r="AR451" t="e">
        <f>VLOOKUP($AC451,'oddspedia-matches'!$A:$AD,AR$2,0)</f>
        <v>#N/A</v>
      </c>
      <c r="AS451" t="e">
        <f>VLOOKUP($AC451,'oddspedia-matches'!$A:$AD,AS$2,0)</f>
        <v>#N/A</v>
      </c>
      <c r="AT451" t="e">
        <f>VLOOKUP($AC451,'oddspedia-matches'!$A:$AD,AT$2,0)</f>
        <v>#N/A</v>
      </c>
    </row>
    <row r="452" spans="2:46" x14ac:dyDescent="0.25">
      <c r="B452" t="s">
        <v>505</v>
      </c>
      <c r="C452" t="s">
        <v>948</v>
      </c>
      <c r="D452" s="25">
        <v>0.66666666666666663</v>
      </c>
      <c r="E452" t="s">
        <v>1172</v>
      </c>
      <c r="F452" t="s">
        <v>1173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>
        <v>10</v>
      </c>
      <c r="Y452">
        <v>18.2</v>
      </c>
      <c r="AA452" t="str">
        <f>VLOOKUP(E452,'Transform table'!A:B,2,0)</f>
        <v>Inter Bogota</v>
      </c>
      <c r="AB452" t="e">
        <f>VLOOKUP(F452,'Transform table'!A:B,2,0)</f>
        <v>#N/A</v>
      </c>
      <c r="AC452" t="e">
        <f t="shared" si="6"/>
        <v>#N/A</v>
      </c>
      <c r="AD452" t="e">
        <f>VLOOKUP($AC452,'oddspedia-matches'!$A:$AD,AD$2,0)</f>
        <v>#N/A</v>
      </c>
      <c r="AE452" t="e">
        <f>VLOOKUP($AC452,'oddspedia-matches'!$A:$AD,AE$2,0)</f>
        <v>#N/A</v>
      </c>
      <c r="AF452" t="e">
        <f>VLOOKUP($AC452,'oddspedia-matches'!$A:$AD,AF$2,0)</f>
        <v>#N/A</v>
      </c>
      <c r="AG452" t="e">
        <f>VLOOKUP($AC452,'oddspedia-matches'!$A:$AD,AG$2,0)</f>
        <v>#N/A</v>
      </c>
      <c r="AH452" t="e">
        <f>VLOOKUP($AC452,'oddspedia-matches'!$A:$AD,AH$2,0)</f>
        <v>#N/A</v>
      </c>
      <c r="AI452" t="e">
        <f>VLOOKUP($AC452,'oddspedia-matches'!$A:$AD,AI$2,0)</f>
        <v>#N/A</v>
      </c>
      <c r="AJ452" t="e">
        <f>VLOOKUP($AC452,'oddspedia-matches'!$A:$AD,AJ$2,0)</f>
        <v>#N/A</v>
      </c>
      <c r="AK452" t="e">
        <f>VLOOKUP($AC452,'oddspedia-matches'!$A:$AD,AK$2,0)</f>
        <v>#N/A</v>
      </c>
      <c r="AL452" t="e">
        <f>VLOOKUP($AC452,'oddspedia-matches'!$A:$AD,AL$2,0)</f>
        <v>#N/A</v>
      </c>
      <c r="AM452" t="e">
        <f>VLOOKUP($AC452,'oddspedia-matches'!$A:$AD,AM$2,0)</f>
        <v>#N/A</v>
      </c>
      <c r="AN452" t="e">
        <f>VLOOKUP($AC452,'oddspedia-matches'!$A:$AD,AN$2,0)</f>
        <v>#N/A</v>
      </c>
      <c r="AO452" t="e">
        <f>VLOOKUP($AC452,'oddspedia-matches'!$A:$AD,AO$2,0)</f>
        <v>#N/A</v>
      </c>
      <c r="AP452" t="e">
        <f>VLOOKUP($AC452,'oddspedia-matches'!$A:$AD,AP$2,0)</f>
        <v>#N/A</v>
      </c>
      <c r="AQ452" t="e">
        <f>VLOOKUP($AC452,'oddspedia-matches'!$A:$AD,AQ$2,0)</f>
        <v>#N/A</v>
      </c>
      <c r="AR452" t="e">
        <f>VLOOKUP($AC452,'oddspedia-matches'!$A:$AD,AR$2,0)</f>
        <v>#N/A</v>
      </c>
      <c r="AS452" t="e">
        <f>VLOOKUP($AC452,'oddspedia-matches'!$A:$AD,AS$2,0)</f>
        <v>#N/A</v>
      </c>
      <c r="AT452" t="e">
        <f>VLOOKUP($AC452,'oddspedia-matches'!$A:$AD,AT$2,0)</f>
        <v>#N/A</v>
      </c>
    </row>
    <row r="453" spans="2:46" x14ac:dyDescent="0.25">
      <c r="B453" t="s">
        <v>497</v>
      </c>
      <c r="C453" t="s">
        <v>948</v>
      </c>
      <c r="D453" s="25">
        <v>0.66666666666666663</v>
      </c>
      <c r="E453" t="s">
        <v>1174</v>
      </c>
      <c r="F453" t="s">
        <v>1175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t="s">
        <v>22</v>
      </c>
      <c r="Y453" t="s">
        <v>22</v>
      </c>
      <c r="AA453">
        <f>VLOOKUP(E453,'Transform table'!A:B,2,0)</f>
        <v>0</v>
      </c>
      <c r="AB453" t="e">
        <f>VLOOKUP(F453,'Transform table'!A:B,2,0)</f>
        <v>#N/A</v>
      </c>
      <c r="AC453" t="e">
        <f t="shared" ref="AC453:AC516" si="7">C453&amp;AA453&amp;AB453</f>
        <v>#N/A</v>
      </c>
      <c r="AD453" t="e">
        <f>VLOOKUP($AC453,'oddspedia-matches'!$A:$AD,AD$2,0)</f>
        <v>#N/A</v>
      </c>
      <c r="AE453" t="e">
        <f>VLOOKUP($AC453,'oddspedia-matches'!$A:$AD,AE$2,0)</f>
        <v>#N/A</v>
      </c>
      <c r="AF453" t="e">
        <f>VLOOKUP($AC453,'oddspedia-matches'!$A:$AD,AF$2,0)</f>
        <v>#N/A</v>
      </c>
      <c r="AG453" t="e">
        <f>VLOOKUP($AC453,'oddspedia-matches'!$A:$AD,AG$2,0)</f>
        <v>#N/A</v>
      </c>
      <c r="AH453" t="e">
        <f>VLOOKUP($AC453,'oddspedia-matches'!$A:$AD,AH$2,0)</f>
        <v>#N/A</v>
      </c>
      <c r="AI453" t="e">
        <f>VLOOKUP($AC453,'oddspedia-matches'!$A:$AD,AI$2,0)</f>
        <v>#N/A</v>
      </c>
      <c r="AJ453" t="e">
        <f>VLOOKUP($AC453,'oddspedia-matches'!$A:$AD,AJ$2,0)</f>
        <v>#N/A</v>
      </c>
      <c r="AK453" t="e">
        <f>VLOOKUP($AC453,'oddspedia-matches'!$A:$AD,AK$2,0)</f>
        <v>#N/A</v>
      </c>
      <c r="AL453" t="e">
        <f>VLOOKUP($AC453,'oddspedia-matches'!$A:$AD,AL$2,0)</f>
        <v>#N/A</v>
      </c>
      <c r="AM453" t="e">
        <f>VLOOKUP($AC453,'oddspedia-matches'!$A:$AD,AM$2,0)</f>
        <v>#N/A</v>
      </c>
      <c r="AN453" t="e">
        <f>VLOOKUP($AC453,'oddspedia-matches'!$A:$AD,AN$2,0)</f>
        <v>#N/A</v>
      </c>
      <c r="AO453" t="e">
        <f>VLOOKUP($AC453,'oddspedia-matches'!$A:$AD,AO$2,0)</f>
        <v>#N/A</v>
      </c>
      <c r="AP453" t="e">
        <f>VLOOKUP($AC453,'oddspedia-matches'!$A:$AD,AP$2,0)</f>
        <v>#N/A</v>
      </c>
      <c r="AQ453" t="e">
        <f>VLOOKUP($AC453,'oddspedia-matches'!$A:$AD,AQ$2,0)</f>
        <v>#N/A</v>
      </c>
      <c r="AR453" t="e">
        <f>VLOOKUP($AC453,'oddspedia-matches'!$A:$AD,AR$2,0)</f>
        <v>#N/A</v>
      </c>
      <c r="AS453" t="e">
        <f>VLOOKUP($AC453,'oddspedia-matches'!$A:$AD,AS$2,0)</f>
        <v>#N/A</v>
      </c>
      <c r="AT453" t="e">
        <f>VLOOKUP($AC453,'oddspedia-matches'!$A:$AD,AT$2,0)</f>
        <v>#N/A</v>
      </c>
    </row>
    <row r="454" spans="2:46" x14ac:dyDescent="0.25">
      <c r="B454" t="s">
        <v>1123</v>
      </c>
      <c r="C454" t="s">
        <v>948</v>
      </c>
      <c r="D454" s="25">
        <v>0.66666666666666663</v>
      </c>
      <c r="E454" t="s">
        <v>1176</v>
      </c>
      <c r="F454" t="s">
        <v>1177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t="s">
        <v>22</v>
      </c>
      <c r="Y454">
        <v>0</v>
      </c>
      <c r="AA454">
        <f>VLOOKUP(E454,'Transform table'!A:B,2,0)</f>
        <v>0</v>
      </c>
      <c r="AB454" t="e">
        <f>VLOOKUP(F454,'Transform table'!A:B,2,0)</f>
        <v>#N/A</v>
      </c>
      <c r="AC454" t="e">
        <f t="shared" si="7"/>
        <v>#N/A</v>
      </c>
      <c r="AD454" t="e">
        <f>VLOOKUP($AC454,'oddspedia-matches'!$A:$AD,AD$2,0)</f>
        <v>#N/A</v>
      </c>
      <c r="AE454" t="e">
        <f>VLOOKUP($AC454,'oddspedia-matches'!$A:$AD,AE$2,0)</f>
        <v>#N/A</v>
      </c>
      <c r="AF454" t="e">
        <f>VLOOKUP($AC454,'oddspedia-matches'!$A:$AD,AF$2,0)</f>
        <v>#N/A</v>
      </c>
      <c r="AG454" t="e">
        <f>VLOOKUP($AC454,'oddspedia-matches'!$A:$AD,AG$2,0)</f>
        <v>#N/A</v>
      </c>
      <c r="AH454" t="e">
        <f>VLOOKUP($AC454,'oddspedia-matches'!$A:$AD,AH$2,0)</f>
        <v>#N/A</v>
      </c>
      <c r="AI454" t="e">
        <f>VLOOKUP($AC454,'oddspedia-matches'!$A:$AD,AI$2,0)</f>
        <v>#N/A</v>
      </c>
      <c r="AJ454" t="e">
        <f>VLOOKUP($AC454,'oddspedia-matches'!$A:$AD,AJ$2,0)</f>
        <v>#N/A</v>
      </c>
      <c r="AK454" t="e">
        <f>VLOOKUP($AC454,'oddspedia-matches'!$A:$AD,AK$2,0)</f>
        <v>#N/A</v>
      </c>
      <c r="AL454" t="e">
        <f>VLOOKUP($AC454,'oddspedia-matches'!$A:$AD,AL$2,0)</f>
        <v>#N/A</v>
      </c>
      <c r="AM454" t="e">
        <f>VLOOKUP($AC454,'oddspedia-matches'!$A:$AD,AM$2,0)</f>
        <v>#N/A</v>
      </c>
      <c r="AN454" t="e">
        <f>VLOOKUP($AC454,'oddspedia-matches'!$A:$AD,AN$2,0)</f>
        <v>#N/A</v>
      </c>
      <c r="AO454" t="e">
        <f>VLOOKUP($AC454,'oddspedia-matches'!$A:$AD,AO$2,0)</f>
        <v>#N/A</v>
      </c>
      <c r="AP454" t="e">
        <f>VLOOKUP($AC454,'oddspedia-matches'!$A:$AD,AP$2,0)</f>
        <v>#N/A</v>
      </c>
      <c r="AQ454" t="e">
        <f>VLOOKUP($AC454,'oddspedia-matches'!$A:$AD,AQ$2,0)</f>
        <v>#N/A</v>
      </c>
      <c r="AR454" t="e">
        <f>VLOOKUP($AC454,'oddspedia-matches'!$A:$AD,AR$2,0)</f>
        <v>#N/A</v>
      </c>
      <c r="AS454" t="e">
        <f>VLOOKUP($AC454,'oddspedia-matches'!$A:$AD,AS$2,0)</f>
        <v>#N/A</v>
      </c>
      <c r="AT454" t="e">
        <f>VLOOKUP($AC454,'oddspedia-matches'!$A:$AD,AT$2,0)</f>
        <v>#N/A</v>
      </c>
    </row>
    <row r="455" spans="2:46" x14ac:dyDescent="0.25">
      <c r="B455" t="s">
        <v>499</v>
      </c>
      <c r="C455" t="s">
        <v>948</v>
      </c>
      <c r="D455" s="25">
        <v>0.67708333333333337</v>
      </c>
      <c r="E455" t="s">
        <v>1178</v>
      </c>
      <c r="F455" t="s">
        <v>264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>
        <v>28.6</v>
      </c>
      <c r="Y455">
        <v>16.7</v>
      </c>
      <c r="AA455" t="str">
        <f>VLOOKUP(E455,'Transform table'!A:B,2,0)</f>
        <v>Fylkir</v>
      </c>
      <c r="AB455" t="str">
        <f>VLOOKUP(F455,'Transform table'!A:B,2,0)</f>
        <v>Hafnarfjordur</v>
      </c>
      <c r="AC455" t="str">
        <f t="shared" si="7"/>
        <v>26/07/2026FylkirHafnarfjordur</v>
      </c>
      <c r="AD455" t="e">
        <f>VLOOKUP($AC455,'oddspedia-matches'!$A:$AD,AD$2,0)</f>
        <v>#N/A</v>
      </c>
      <c r="AE455" t="e">
        <f>VLOOKUP($AC455,'oddspedia-matches'!$A:$AD,AE$2,0)</f>
        <v>#N/A</v>
      </c>
      <c r="AF455" t="e">
        <f>VLOOKUP($AC455,'oddspedia-matches'!$A:$AD,AF$2,0)</f>
        <v>#N/A</v>
      </c>
      <c r="AG455" t="e">
        <f>VLOOKUP($AC455,'oddspedia-matches'!$A:$AD,AG$2,0)</f>
        <v>#N/A</v>
      </c>
      <c r="AH455" t="e">
        <f>VLOOKUP($AC455,'oddspedia-matches'!$A:$AD,AH$2,0)</f>
        <v>#N/A</v>
      </c>
      <c r="AI455" t="e">
        <f>VLOOKUP($AC455,'oddspedia-matches'!$A:$AD,AI$2,0)</f>
        <v>#N/A</v>
      </c>
      <c r="AJ455" t="e">
        <f>VLOOKUP($AC455,'oddspedia-matches'!$A:$AD,AJ$2,0)</f>
        <v>#N/A</v>
      </c>
      <c r="AK455" t="e">
        <f>VLOOKUP($AC455,'oddspedia-matches'!$A:$AD,AK$2,0)</f>
        <v>#N/A</v>
      </c>
      <c r="AL455" t="e">
        <f>VLOOKUP($AC455,'oddspedia-matches'!$A:$AD,AL$2,0)</f>
        <v>#N/A</v>
      </c>
      <c r="AM455" t="e">
        <f>VLOOKUP($AC455,'oddspedia-matches'!$A:$AD,AM$2,0)</f>
        <v>#N/A</v>
      </c>
      <c r="AN455" t="e">
        <f>VLOOKUP($AC455,'oddspedia-matches'!$A:$AD,AN$2,0)</f>
        <v>#N/A</v>
      </c>
      <c r="AO455" t="e">
        <f>VLOOKUP($AC455,'oddspedia-matches'!$A:$AD,AO$2,0)</f>
        <v>#N/A</v>
      </c>
      <c r="AP455" t="e">
        <f>VLOOKUP($AC455,'oddspedia-matches'!$A:$AD,AP$2,0)</f>
        <v>#N/A</v>
      </c>
      <c r="AQ455" t="e">
        <f>VLOOKUP($AC455,'oddspedia-matches'!$A:$AD,AQ$2,0)</f>
        <v>#N/A</v>
      </c>
      <c r="AR455" t="e">
        <f>VLOOKUP($AC455,'oddspedia-matches'!$A:$AD,AR$2,0)</f>
        <v>#N/A</v>
      </c>
      <c r="AS455" t="e">
        <f>VLOOKUP($AC455,'oddspedia-matches'!$A:$AD,AS$2,0)</f>
        <v>#N/A</v>
      </c>
      <c r="AT455" t="e">
        <f>VLOOKUP($AC455,'oddspedia-matches'!$A:$AD,AT$2,0)</f>
        <v>#N/A</v>
      </c>
    </row>
    <row r="456" spans="2:46" x14ac:dyDescent="0.25">
      <c r="B456" t="s">
        <v>499</v>
      </c>
      <c r="C456" t="s">
        <v>948</v>
      </c>
      <c r="D456" s="25">
        <v>0.67708333333333337</v>
      </c>
      <c r="E456" t="s">
        <v>266</v>
      </c>
      <c r="F456" t="s">
        <v>1179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">
        <v>22</v>
      </c>
      <c r="Y456" t="s">
        <v>22</v>
      </c>
      <c r="AA456" t="str">
        <f>VLOOKUP(E456,'Transform table'!A:B,2,0)</f>
        <v>IA Akranes</v>
      </c>
      <c r="AB456" t="e">
        <f>VLOOKUP(F456,'Transform table'!A:B,2,0)</f>
        <v>#N/A</v>
      </c>
      <c r="AC456" t="e">
        <f t="shared" si="7"/>
        <v>#N/A</v>
      </c>
      <c r="AD456" t="e">
        <f>VLOOKUP($AC456,'oddspedia-matches'!$A:$AD,AD$2,0)</f>
        <v>#N/A</v>
      </c>
      <c r="AE456" t="e">
        <f>VLOOKUP($AC456,'oddspedia-matches'!$A:$AD,AE$2,0)</f>
        <v>#N/A</v>
      </c>
      <c r="AF456" t="e">
        <f>VLOOKUP($AC456,'oddspedia-matches'!$A:$AD,AF$2,0)</f>
        <v>#N/A</v>
      </c>
      <c r="AG456" t="e">
        <f>VLOOKUP($AC456,'oddspedia-matches'!$A:$AD,AG$2,0)</f>
        <v>#N/A</v>
      </c>
      <c r="AH456" t="e">
        <f>VLOOKUP($AC456,'oddspedia-matches'!$A:$AD,AH$2,0)</f>
        <v>#N/A</v>
      </c>
      <c r="AI456" t="e">
        <f>VLOOKUP($AC456,'oddspedia-matches'!$A:$AD,AI$2,0)</f>
        <v>#N/A</v>
      </c>
      <c r="AJ456" t="e">
        <f>VLOOKUP($AC456,'oddspedia-matches'!$A:$AD,AJ$2,0)</f>
        <v>#N/A</v>
      </c>
      <c r="AK456" t="e">
        <f>VLOOKUP($AC456,'oddspedia-matches'!$A:$AD,AK$2,0)</f>
        <v>#N/A</v>
      </c>
      <c r="AL456" t="e">
        <f>VLOOKUP($AC456,'oddspedia-matches'!$A:$AD,AL$2,0)</f>
        <v>#N/A</v>
      </c>
      <c r="AM456" t="e">
        <f>VLOOKUP($AC456,'oddspedia-matches'!$A:$AD,AM$2,0)</f>
        <v>#N/A</v>
      </c>
      <c r="AN456" t="e">
        <f>VLOOKUP($AC456,'oddspedia-matches'!$A:$AD,AN$2,0)</f>
        <v>#N/A</v>
      </c>
      <c r="AO456" t="e">
        <f>VLOOKUP($AC456,'oddspedia-matches'!$A:$AD,AO$2,0)</f>
        <v>#N/A</v>
      </c>
      <c r="AP456" t="e">
        <f>VLOOKUP($AC456,'oddspedia-matches'!$A:$AD,AP$2,0)</f>
        <v>#N/A</v>
      </c>
      <c r="AQ456" t="e">
        <f>VLOOKUP($AC456,'oddspedia-matches'!$A:$AD,AQ$2,0)</f>
        <v>#N/A</v>
      </c>
      <c r="AR456" t="e">
        <f>VLOOKUP($AC456,'oddspedia-matches'!$A:$AD,AR$2,0)</f>
        <v>#N/A</v>
      </c>
      <c r="AS456" t="e">
        <f>VLOOKUP($AC456,'oddspedia-matches'!$A:$AD,AS$2,0)</f>
        <v>#N/A</v>
      </c>
      <c r="AT456" t="e">
        <f>VLOOKUP($AC456,'oddspedia-matches'!$A:$AD,AT$2,0)</f>
        <v>#N/A</v>
      </c>
    </row>
    <row r="457" spans="2:46" x14ac:dyDescent="0.25">
      <c r="B457" t="s">
        <v>665</v>
      </c>
      <c r="C457" t="s">
        <v>948</v>
      </c>
      <c r="D457" s="25">
        <v>0.6875</v>
      </c>
      <c r="E457" t="s">
        <v>1180</v>
      </c>
      <c r="F457" t="s">
        <v>325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>
        <v>20</v>
      </c>
      <c r="Y457">
        <v>36.4</v>
      </c>
      <c r="AA457" t="str">
        <f>VLOOKUP(E457,'Transform table'!A:B,2,0)</f>
        <v>Godoy Cruz</v>
      </c>
      <c r="AB457" t="e">
        <f>VLOOKUP(F457,'Transform table'!A:B,2,0)</f>
        <v>#N/A</v>
      </c>
      <c r="AC457" t="e">
        <f t="shared" si="7"/>
        <v>#N/A</v>
      </c>
      <c r="AD457" t="e">
        <f>VLOOKUP($AC457,'oddspedia-matches'!$A:$AD,AD$2,0)</f>
        <v>#N/A</v>
      </c>
      <c r="AE457" t="e">
        <f>VLOOKUP($AC457,'oddspedia-matches'!$A:$AD,AE$2,0)</f>
        <v>#N/A</v>
      </c>
      <c r="AF457" t="e">
        <f>VLOOKUP($AC457,'oddspedia-matches'!$A:$AD,AF$2,0)</f>
        <v>#N/A</v>
      </c>
      <c r="AG457" t="e">
        <f>VLOOKUP($AC457,'oddspedia-matches'!$A:$AD,AG$2,0)</f>
        <v>#N/A</v>
      </c>
      <c r="AH457" t="e">
        <f>VLOOKUP($AC457,'oddspedia-matches'!$A:$AD,AH$2,0)</f>
        <v>#N/A</v>
      </c>
      <c r="AI457" t="e">
        <f>VLOOKUP($AC457,'oddspedia-matches'!$A:$AD,AI$2,0)</f>
        <v>#N/A</v>
      </c>
      <c r="AJ457" t="e">
        <f>VLOOKUP($AC457,'oddspedia-matches'!$A:$AD,AJ$2,0)</f>
        <v>#N/A</v>
      </c>
      <c r="AK457" t="e">
        <f>VLOOKUP($AC457,'oddspedia-matches'!$A:$AD,AK$2,0)</f>
        <v>#N/A</v>
      </c>
      <c r="AL457" t="e">
        <f>VLOOKUP($AC457,'oddspedia-matches'!$A:$AD,AL$2,0)</f>
        <v>#N/A</v>
      </c>
      <c r="AM457" t="e">
        <f>VLOOKUP($AC457,'oddspedia-matches'!$A:$AD,AM$2,0)</f>
        <v>#N/A</v>
      </c>
      <c r="AN457" t="e">
        <f>VLOOKUP($AC457,'oddspedia-matches'!$A:$AD,AN$2,0)</f>
        <v>#N/A</v>
      </c>
      <c r="AO457" t="e">
        <f>VLOOKUP($AC457,'oddspedia-matches'!$A:$AD,AO$2,0)</f>
        <v>#N/A</v>
      </c>
      <c r="AP457" t="e">
        <f>VLOOKUP($AC457,'oddspedia-matches'!$A:$AD,AP$2,0)</f>
        <v>#N/A</v>
      </c>
      <c r="AQ457" t="e">
        <f>VLOOKUP($AC457,'oddspedia-matches'!$A:$AD,AQ$2,0)</f>
        <v>#N/A</v>
      </c>
      <c r="AR457" t="e">
        <f>VLOOKUP($AC457,'oddspedia-matches'!$A:$AD,AR$2,0)</f>
        <v>#N/A</v>
      </c>
      <c r="AS457" t="e">
        <f>VLOOKUP($AC457,'oddspedia-matches'!$A:$AD,AS$2,0)</f>
        <v>#N/A</v>
      </c>
      <c r="AT457" t="e">
        <f>VLOOKUP($AC457,'oddspedia-matches'!$A:$AD,AT$2,0)</f>
        <v>#N/A</v>
      </c>
    </row>
    <row r="458" spans="2:46" x14ac:dyDescent="0.25">
      <c r="B458" t="s">
        <v>703</v>
      </c>
      <c r="C458" t="s">
        <v>948</v>
      </c>
      <c r="D458" s="25">
        <v>0.70833333333333337</v>
      </c>
      <c r="E458" t="s">
        <v>1181</v>
      </c>
      <c r="F458" t="s">
        <v>1182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>
        <v>14.3</v>
      </c>
      <c r="Y458">
        <v>14.3</v>
      </c>
      <c r="AA458">
        <f>VLOOKUP(E458,'Transform table'!A:B,2,0)</f>
        <v>0</v>
      </c>
      <c r="AB458" t="e">
        <f>VLOOKUP(F458,'Transform table'!A:B,2,0)</f>
        <v>#N/A</v>
      </c>
      <c r="AC458" t="e">
        <f t="shared" si="7"/>
        <v>#N/A</v>
      </c>
      <c r="AD458" t="e">
        <f>VLOOKUP($AC458,'oddspedia-matches'!$A:$AD,AD$2,0)</f>
        <v>#N/A</v>
      </c>
      <c r="AE458" t="e">
        <f>VLOOKUP($AC458,'oddspedia-matches'!$A:$AD,AE$2,0)</f>
        <v>#N/A</v>
      </c>
      <c r="AF458" t="e">
        <f>VLOOKUP($AC458,'oddspedia-matches'!$A:$AD,AF$2,0)</f>
        <v>#N/A</v>
      </c>
      <c r="AG458" t="e">
        <f>VLOOKUP($AC458,'oddspedia-matches'!$A:$AD,AG$2,0)</f>
        <v>#N/A</v>
      </c>
      <c r="AH458" t="e">
        <f>VLOOKUP($AC458,'oddspedia-matches'!$A:$AD,AH$2,0)</f>
        <v>#N/A</v>
      </c>
      <c r="AI458" t="e">
        <f>VLOOKUP($AC458,'oddspedia-matches'!$A:$AD,AI$2,0)</f>
        <v>#N/A</v>
      </c>
      <c r="AJ458" t="e">
        <f>VLOOKUP($AC458,'oddspedia-matches'!$A:$AD,AJ$2,0)</f>
        <v>#N/A</v>
      </c>
      <c r="AK458" t="e">
        <f>VLOOKUP($AC458,'oddspedia-matches'!$A:$AD,AK$2,0)</f>
        <v>#N/A</v>
      </c>
      <c r="AL458" t="e">
        <f>VLOOKUP($AC458,'oddspedia-matches'!$A:$AD,AL$2,0)</f>
        <v>#N/A</v>
      </c>
      <c r="AM458" t="e">
        <f>VLOOKUP($AC458,'oddspedia-matches'!$A:$AD,AM$2,0)</f>
        <v>#N/A</v>
      </c>
      <c r="AN458" t="e">
        <f>VLOOKUP($AC458,'oddspedia-matches'!$A:$AD,AN$2,0)</f>
        <v>#N/A</v>
      </c>
      <c r="AO458" t="e">
        <f>VLOOKUP($AC458,'oddspedia-matches'!$A:$AD,AO$2,0)</f>
        <v>#N/A</v>
      </c>
      <c r="AP458" t="e">
        <f>VLOOKUP($AC458,'oddspedia-matches'!$A:$AD,AP$2,0)</f>
        <v>#N/A</v>
      </c>
      <c r="AQ458" t="e">
        <f>VLOOKUP($AC458,'oddspedia-matches'!$A:$AD,AQ$2,0)</f>
        <v>#N/A</v>
      </c>
      <c r="AR458" t="e">
        <f>VLOOKUP($AC458,'oddspedia-matches'!$A:$AD,AR$2,0)</f>
        <v>#N/A</v>
      </c>
      <c r="AS458" t="e">
        <f>VLOOKUP($AC458,'oddspedia-matches'!$A:$AD,AS$2,0)</f>
        <v>#N/A</v>
      </c>
      <c r="AT458" t="e">
        <f>VLOOKUP($AC458,'oddspedia-matches'!$A:$AD,AT$2,0)</f>
        <v>#N/A</v>
      </c>
    </row>
    <row r="459" spans="2:46" x14ac:dyDescent="0.25">
      <c r="B459" t="s">
        <v>703</v>
      </c>
      <c r="C459" t="s">
        <v>948</v>
      </c>
      <c r="D459" s="25">
        <v>0.70833333333333337</v>
      </c>
      <c r="E459" t="s">
        <v>1183</v>
      </c>
      <c r="F459" t="s">
        <v>1184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>
        <v>16.7</v>
      </c>
      <c r="Y459">
        <v>0</v>
      </c>
      <c r="AA459" t="str">
        <f>VLOOKUP(E459,'Transform table'!A:B,2,0)</f>
        <v>AS Avellino</v>
      </c>
      <c r="AB459" t="e">
        <f>VLOOKUP(F459,'Transform table'!A:B,2,0)</f>
        <v>#N/A</v>
      </c>
      <c r="AC459" t="e">
        <f t="shared" si="7"/>
        <v>#N/A</v>
      </c>
      <c r="AD459" t="e">
        <f>VLOOKUP($AC459,'oddspedia-matches'!$A:$AD,AD$2,0)</f>
        <v>#N/A</v>
      </c>
      <c r="AE459" t="e">
        <f>VLOOKUP($AC459,'oddspedia-matches'!$A:$AD,AE$2,0)</f>
        <v>#N/A</v>
      </c>
      <c r="AF459" t="e">
        <f>VLOOKUP($AC459,'oddspedia-matches'!$A:$AD,AF$2,0)</f>
        <v>#N/A</v>
      </c>
      <c r="AG459" t="e">
        <f>VLOOKUP($AC459,'oddspedia-matches'!$A:$AD,AG$2,0)</f>
        <v>#N/A</v>
      </c>
      <c r="AH459" t="e">
        <f>VLOOKUP($AC459,'oddspedia-matches'!$A:$AD,AH$2,0)</f>
        <v>#N/A</v>
      </c>
      <c r="AI459" t="e">
        <f>VLOOKUP($AC459,'oddspedia-matches'!$A:$AD,AI$2,0)</f>
        <v>#N/A</v>
      </c>
      <c r="AJ459" t="e">
        <f>VLOOKUP($AC459,'oddspedia-matches'!$A:$AD,AJ$2,0)</f>
        <v>#N/A</v>
      </c>
      <c r="AK459" t="e">
        <f>VLOOKUP($AC459,'oddspedia-matches'!$A:$AD,AK$2,0)</f>
        <v>#N/A</v>
      </c>
      <c r="AL459" t="e">
        <f>VLOOKUP($AC459,'oddspedia-matches'!$A:$AD,AL$2,0)</f>
        <v>#N/A</v>
      </c>
      <c r="AM459" t="e">
        <f>VLOOKUP($AC459,'oddspedia-matches'!$A:$AD,AM$2,0)</f>
        <v>#N/A</v>
      </c>
      <c r="AN459" t="e">
        <f>VLOOKUP($AC459,'oddspedia-matches'!$A:$AD,AN$2,0)</f>
        <v>#N/A</v>
      </c>
      <c r="AO459" t="e">
        <f>VLOOKUP($AC459,'oddspedia-matches'!$A:$AD,AO$2,0)</f>
        <v>#N/A</v>
      </c>
      <c r="AP459" t="e">
        <f>VLOOKUP($AC459,'oddspedia-matches'!$A:$AD,AP$2,0)</f>
        <v>#N/A</v>
      </c>
      <c r="AQ459" t="e">
        <f>VLOOKUP($AC459,'oddspedia-matches'!$A:$AD,AQ$2,0)</f>
        <v>#N/A</v>
      </c>
      <c r="AR459" t="e">
        <f>VLOOKUP($AC459,'oddspedia-matches'!$A:$AD,AR$2,0)</f>
        <v>#N/A</v>
      </c>
      <c r="AS459" t="e">
        <f>VLOOKUP($AC459,'oddspedia-matches'!$A:$AD,AS$2,0)</f>
        <v>#N/A</v>
      </c>
      <c r="AT459" t="e">
        <f>VLOOKUP($AC459,'oddspedia-matches'!$A:$AD,AT$2,0)</f>
        <v>#N/A</v>
      </c>
    </row>
    <row r="460" spans="2:46" x14ac:dyDescent="0.25">
      <c r="B460" t="s">
        <v>703</v>
      </c>
      <c r="C460" t="s">
        <v>948</v>
      </c>
      <c r="D460" s="25">
        <v>0.70833333333333337</v>
      </c>
      <c r="E460" t="s">
        <v>1185</v>
      </c>
      <c r="F460" t="s">
        <v>1186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>
        <v>14.3</v>
      </c>
      <c r="Y460">
        <v>14.3</v>
      </c>
      <c r="AA460" t="str">
        <f>VLOOKUP(E460,'Transform table'!A:B,2,0)</f>
        <v>Ferrocarril Midland</v>
      </c>
      <c r="AB460" t="e">
        <f>VLOOKUP(F460,'Transform table'!A:B,2,0)</f>
        <v>#N/A</v>
      </c>
      <c r="AC460" t="e">
        <f t="shared" si="7"/>
        <v>#N/A</v>
      </c>
      <c r="AD460" t="e">
        <f>VLOOKUP($AC460,'oddspedia-matches'!$A:$AD,AD$2,0)</f>
        <v>#N/A</v>
      </c>
      <c r="AE460" t="e">
        <f>VLOOKUP($AC460,'oddspedia-matches'!$A:$AD,AE$2,0)</f>
        <v>#N/A</v>
      </c>
      <c r="AF460" t="e">
        <f>VLOOKUP($AC460,'oddspedia-matches'!$A:$AD,AF$2,0)</f>
        <v>#N/A</v>
      </c>
      <c r="AG460" t="e">
        <f>VLOOKUP($AC460,'oddspedia-matches'!$A:$AD,AG$2,0)</f>
        <v>#N/A</v>
      </c>
      <c r="AH460" t="e">
        <f>VLOOKUP($AC460,'oddspedia-matches'!$A:$AD,AH$2,0)</f>
        <v>#N/A</v>
      </c>
      <c r="AI460" t="e">
        <f>VLOOKUP($AC460,'oddspedia-matches'!$A:$AD,AI$2,0)</f>
        <v>#N/A</v>
      </c>
      <c r="AJ460" t="e">
        <f>VLOOKUP($AC460,'oddspedia-matches'!$A:$AD,AJ$2,0)</f>
        <v>#N/A</v>
      </c>
      <c r="AK460" t="e">
        <f>VLOOKUP($AC460,'oddspedia-matches'!$A:$AD,AK$2,0)</f>
        <v>#N/A</v>
      </c>
      <c r="AL460" t="e">
        <f>VLOOKUP($AC460,'oddspedia-matches'!$A:$AD,AL$2,0)</f>
        <v>#N/A</v>
      </c>
      <c r="AM460" t="e">
        <f>VLOOKUP($AC460,'oddspedia-matches'!$A:$AD,AM$2,0)</f>
        <v>#N/A</v>
      </c>
      <c r="AN460" t="e">
        <f>VLOOKUP($AC460,'oddspedia-matches'!$A:$AD,AN$2,0)</f>
        <v>#N/A</v>
      </c>
      <c r="AO460" t="e">
        <f>VLOOKUP($AC460,'oddspedia-matches'!$A:$AD,AO$2,0)</f>
        <v>#N/A</v>
      </c>
      <c r="AP460" t="e">
        <f>VLOOKUP($AC460,'oddspedia-matches'!$A:$AD,AP$2,0)</f>
        <v>#N/A</v>
      </c>
      <c r="AQ460" t="e">
        <f>VLOOKUP($AC460,'oddspedia-matches'!$A:$AD,AQ$2,0)</f>
        <v>#N/A</v>
      </c>
      <c r="AR460" t="e">
        <f>VLOOKUP($AC460,'oddspedia-matches'!$A:$AD,AR$2,0)</f>
        <v>#N/A</v>
      </c>
      <c r="AS460" t="e">
        <f>VLOOKUP($AC460,'oddspedia-matches'!$A:$AD,AS$2,0)</f>
        <v>#N/A</v>
      </c>
      <c r="AT460" t="e">
        <f>VLOOKUP($AC460,'oddspedia-matches'!$A:$AD,AT$2,0)</f>
        <v>#N/A</v>
      </c>
    </row>
    <row r="461" spans="2:46" x14ac:dyDescent="0.25">
      <c r="B461" t="s">
        <v>703</v>
      </c>
      <c r="C461" t="s">
        <v>948</v>
      </c>
      <c r="D461" s="25">
        <v>0.70833333333333337</v>
      </c>
      <c r="E461" t="s">
        <v>1187</v>
      </c>
      <c r="F461" t="s">
        <v>1188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>
        <v>0</v>
      </c>
      <c r="Y461">
        <v>0</v>
      </c>
      <c r="AA461" t="str">
        <f>VLOOKUP(E461,'Transform table'!A:B,2,0)</f>
        <v>Treibach</v>
      </c>
      <c r="AB461" t="e">
        <f>VLOOKUP(F461,'Transform table'!A:B,2,0)</f>
        <v>#N/A</v>
      </c>
      <c r="AC461" t="e">
        <f t="shared" si="7"/>
        <v>#N/A</v>
      </c>
      <c r="AD461" t="e">
        <f>VLOOKUP($AC461,'oddspedia-matches'!$A:$AD,AD$2,0)</f>
        <v>#N/A</v>
      </c>
      <c r="AE461" t="e">
        <f>VLOOKUP($AC461,'oddspedia-matches'!$A:$AD,AE$2,0)</f>
        <v>#N/A</v>
      </c>
      <c r="AF461" t="e">
        <f>VLOOKUP($AC461,'oddspedia-matches'!$A:$AD,AF$2,0)</f>
        <v>#N/A</v>
      </c>
      <c r="AG461" t="e">
        <f>VLOOKUP($AC461,'oddspedia-matches'!$A:$AD,AG$2,0)</f>
        <v>#N/A</v>
      </c>
      <c r="AH461" t="e">
        <f>VLOOKUP($AC461,'oddspedia-matches'!$A:$AD,AH$2,0)</f>
        <v>#N/A</v>
      </c>
      <c r="AI461" t="e">
        <f>VLOOKUP($AC461,'oddspedia-matches'!$A:$AD,AI$2,0)</f>
        <v>#N/A</v>
      </c>
      <c r="AJ461" t="e">
        <f>VLOOKUP($AC461,'oddspedia-matches'!$A:$AD,AJ$2,0)</f>
        <v>#N/A</v>
      </c>
      <c r="AK461" t="e">
        <f>VLOOKUP($AC461,'oddspedia-matches'!$A:$AD,AK$2,0)</f>
        <v>#N/A</v>
      </c>
      <c r="AL461" t="e">
        <f>VLOOKUP($AC461,'oddspedia-matches'!$A:$AD,AL$2,0)</f>
        <v>#N/A</v>
      </c>
      <c r="AM461" t="e">
        <f>VLOOKUP($AC461,'oddspedia-matches'!$A:$AD,AM$2,0)</f>
        <v>#N/A</v>
      </c>
      <c r="AN461" t="e">
        <f>VLOOKUP($AC461,'oddspedia-matches'!$A:$AD,AN$2,0)</f>
        <v>#N/A</v>
      </c>
      <c r="AO461" t="e">
        <f>VLOOKUP($AC461,'oddspedia-matches'!$A:$AD,AO$2,0)</f>
        <v>#N/A</v>
      </c>
      <c r="AP461" t="e">
        <f>VLOOKUP($AC461,'oddspedia-matches'!$A:$AD,AP$2,0)</f>
        <v>#N/A</v>
      </c>
      <c r="AQ461" t="e">
        <f>VLOOKUP($AC461,'oddspedia-matches'!$A:$AD,AQ$2,0)</f>
        <v>#N/A</v>
      </c>
      <c r="AR461" t="e">
        <f>VLOOKUP($AC461,'oddspedia-matches'!$A:$AD,AR$2,0)</f>
        <v>#N/A</v>
      </c>
      <c r="AS461" t="e">
        <f>VLOOKUP($AC461,'oddspedia-matches'!$A:$AD,AS$2,0)</f>
        <v>#N/A</v>
      </c>
      <c r="AT461" t="e">
        <f>VLOOKUP($AC461,'oddspedia-matches'!$A:$AD,AT$2,0)</f>
        <v>#N/A</v>
      </c>
    </row>
    <row r="462" spans="2:46" x14ac:dyDescent="0.25">
      <c r="B462" t="s">
        <v>470</v>
      </c>
      <c r="C462" t="s">
        <v>948</v>
      </c>
      <c r="D462" s="25">
        <v>0.70833333333333337</v>
      </c>
      <c r="E462" t="s">
        <v>241</v>
      </c>
      <c r="F462" t="s">
        <v>64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>
        <v>0</v>
      </c>
      <c r="Y462">
        <v>9.1</v>
      </c>
      <c r="AA462" t="str">
        <f>VLOOKUP(E462,'Transform table'!A:B,2,0)</f>
        <v>Barcelona SC</v>
      </c>
      <c r="AB462" t="str">
        <f>VLOOKUP(F462,'Transform table'!A:B,2,0)</f>
        <v>LDU Quito</v>
      </c>
      <c r="AC462" t="str">
        <f t="shared" si="7"/>
        <v>26/07/2026Barcelona SCLDU Quito</v>
      </c>
      <c r="AD462" t="e">
        <f>VLOOKUP($AC462,'oddspedia-matches'!$A:$AD,AD$2,0)</f>
        <v>#N/A</v>
      </c>
      <c r="AE462" t="e">
        <f>VLOOKUP($AC462,'oddspedia-matches'!$A:$AD,AE$2,0)</f>
        <v>#N/A</v>
      </c>
      <c r="AF462" t="e">
        <f>VLOOKUP($AC462,'oddspedia-matches'!$A:$AD,AF$2,0)</f>
        <v>#N/A</v>
      </c>
      <c r="AG462" t="e">
        <f>VLOOKUP($AC462,'oddspedia-matches'!$A:$AD,AG$2,0)</f>
        <v>#N/A</v>
      </c>
      <c r="AH462" t="e">
        <f>VLOOKUP($AC462,'oddspedia-matches'!$A:$AD,AH$2,0)</f>
        <v>#N/A</v>
      </c>
      <c r="AI462" t="e">
        <f>VLOOKUP($AC462,'oddspedia-matches'!$A:$AD,AI$2,0)</f>
        <v>#N/A</v>
      </c>
      <c r="AJ462" t="e">
        <f>VLOOKUP($AC462,'oddspedia-matches'!$A:$AD,AJ$2,0)</f>
        <v>#N/A</v>
      </c>
      <c r="AK462" t="e">
        <f>VLOOKUP($AC462,'oddspedia-matches'!$A:$AD,AK$2,0)</f>
        <v>#N/A</v>
      </c>
      <c r="AL462" t="e">
        <f>VLOOKUP($AC462,'oddspedia-matches'!$A:$AD,AL$2,0)</f>
        <v>#N/A</v>
      </c>
      <c r="AM462" t="e">
        <f>VLOOKUP($AC462,'oddspedia-matches'!$A:$AD,AM$2,0)</f>
        <v>#N/A</v>
      </c>
      <c r="AN462" t="e">
        <f>VLOOKUP($AC462,'oddspedia-matches'!$A:$AD,AN$2,0)</f>
        <v>#N/A</v>
      </c>
      <c r="AO462" t="e">
        <f>VLOOKUP($AC462,'oddspedia-matches'!$A:$AD,AO$2,0)</f>
        <v>#N/A</v>
      </c>
      <c r="AP462" t="e">
        <f>VLOOKUP($AC462,'oddspedia-matches'!$A:$AD,AP$2,0)</f>
        <v>#N/A</v>
      </c>
      <c r="AQ462" t="e">
        <f>VLOOKUP($AC462,'oddspedia-matches'!$A:$AD,AQ$2,0)</f>
        <v>#N/A</v>
      </c>
      <c r="AR462" t="e">
        <f>VLOOKUP($AC462,'oddspedia-matches'!$A:$AD,AR$2,0)</f>
        <v>#N/A</v>
      </c>
      <c r="AS462" t="e">
        <f>VLOOKUP($AC462,'oddspedia-matches'!$A:$AD,AS$2,0)</f>
        <v>#N/A</v>
      </c>
      <c r="AT462" t="e">
        <f>VLOOKUP($AC462,'oddspedia-matches'!$A:$AD,AT$2,0)</f>
        <v>#N/A</v>
      </c>
    </row>
    <row r="463" spans="2:46" x14ac:dyDescent="0.25">
      <c r="B463" t="s">
        <v>470</v>
      </c>
      <c r="C463" t="s">
        <v>948</v>
      </c>
      <c r="D463" s="25">
        <v>0.70833333333333337</v>
      </c>
      <c r="E463" t="s">
        <v>40</v>
      </c>
      <c r="F463" t="s">
        <v>63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>
        <v>20</v>
      </c>
      <c r="Y463">
        <v>0</v>
      </c>
      <c r="AA463" t="str">
        <f>VLOOKUP(E463,'Transform table'!A:B,2,0)</f>
        <v>Tecnico Universitario</v>
      </c>
      <c r="AB463" t="str">
        <f>VLOOKUP(F463,'Transform table'!A:B,2,0)</f>
        <v>Manta FC</v>
      </c>
      <c r="AC463" t="str">
        <f t="shared" si="7"/>
        <v>26/07/2026Tecnico UniversitarioManta FC</v>
      </c>
      <c r="AD463" t="e">
        <f>VLOOKUP($AC463,'oddspedia-matches'!$A:$AD,AD$2,0)</f>
        <v>#N/A</v>
      </c>
      <c r="AE463" t="e">
        <f>VLOOKUP($AC463,'oddspedia-matches'!$A:$AD,AE$2,0)</f>
        <v>#N/A</v>
      </c>
      <c r="AF463" t="e">
        <f>VLOOKUP($AC463,'oddspedia-matches'!$A:$AD,AF$2,0)</f>
        <v>#N/A</v>
      </c>
      <c r="AG463" t="e">
        <f>VLOOKUP($AC463,'oddspedia-matches'!$A:$AD,AG$2,0)</f>
        <v>#N/A</v>
      </c>
      <c r="AH463" t="e">
        <f>VLOOKUP($AC463,'oddspedia-matches'!$A:$AD,AH$2,0)</f>
        <v>#N/A</v>
      </c>
      <c r="AI463" t="e">
        <f>VLOOKUP($AC463,'oddspedia-matches'!$A:$AD,AI$2,0)</f>
        <v>#N/A</v>
      </c>
      <c r="AJ463" t="e">
        <f>VLOOKUP($AC463,'oddspedia-matches'!$A:$AD,AJ$2,0)</f>
        <v>#N/A</v>
      </c>
      <c r="AK463" t="e">
        <f>VLOOKUP($AC463,'oddspedia-matches'!$A:$AD,AK$2,0)</f>
        <v>#N/A</v>
      </c>
      <c r="AL463" t="e">
        <f>VLOOKUP($AC463,'oddspedia-matches'!$A:$AD,AL$2,0)</f>
        <v>#N/A</v>
      </c>
      <c r="AM463" t="e">
        <f>VLOOKUP($AC463,'oddspedia-matches'!$A:$AD,AM$2,0)</f>
        <v>#N/A</v>
      </c>
      <c r="AN463" t="e">
        <f>VLOOKUP($AC463,'oddspedia-matches'!$A:$AD,AN$2,0)</f>
        <v>#N/A</v>
      </c>
      <c r="AO463" t="e">
        <f>VLOOKUP($AC463,'oddspedia-matches'!$A:$AD,AO$2,0)</f>
        <v>#N/A</v>
      </c>
      <c r="AP463" t="e">
        <f>VLOOKUP($AC463,'oddspedia-matches'!$A:$AD,AP$2,0)</f>
        <v>#N/A</v>
      </c>
      <c r="AQ463" t="e">
        <f>VLOOKUP($AC463,'oddspedia-matches'!$A:$AD,AQ$2,0)</f>
        <v>#N/A</v>
      </c>
      <c r="AR463" t="e">
        <f>VLOOKUP($AC463,'oddspedia-matches'!$A:$AD,AR$2,0)</f>
        <v>#N/A</v>
      </c>
      <c r="AS463" t="e">
        <f>VLOOKUP($AC463,'oddspedia-matches'!$A:$AD,AS$2,0)</f>
        <v>#N/A</v>
      </c>
      <c r="AT463" t="e">
        <f>VLOOKUP($AC463,'oddspedia-matches'!$A:$AD,AT$2,0)</f>
        <v>#N/A</v>
      </c>
    </row>
    <row r="464" spans="2:46" x14ac:dyDescent="0.25">
      <c r="B464" t="s">
        <v>484</v>
      </c>
      <c r="C464" t="s">
        <v>948</v>
      </c>
      <c r="D464" s="25">
        <v>0.70833333333333337</v>
      </c>
      <c r="E464" t="s">
        <v>1189</v>
      </c>
      <c r="F464" t="s">
        <v>1190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>
        <v>22.2</v>
      </c>
      <c r="Y464">
        <v>0</v>
      </c>
      <c r="AA464" t="str">
        <f>VLOOKUP(E464,'Transform table'!A:B,2,0)</f>
        <v>Portland Hearts of Pine</v>
      </c>
      <c r="AB464" t="e">
        <f>VLOOKUP(F464,'Transform table'!A:B,2,0)</f>
        <v>#N/A</v>
      </c>
      <c r="AC464" t="e">
        <f t="shared" si="7"/>
        <v>#N/A</v>
      </c>
      <c r="AD464" t="e">
        <f>VLOOKUP($AC464,'oddspedia-matches'!$A:$AD,AD$2,0)</f>
        <v>#N/A</v>
      </c>
      <c r="AE464" t="e">
        <f>VLOOKUP($AC464,'oddspedia-matches'!$A:$AD,AE$2,0)</f>
        <v>#N/A</v>
      </c>
      <c r="AF464" t="e">
        <f>VLOOKUP($AC464,'oddspedia-matches'!$A:$AD,AF$2,0)</f>
        <v>#N/A</v>
      </c>
      <c r="AG464" t="e">
        <f>VLOOKUP($AC464,'oddspedia-matches'!$A:$AD,AG$2,0)</f>
        <v>#N/A</v>
      </c>
      <c r="AH464" t="e">
        <f>VLOOKUP($AC464,'oddspedia-matches'!$A:$AD,AH$2,0)</f>
        <v>#N/A</v>
      </c>
      <c r="AI464" t="e">
        <f>VLOOKUP($AC464,'oddspedia-matches'!$A:$AD,AI$2,0)</f>
        <v>#N/A</v>
      </c>
      <c r="AJ464" t="e">
        <f>VLOOKUP($AC464,'oddspedia-matches'!$A:$AD,AJ$2,0)</f>
        <v>#N/A</v>
      </c>
      <c r="AK464" t="e">
        <f>VLOOKUP($AC464,'oddspedia-matches'!$A:$AD,AK$2,0)</f>
        <v>#N/A</v>
      </c>
      <c r="AL464" t="e">
        <f>VLOOKUP($AC464,'oddspedia-matches'!$A:$AD,AL$2,0)</f>
        <v>#N/A</v>
      </c>
      <c r="AM464" t="e">
        <f>VLOOKUP($AC464,'oddspedia-matches'!$A:$AD,AM$2,0)</f>
        <v>#N/A</v>
      </c>
      <c r="AN464" t="e">
        <f>VLOOKUP($AC464,'oddspedia-matches'!$A:$AD,AN$2,0)</f>
        <v>#N/A</v>
      </c>
      <c r="AO464" t="e">
        <f>VLOOKUP($AC464,'oddspedia-matches'!$A:$AD,AO$2,0)</f>
        <v>#N/A</v>
      </c>
      <c r="AP464" t="e">
        <f>VLOOKUP($AC464,'oddspedia-matches'!$A:$AD,AP$2,0)</f>
        <v>#N/A</v>
      </c>
      <c r="AQ464" t="e">
        <f>VLOOKUP($AC464,'oddspedia-matches'!$A:$AD,AQ$2,0)</f>
        <v>#N/A</v>
      </c>
      <c r="AR464" t="e">
        <f>VLOOKUP($AC464,'oddspedia-matches'!$A:$AD,AR$2,0)</f>
        <v>#N/A</v>
      </c>
      <c r="AS464" t="e">
        <f>VLOOKUP($AC464,'oddspedia-matches'!$A:$AD,AS$2,0)</f>
        <v>#N/A</v>
      </c>
      <c r="AT464" t="e">
        <f>VLOOKUP($AC464,'oddspedia-matches'!$A:$AD,AT$2,0)</f>
        <v>#N/A</v>
      </c>
    </row>
    <row r="465" spans="2:46" x14ac:dyDescent="0.25">
      <c r="B465" t="s">
        <v>488</v>
      </c>
      <c r="C465" t="s">
        <v>948</v>
      </c>
      <c r="D465" s="25">
        <v>0.71875</v>
      </c>
      <c r="E465" t="s">
        <v>1191</v>
      </c>
      <c r="F465" t="s">
        <v>1192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>
        <v>0</v>
      </c>
      <c r="Y465">
        <v>22.2</v>
      </c>
      <c r="AA465" t="str">
        <f>VLOOKUP(E465,'Transform table'!A:B,2,0)</f>
        <v>Estudiantes de La Plata</v>
      </c>
      <c r="AB465" t="e">
        <f>VLOOKUP(F465,'Transform table'!A:B,2,0)</f>
        <v>#N/A</v>
      </c>
      <c r="AC465" t="e">
        <f t="shared" si="7"/>
        <v>#N/A</v>
      </c>
      <c r="AD465" t="e">
        <f>VLOOKUP($AC465,'oddspedia-matches'!$A:$AD,AD$2,0)</f>
        <v>#N/A</v>
      </c>
      <c r="AE465" t="e">
        <f>VLOOKUP($AC465,'oddspedia-matches'!$A:$AD,AE$2,0)</f>
        <v>#N/A</v>
      </c>
      <c r="AF465" t="e">
        <f>VLOOKUP($AC465,'oddspedia-matches'!$A:$AD,AF$2,0)</f>
        <v>#N/A</v>
      </c>
      <c r="AG465" t="e">
        <f>VLOOKUP($AC465,'oddspedia-matches'!$A:$AD,AG$2,0)</f>
        <v>#N/A</v>
      </c>
      <c r="AH465" t="e">
        <f>VLOOKUP($AC465,'oddspedia-matches'!$A:$AD,AH$2,0)</f>
        <v>#N/A</v>
      </c>
      <c r="AI465" t="e">
        <f>VLOOKUP($AC465,'oddspedia-matches'!$A:$AD,AI$2,0)</f>
        <v>#N/A</v>
      </c>
      <c r="AJ465" t="e">
        <f>VLOOKUP($AC465,'oddspedia-matches'!$A:$AD,AJ$2,0)</f>
        <v>#N/A</v>
      </c>
      <c r="AK465" t="e">
        <f>VLOOKUP($AC465,'oddspedia-matches'!$A:$AD,AK$2,0)</f>
        <v>#N/A</v>
      </c>
      <c r="AL465" t="e">
        <f>VLOOKUP($AC465,'oddspedia-matches'!$A:$AD,AL$2,0)</f>
        <v>#N/A</v>
      </c>
      <c r="AM465" t="e">
        <f>VLOOKUP($AC465,'oddspedia-matches'!$A:$AD,AM$2,0)</f>
        <v>#N/A</v>
      </c>
      <c r="AN465" t="e">
        <f>VLOOKUP($AC465,'oddspedia-matches'!$A:$AD,AN$2,0)</f>
        <v>#N/A</v>
      </c>
      <c r="AO465" t="e">
        <f>VLOOKUP($AC465,'oddspedia-matches'!$A:$AD,AO$2,0)</f>
        <v>#N/A</v>
      </c>
      <c r="AP465" t="e">
        <f>VLOOKUP($AC465,'oddspedia-matches'!$A:$AD,AP$2,0)</f>
        <v>#N/A</v>
      </c>
      <c r="AQ465" t="e">
        <f>VLOOKUP($AC465,'oddspedia-matches'!$A:$AD,AQ$2,0)</f>
        <v>#N/A</v>
      </c>
      <c r="AR465" t="e">
        <f>VLOOKUP($AC465,'oddspedia-matches'!$A:$AD,AR$2,0)</f>
        <v>#N/A</v>
      </c>
      <c r="AS465" t="e">
        <f>VLOOKUP($AC465,'oddspedia-matches'!$A:$AD,AS$2,0)</f>
        <v>#N/A</v>
      </c>
      <c r="AT465" t="e">
        <f>VLOOKUP($AC465,'oddspedia-matches'!$A:$AD,AT$2,0)</f>
        <v>#N/A</v>
      </c>
    </row>
    <row r="466" spans="2:46" x14ac:dyDescent="0.25">
      <c r="B466" t="s">
        <v>500</v>
      </c>
      <c r="C466" t="s">
        <v>948</v>
      </c>
      <c r="D466" s="25">
        <v>0.72916666666666663</v>
      </c>
      <c r="E466" t="s">
        <v>1193</v>
      </c>
      <c r="F466" t="s">
        <v>1194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>
        <v>0</v>
      </c>
      <c r="Y466">
        <v>0</v>
      </c>
      <c r="AA466" t="str">
        <f>VLOOKUP(E466,'Transform table'!A:B,2,0)</f>
        <v>Cienciano</v>
      </c>
      <c r="AB466" t="e">
        <f>VLOOKUP(F466,'Transform table'!A:B,2,0)</f>
        <v>#N/A</v>
      </c>
      <c r="AC466" t="e">
        <f t="shared" si="7"/>
        <v>#N/A</v>
      </c>
      <c r="AD466" t="e">
        <f>VLOOKUP($AC466,'oddspedia-matches'!$A:$AD,AD$2,0)</f>
        <v>#N/A</v>
      </c>
      <c r="AE466" t="e">
        <f>VLOOKUP($AC466,'oddspedia-matches'!$A:$AD,AE$2,0)</f>
        <v>#N/A</v>
      </c>
      <c r="AF466" t="e">
        <f>VLOOKUP($AC466,'oddspedia-matches'!$A:$AD,AF$2,0)</f>
        <v>#N/A</v>
      </c>
      <c r="AG466" t="e">
        <f>VLOOKUP($AC466,'oddspedia-matches'!$A:$AD,AG$2,0)</f>
        <v>#N/A</v>
      </c>
      <c r="AH466" t="e">
        <f>VLOOKUP($AC466,'oddspedia-matches'!$A:$AD,AH$2,0)</f>
        <v>#N/A</v>
      </c>
      <c r="AI466" t="e">
        <f>VLOOKUP($AC466,'oddspedia-matches'!$A:$AD,AI$2,0)</f>
        <v>#N/A</v>
      </c>
      <c r="AJ466" t="e">
        <f>VLOOKUP($AC466,'oddspedia-matches'!$A:$AD,AJ$2,0)</f>
        <v>#N/A</v>
      </c>
      <c r="AK466" t="e">
        <f>VLOOKUP($AC466,'oddspedia-matches'!$A:$AD,AK$2,0)</f>
        <v>#N/A</v>
      </c>
      <c r="AL466" t="e">
        <f>VLOOKUP($AC466,'oddspedia-matches'!$A:$AD,AL$2,0)</f>
        <v>#N/A</v>
      </c>
      <c r="AM466" t="e">
        <f>VLOOKUP($AC466,'oddspedia-matches'!$A:$AD,AM$2,0)</f>
        <v>#N/A</v>
      </c>
      <c r="AN466" t="e">
        <f>VLOOKUP($AC466,'oddspedia-matches'!$A:$AD,AN$2,0)</f>
        <v>#N/A</v>
      </c>
      <c r="AO466" t="e">
        <f>VLOOKUP($AC466,'oddspedia-matches'!$A:$AD,AO$2,0)</f>
        <v>#N/A</v>
      </c>
      <c r="AP466" t="e">
        <f>VLOOKUP($AC466,'oddspedia-matches'!$A:$AD,AP$2,0)</f>
        <v>#N/A</v>
      </c>
      <c r="AQ466" t="e">
        <f>VLOOKUP($AC466,'oddspedia-matches'!$A:$AD,AQ$2,0)</f>
        <v>#N/A</v>
      </c>
      <c r="AR466" t="e">
        <f>VLOOKUP($AC466,'oddspedia-matches'!$A:$AD,AR$2,0)</f>
        <v>#N/A</v>
      </c>
      <c r="AS466" t="e">
        <f>VLOOKUP($AC466,'oddspedia-matches'!$A:$AD,AS$2,0)</f>
        <v>#N/A</v>
      </c>
      <c r="AT466" t="e">
        <f>VLOOKUP($AC466,'oddspedia-matches'!$A:$AD,AT$2,0)</f>
        <v>#N/A</v>
      </c>
    </row>
    <row r="467" spans="2:46" x14ac:dyDescent="0.25">
      <c r="B467" t="s">
        <v>470</v>
      </c>
      <c r="C467" t="s">
        <v>948</v>
      </c>
      <c r="D467" s="25">
        <v>0.73958333333333337</v>
      </c>
      <c r="E467" t="s">
        <v>104</v>
      </c>
      <c r="F467" t="s">
        <v>39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>
        <v>0</v>
      </c>
      <c r="Y467">
        <v>20</v>
      </c>
      <c r="AA467" t="str">
        <f>VLOOKUP(E467,'Transform table'!A:B,2,0)</f>
        <v>Orense SC</v>
      </c>
      <c r="AB467" t="str">
        <f>VLOOKUP(F467,'Transform table'!A:B,2,0)</f>
        <v>Independiente del Valle</v>
      </c>
      <c r="AC467" t="str">
        <f t="shared" si="7"/>
        <v>26/07/2026Orense SCIndependiente del Valle</v>
      </c>
      <c r="AD467" t="e">
        <f>VLOOKUP($AC467,'oddspedia-matches'!$A:$AD,AD$2,0)</f>
        <v>#N/A</v>
      </c>
      <c r="AE467" t="e">
        <f>VLOOKUP($AC467,'oddspedia-matches'!$A:$AD,AE$2,0)</f>
        <v>#N/A</v>
      </c>
      <c r="AF467" t="e">
        <f>VLOOKUP($AC467,'oddspedia-matches'!$A:$AD,AF$2,0)</f>
        <v>#N/A</v>
      </c>
      <c r="AG467" t="e">
        <f>VLOOKUP($AC467,'oddspedia-matches'!$A:$AD,AG$2,0)</f>
        <v>#N/A</v>
      </c>
      <c r="AH467" t="e">
        <f>VLOOKUP($AC467,'oddspedia-matches'!$A:$AD,AH$2,0)</f>
        <v>#N/A</v>
      </c>
      <c r="AI467" t="e">
        <f>VLOOKUP($AC467,'oddspedia-matches'!$A:$AD,AI$2,0)</f>
        <v>#N/A</v>
      </c>
      <c r="AJ467" t="e">
        <f>VLOOKUP($AC467,'oddspedia-matches'!$A:$AD,AJ$2,0)</f>
        <v>#N/A</v>
      </c>
      <c r="AK467" t="e">
        <f>VLOOKUP($AC467,'oddspedia-matches'!$A:$AD,AK$2,0)</f>
        <v>#N/A</v>
      </c>
      <c r="AL467" t="e">
        <f>VLOOKUP($AC467,'oddspedia-matches'!$A:$AD,AL$2,0)</f>
        <v>#N/A</v>
      </c>
      <c r="AM467" t="e">
        <f>VLOOKUP($AC467,'oddspedia-matches'!$A:$AD,AM$2,0)</f>
        <v>#N/A</v>
      </c>
      <c r="AN467" t="e">
        <f>VLOOKUP($AC467,'oddspedia-matches'!$A:$AD,AN$2,0)</f>
        <v>#N/A</v>
      </c>
      <c r="AO467" t="e">
        <f>VLOOKUP($AC467,'oddspedia-matches'!$A:$AD,AO$2,0)</f>
        <v>#N/A</v>
      </c>
      <c r="AP467" t="e">
        <f>VLOOKUP($AC467,'oddspedia-matches'!$A:$AD,AP$2,0)</f>
        <v>#N/A</v>
      </c>
      <c r="AQ467" t="e">
        <f>VLOOKUP($AC467,'oddspedia-matches'!$A:$AD,AQ$2,0)</f>
        <v>#N/A</v>
      </c>
      <c r="AR467" t="e">
        <f>VLOOKUP($AC467,'oddspedia-matches'!$A:$AD,AR$2,0)</f>
        <v>#N/A</v>
      </c>
      <c r="AS467" t="e">
        <f>VLOOKUP($AC467,'oddspedia-matches'!$A:$AD,AS$2,0)</f>
        <v>#N/A</v>
      </c>
      <c r="AT467" t="e">
        <f>VLOOKUP($AC467,'oddspedia-matches'!$A:$AD,AT$2,0)</f>
        <v>#N/A</v>
      </c>
    </row>
    <row r="468" spans="2:46" x14ac:dyDescent="0.25">
      <c r="B468" t="s">
        <v>665</v>
      </c>
      <c r="C468" t="s">
        <v>948</v>
      </c>
      <c r="D468" s="25">
        <v>0.75</v>
      </c>
      <c r="E468" t="s">
        <v>377</v>
      </c>
      <c r="F468" t="s">
        <v>1195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>
        <v>18.2</v>
      </c>
      <c r="Y468">
        <v>20</v>
      </c>
      <c r="AA468" t="str">
        <f>VLOOKUP(E468,'Transform table'!A:B,2,0)</f>
        <v>Gimnasia y Tiro</v>
      </c>
      <c r="AB468" t="e">
        <f>VLOOKUP(F468,'Transform table'!A:B,2,0)</f>
        <v>#N/A</v>
      </c>
      <c r="AC468" t="e">
        <f t="shared" si="7"/>
        <v>#N/A</v>
      </c>
      <c r="AD468" t="e">
        <f>VLOOKUP($AC468,'oddspedia-matches'!$A:$AD,AD$2,0)</f>
        <v>#N/A</v>
      </c>
      <c r="AE468" t="e">
        <f>VLOOKUP($AC468,'oddspedia-matches'!$A:$AD,AE$2,0)</f>
        <v>#N/A</v>
      </c>
      <c r="AF468" t="e">
        <f>VLOOKUP($AC468,'oddspedia-matches'!$A:$AD,AF$2,0)</f>
        <v>#N/A</v>
      </c>
      <c r="AG468" t="e">
        <f>VLOOKUP($AC468,'oddspedia-matches'!$A:$AD,AG$2,0)</f>
        <v>#N/A</v>
      </c>
      <c r="AH468" t="e">
        <f>VLOOKUP($AC468,'oddspedia-matches'!$A:$AD,AH$2,0)</f>
        <v>#N/A</v>
      </c>
      <c r="AI468" t="e">
        <f>VLOOKUP($AC468,'oddspedia-matches'!$A:$AD,AI$2,0)</f>
        <v>#N/A</v>
      </c>
      <c r="AJ468" t="e">
        <f>VLOOKUP($AC468,'oddspedia-matches'!$A:$AD,AJ$2,0)</f>
        <v>#N/A</v>
      </c>
      <c r="AK468" t="e">
        <f>VLOOKUP($AC468,'oddspedia-matches'!$A:$AD,AK$2,0)</f>
        <v>#N/A</v>
      </c>
      <c r="AL468" t="e">
        <f>VLOOKUP($AC468,'oddspedia-matches'!$A:$AD,AL$2,0)</f>
        <v>#N/A</v>
      </c>
      <c r="AM468" t="e">
        <f>VLOOKUP($AC468,'oddspedia-matches'!$A:$AD,AM$2,0)</f>
        <v>#N/A</v>
      </c>
      <c r="AN468" t="e">
        <f>VLOOKUP($AC468,'oddspedia-matches'!$A:$AD,AN$2,0)</f>
        <v>#N/A</v>
      </c>
      <c r="AO468" t="e">
        <f>VLOOKUP($AC468,'oddspedia-matches'!$A:$AD,AO$2,0)</f>
        <v>#N/A</v>
      </c>
      <c r="AP468" t="e">
        <f>VLOOKUP($AC468,'oddspedia-matches'!$A:$AD,AP$2,0)</f>
        <v>#N/A</v>
      </c>
      <c r="AQ468" t="e">
        <f>VLOOKUP($AC468,'oddspedia-matches'!$A:$AD,AQ$2,0)</f>
        <v>#N/A</v>
      </c>
      <c r="AR468" t="e">
        <f>VLOOKUP($AC468,'oddspedia-matches'!$A:$AD,AR$2,0)</f>
        <v>#N/A</v>
      </c>
      <c r="AS468" t="e">
        <f>VLOOKUP($AC468,'oddspedia-matches'!$A:$AD,AS$2,0)</f>
        <v>#N/A</v>
      </c>
      <c r="AT468" t="e">
        <f>VLOOKUP($AC468,'oddspedia-matches'!$A:$AD,AT$2,0)</f>
        <v>#N/A</v>
      </c>
    </row>
    <row r="469" spans="2:46" x14ac:dyDescent="0.25">
      <c r="B469" t="s">
        <v>502</v>
      </c>
      <c r="C469" t="s">
        <v>948</v>
      </c>
      <c r="D469" s="25">
        <v>0.75</v>
      </c>
      <c r="E469" t="s">
        <v>1196</v>
      </c>
      <c r="F469" t="s">
        <v>1197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t="s">
        <v>22</v>
      </c>
      <c r="Y469" t="s">
        <v>22</v>
      </c>
      <c r="AA469">
        <f>VLOOKUP(E469,'Transform table'!A:B,2,0)</f>
        <v>0</v>
      </c>
      <c r="AB469" t="e">
        <f>VLOOKUP(F469,'Transform table'!A:B,2,0)</f>
        <v>#N/A</v>
      </c>
      <c r="AC469" t="e">
        <f t="shared" si="7"/>
        <v>#N/A</v>
      </c>
      <c r="AD469" t="e">
        <f>VLOOKUP($AC469,'oddspedia-matches'!$A:$AD,AD$2,0)</f>
        <v>#N/A</v>
      </c>
      <c r="AE469" t="e">
        <f>VLOOKUP($AC469,'oddspedia-matches'!$A:$AD,AE$2,0)</f>
        <v>#N/A</v>
      </c>
      <c r="AF469" t="e">
        <f>VLOOKUP($AC469,'oddspedia-matches'!$A:$AD,AF$2,0)</f>
        <v>#N/A</v>
      </c>
      <c r="AG469" t="e">
        <f>VLOOKUP($AC469,'oddspedia-matches'!$A:$AD,AG$2,0)</f>
        <v>#N/A</v>
      </c>
      <c r="AH469" t="e">
        <f>VLOOKUP($AC469,'oddspedia-matches'!$A:$AD,AH$2,0)</f>
        <v>#N/A</v>
      </c>
      <c r="AI469" t="e">
        <f>VLOOKUP($AC469,'oddspedia-matches'!$A:$AD,AI$2,0)</f>
        <v>#N/A</v>
      </c>
      <c r="AJ469" t="e">
        <f>VLOOKUP($AC469,'oddspedia-matches'!$A:$AD,AJ$2,0)</f>
        <v>#N/A</v>
      </c>
      <c r="AK469" t="e">
        <f>VLOOKUP($AC469,'oddspedia-matches'!$A:$AD,AK$2,0)</f>
        <v>#N/A</v>
      </c>
      <c r="AL469" t="e">
        <f>VLOOKUP($AC469,'oddspedia-matches'!$A:$AD,AL$2,0)</f>
        <v>#N/A</v>
      </c>
      <c r="AM469" t="e">
        <f>VLOOKUP($AC469,'oddspedia-matches'!$A:$AD,AM$2,0)</f>
        <v>#N/A</v>
      </c>
      <c r="AN469" t="e">
        <f>VLOOKUP($AC469,'oddspedia-matches'!$A:$AD,AN$2,0)</f>
        <v>#N/A</v>
      </c>
      <c r="AO469" t="e">
        <f>VLOOKUP($AC469,'oddspedia-matches'!$A:$AD,AO$2,0)</f>
        <v>#N/A</v>
      </c>
      <c r="AP469" t="e">
        <f>VLOOKUP($AC469,'oddspedia-matches'!$A:$AD,AP$2,0)</f>
        <v>#N/A</v>
      </c>
      <c r="AQ469" t="e">
        <f>VLOOKUP($AC469,'oddspedia-matches'!$A:$AD,AQ$2,0)</f>
        <v>#N/A</v>
      </c>
      <c r="AR469" t="e">
        <f>VLOOKUP($AC469,'oddspedia-matches'!$A:$AD,AR$2,0)</f>
        <v>#N/A</v>
      </c>
      <c r="AS469" t="e">
        <f>VLOOKUP($AC469,'oddspedia-matches'!$A:$AD,AS$2,0)</f>
        <v>#N/A</v>
      </c>
      <c r="AT469" t="e">
        <f>VLOOKUP($AC469,'oddspedia-matches'!$A:$AD,AT$2,0)</f>
        <v>#N/A</v>
      </c>
    </row>
    <row r="470" spans="2:46" x14ac:dyDescent="0.25">
      <c r="B470" t="s">
        <v>501</v>
      </c>
      <c r="C470" t="s">
        <v>948</v>
      </c>
      <c r="D470" s="25">
        <v>0.75</v>
      </c>
      <c r="E470" t="s">
        <v>1198</v>
      </c>
      <c r="F470" t="s">
        <v>1199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>
        <v>0</v>
      </c>
      <c r="Y470">
        <v>27.3</v>
      </c>
      <c r="AA470" t="str">
        <f>VLOOKUP(E470,'Transform table'!A:B,2,0)</f>
        <v>Peterborough United</v>
      </c>
      <c r="AB470" t="e">
        <f>VLOOKUP(F470,'Transform table'!A:B,2,0)</f>
        <v>#N/A</v>
      </c>
      <c r="AC470" t="e">
        <f t="shared" si="7"/>
        <v>#N/A</v>
      </c>
      <c r="AD470" t="e">
        <f>VLOOKUP($AC470,'oddspedia-matches'!$A:$AD,AD$2,0)</f>
        <v>#N/A</v>
      </c>
      <c r="AE470" t="e">
        <f>VLOOKUP($AC470,'oddspedia-matches'!$A:$AD,AE$2,0)</f>
        <v>#N/A</v>
      </c>
      <c r="AF470" t="e">
        <f>VLOOKUP($AC470,'oddspedia-matches'!$A:$AD,AF$2,0)</f>
        <v>#N/A</v>
      </c>
      <c r="AG470" t="e">
        <f>VLOOKUP($AC470,'oddspedia-matches'!$A:$AD,AG$2,0)</f>
        <v>#N/A</v>
      </c>
      <c r="AH470" t="e">
        <f>VLOOKUP($AC470,'oddspedia-matches'!$A:$AD,AH$2,0)</f>
        <v>#N/A</v>
      </c>
      <c r="AI470" t="e">
        <f>VLOOKUP($AC470,'oddspedia-matches'!$A:$AD,AI$2,0)</f>
        <v>#N/A</v>
      </c>
      <c r="AJ470" t="e">
        <f>VLOOKUP($AC470,'oddspedia-matches'!$A:$AD,AJ$2,0)</f>
        <v>#N/A</v>
      </c>
      <c r="AK470" t="e">
        <f>VLOOKUP($AC470,'oddspedia-matches'!$A:$AD,AK$2,0)</f>
        <v>#N/A</v>
      </c>
      <c r="AL470" t="e">
        <f>VLOOKUP($AC470,'oddspedia-matches'!$A:$AD,AL$2,0)</f>
        <v>#N/A</v>
      </c>
      <c r="AM470" t="e">
        <f>VLOOKUP($AC470,'oddspedia-matches'!$A:$AD,AM$2,0)</f>
        <v>#N/A</v>
      </c>
      <c r="AN470" t="e">
        <f>VLOOKUP($AC470,'oddspedia-matches'!$A:$AD,AN$2,0)</f>
        <v>#N/A</v>
      </c>
      <c r="AO470" t="e">
        <f>VLOOKUP($AC470,'oddspedia-matches'!$A:$AD,AO$2,0)</f>
        <v>#N/A</v>
      </c>
      <c r="AP470" t="e">
        <f>VLOOKUP($AC470,'oddspedia-matches'!$A:$AD,AP$2,0)</f>
        <v>#N/A</v>
      </c>
      <c r="AQ470" t="e">
        <f>VLOOKUP($AC470,'oddspedia-matches'!$A:$AD,AQ$2,0)</f>
        <v>#N/A</v>
      </c>
      <c r="AR470" t="e">
        <f>VLOOKUP($AC470,'oddspedia-matches'!$A:$AD,AR$2,0)</f>
        <v>#N/A</v>
      </c>
      <c r="AS470" t="e">
        <f>VLOOKUP($AC470,'oddspedia-matches'!$A:$AD,AS$2,0)</f>
        <v>#N/A</v>
      </c>
      <c r="AT470" t="e">
        <f>VLOOKUP($AC470,'oddspedia-matches'!$A:$AD,AT$2,0)</f>
        <v>#N/A</v>
      </c>
    </row>
    <row r="471" spans="2:46" x14ac:dyDescent="0.25">
      <c r="B471" t="s">
        <v>507</v>
      </c>
      <c r="C471" t="s">
        <v>948</v>
      </c>
      <c r="D471" s="25">
        <v>0.75</v>
      </c>
      <c r="E471" t="s">
        <v>1200</v>
      </c>
      <c r="F471" t="s">
        <v>1201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">
        <v>22</v>
      </c>
      <c r="Y471" t="s">
        <v>22</v>
      </c>
      <c r="AA471" t="str">
        <f>VLOOKUP(E471,'Transform table'!A:B,2,0)</f>
        <v>Hertha BSC</v>
      </c>
      <c r="AB471" t="e">
        <f>VLOOKUP(F471,'Transform table'!A:B,2,0)</f>
        <v>#N/A</v>
      </c>
      <c r="AC471" t="e">
        <f t="shared" si="7"/>
        <v>#N/A</v>
      </c>
      <c r="AD471" t="e">
        <f>VLOOKUP($AC471,'oddspedia-matches'!$A:$AD,AD$2,0)</f>
        <v>#N/A</v>
      </c>
      <c r="AE471" t="e">
        <f>VLOOKUP($AC471,'oddspedia-matches'!$A:$AD,AE$2,0)</f>
        <v>#N/A</v>
      </c>
      <c r="AF471" t="e">
        <f>VLOOKUP($AC471,'oddspedia-matches'!$A:$AD,AF$2,0)</f>
        <v>#N/A</v>
      </c>
      <c r="AG471" t="e">
        <f>VLOOKUP($AC471,'oddspedia-matches'!$A:$AD,AG$2,0)</f>
        <v>#N/A</v>
      </c>
      <c r="AH471" t="e">
        <f>VLOOKUP($AC471,'oddspedia-matches'!$A:$AD,AH$2,0)</f>
        <v>#N/A</v>
      </c>
      <c r="AI471" t="e">
        <f>VLOOKUP($AC471,'oddspedia-matches'!$A:$AD,AI$2,0)</f>
        <v>#N/A</v>
      </c>
      <c r="AJ471" t="e">
        <f>VLOOKUP($AC471,'oddspedia-matches'!$A:$AD,AJ$2,0)</f>
        <v>#N/A</v>
      </c>
      <c r="AK471" t="e">
        <f>VLOOKUP($AC471,'oddspedia-matches'!$A:$AD,AK$2,0)</f>
        <v>#N/A</v>
      </c>
      <c r="AL471" t="e">
        <f>VLOOKUP($AC471,'oddspedia-matches'!$A:$AD,AL$2,0)</f>
        <v>#N/A</v>
      </c>
      <c r="AM471" t="e">
        <f>VLOOKUP($AC471,'oddspedia-matches'!$A:$AD,AM$2,0)</f>
        <v>#N/A</v>
      </c>
      <c r="AN471" t="e">
        <f>VLOOKUP($AC471,'oddspedia-matches'!$A:$AD,AN$2,0)</f>
        <v>#N/A</v>
      </c>
      <c r="AO471" t="e">
        <f>VLOOKUP($AC471,'oddspedia-matches'!$A:$AD,AO$2,0)</f>
        <v>#N/A</v>
      </c>
      <c r="AP471" t="e">
        <f>VLOOKUP($AC471,'oddspedia-matches'!$A:$AD,AP$2,0)</f>
        <v>#N/A</v>
      </c>
      <c r="AQ471" t="e">
        <f>VLOOKUP($AC471,'oddspedia-matches'!$A:$AD,AQ$2,0)</f>
        <v>#N/A</v>
      </c>
      <c r="AR471" t="e">
        <f>VLOOKUP($AC471,'oddspedia-matches'!$A:$AD,AR$2,0)</f>
        <v>#N/A</v>
      </c>
      <c r="AS471" t="e">
        <f>VLOOKUP($AC471,'oddspedia-matches'!$A:$AD,AS$2,0)</f>
        <v>#N/A</v>
      </c>
      <c r="AT471" t="e">
        <f>VLOOKUP($AC471,'oddspedia-matches'!$A:$AD,AT$2,0)</f>
        <v>#N/A</v>
      </c>
    </row>
    <row r="472" spans="2:46" x14ac:dyDescent="0.25">
      <c r="B472" t="s">
        <v>505</v>
      </c>
      <c r="C472" t="s">
        <v>948</v>
      </c>
      <c r="D472" s="25">
        <v>0.75347222222222221</v>
      </c>
      <c r="E472" t="s">
        <v>1202</v>
      </c>
      <c r="F472" t="s">
        <v>423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">
        <v>22</v>
      </c>
      <c r="Y472" t="s">
        <v>22</v>
      </c>
      <c r="AA472" t="str">
        <f>VLOOKUP(E472,'Transform table'!A:B,2,0)</f>
        <v>Riga FC</v>
      </c>
      <c r="AB472" t="e">
        <f>VLOOKUP(F472,'Transform table'!A:B,2,0)</f>
        <v>#N/A</v>
      </c>
      <c r="AC472" t="e">
        <f t="shared" si="7"/>
        <v>#N/A</v>
      </c>
      <c r="AD472" t="e">
        <f>VLOOKUP($AC472,'oddspedia-matches'!$A:$AD,AD$2,0)</f>
        <v>#N/A</v>
      </c>
      <c r="AE472" t="e">
        <f>VLOOKUP($AC472,'oddspedia-matches'!$A:$AD,AE$2,0)</f>
        <v>#N/A</v>
      </c>
      <c r="AF472" t="e">
        <f>VLOOKUP($AC472,'oddspedia-matches'!$A:$AD,AF$2,0)</f>
        <v>#N/A</v>
      </c>
      <c r="AG472" t="e">
        <f>VLOOKUP($AC472,'oddspedia-matches'!$A:$AD,AG$2,0)</f>
        <v>#N/A</v>
      </c>
      <c r="AH472" t="e">
        <f>VLOOKUP($AC472,'oddspedia-matches'!$A:$AD,AH$2,0)</f>
        <v>#N/A</v>
      </c>
      <c r="AI472" t="e">
        <f>VLOOKUP($AC472,'oddspedia-matches'!$A:$AD,AI$2,0)</f>
        <v>#N/A</v>
      </c>
      <c r="AJ472" t="e">
        <f>VLOOKUP($AC472,'oddspedia-matches'!$A:$AD,AJ$2,0)</f>
        <v>#N/A</v>
      </c>
      <c r="AK472" t="e">
        <f>VLOOKUP($AC472,'oddspedia-matches'!$A:$AD,AK$2,0)</f>
        <v>#N/A</v>
      </c>
      <c r="AL472" t="e">
        <f>VLOOKUP($AC472,'oddspedia-matches'!$A:$AD,AL$2,0)</f>
        <v>#N/A</v>
      </c>
      <c r="AM472" t="e">
        <f>VLOOKUP($AC472,'oddspedia-matches'!$A:$AD,AM$2,0)</f>
        <v>#N/A</v>
      </c>
      <c r="AN472" t="e">
        <f>VLOOKUP($AC472,'oddspedia-matches'!$A:$AD,AN$2,0)</f>
        <v>#N/A</v>
      </c>
      <c r="AO472" t="e">
        <f>VLOOKUP($AC472,'oddspedia-matches'!$A:$AD,AO$2,0)</f>
        <v>#N/A</v>
      </c>
      <c r="AP472" t="e">
        <f>VLOOKUP($AC472,'oddspedia-matches'!$A:$AD,AP$2,0)</f>
        <v>#N/A</v>
      </c>
      <c r="AQ472" t="e">
        <f>VLOOKUP($AC472,'oddspedia-matches'!$A:$AD,AQ$2,0)</f>
        <v>#N/A</v>
      </c>
      <c r="AR472" t="e">
        <f>VLOOKUP($AC472,'oddspedia-matches'!$A:$AD,AR$2,0)</f>
        <v>#N/A</v>
      </c>
      <c r="AS472" t="e">
        <f>VLOOKUP($AC472,'oddspedia-matches'!$A:$AD,AS$2,0)</f>
        <v>#N/A</v>
      </c>
      <c r="AT472" t="e">
        <f>VLOOKUP($AC472,'oddspedia-matches'!$A:$AD,AT$2,0)</f>
        <v>#N/A</v>
      </c>
    </row>
    <row r="473" spans="2:46" x14ac:dyDescent="0.25">
      <c r="B473" t="s">
        <v>475</v>
      </c>
      <c r="C473" t="s">
        <v>948</v>
      </c>
      <c r="D473" s="25">
        <v>0.76041666666666663</v>
      </c>
      <c r="E473" t="s">
        <v>1203</v>
      </c>
      <c r="F473" t="s">
        <v>239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>
        <v>20</v>
      </c>
      <c r="Y473">
        <v>25</v>
      </c>
      <c r="AA473" t="str">
        <f>VLOOKUP(E473,'Transform table'!A:B,2,0)</f>
        <v>Club Bolivar</v>
      </c>
      <c r="AB473" t="str">
        <f>VLOOKUP(F473,'Transform table'!A:B,2,0)</f>
        <v>Real Potosi</v>
      </c>
      <c r="AC473" t="str">
        <f t="shared" si="7"/>
        <v>26/07/2026Club BolivarReal Potosi</v>
      </c>
      <c r="AD473" t="e">
        <f>VLOOKUP($AC473,'oddspedia-matches'!$A:$AD,AD$2,0)</f>
        <v>#N/A</v>
      </c>
      <c r="AE473" t="e">
        <f>VLOOKUP($AC473,'oddspedia-matches'!$A:$AD,AE$2,0)</f>
        <v>#N/A</v>
      </c>
      <c r="AF473" t="e">
        <f>VLOOKUP($AC473,'oddspedia-matches'!$A:$AD,AF$2,0)</f>
        <v>#N/A</v>
      </c>
      <c r="AG473" t="e">
        <f>VLOOKUP($AC473,'oddspedia-matches'!$A:$AD,AG$2,0)</f>
        <v>#N/A</v>
      </c>
      <c r="AH473" t="e">
        <f>VLOOKUP($AC473,'oddspedia-matches'!$A:$AD,AH$2,0)</f>
        <v>#N/A</v>
      </c>
      <c r="AI473" t="e">
        <f>VLOOKUP($AC473,'oddspedia-matches'!$A:$AD,AI$2,0)</f>
        <v>#N/A</v>
      </c>
      <c r="AJ473" t="e">
        <f>VLOOKUP($AC473,'oddspedia-matches'!$A:$AD,AJ$2,0)</f>
        <v>#N/A</v>
      </c>
      <c r="AK473" t="e">
        <f>VLOOKUP($AC473,'oddspedia-matches'!$A:$AD,AK$2,0)</f>
        <v>#N/A</v>
      </c>
      <c r="AL473" t="e">
        <f>VLOOKUP($AC473,'oddspedia-matches'!$A:$AD,AL$2,0)</f>
        <v>#N/A</v>
      </c>
      <c r="AM473" t="e">
        <f>VLOOKUP($AC473,'oddspedia-matches'!$A:$AD,AM$2,0)</f>
        <v>#N/A</v>
      </c>
      <c r="AN473" t="e">
        <f>VLOOKUP($AC473,'oddspedia-matches'!$A:$AD,AN$2,0)</f>
        <v>#N/A</v>
      </c>
      <c r="AO473" t="e">
        <f>VLOOKUP($AC473,'oddspedia-matches'!$A:$AD,AO$2,0)</f>
        <v>#N/A</v>
      </c>
      <c r="AP473" t="e">
        <f>VLOOKUP($AC473,'oddspedia-matches'!$A:$AD,AP$2,0)</f>
        <v>#N/A</v>
      </c>
      <c r="AQ473" t="e">
        <f>VLOOKUP($AC473,'oddspedia-matches'!$A:$AD,AQ$2,0)</f>
        <v>#N/A</v>
      </c>
      <c r="AR473" t="e">
        <f>VLOOKUP($AC473,'oddspedia-matches'!$A:$AD,AR$2,0)</f>
        <v>#N/A</v>
      </c>
      <c r="AS473" t="e">
        <f>VLOOKUP($AC473,'oddspedia-matches'!$A:$AD,AS$2,0)</f>
        <v>#N/A</v>
      </c>
      <c r="AT473" t="e">
        <f>VLOOKUP($AC473,'oddspedia-matches'!$A:$AD,AT$2,0)</f>
        <v>#N/A</v>
      </c>
    </row>
    <row r="474" spans="2:46" x14ac:dyDescent="0.25">
      <c r="B474" t="s">
        <v>472</v>
      </c>
      <c r="C474" t="s">
        <v>948</v>
      </c>
      <c r="D474" s="25">
        <v>0.77083333333333337</v>
      </c>
      <c r="E474" t="s">
        <v>1204</v>
      </c>
      <c r="F474" t="s">
        <v>41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>
        <v>11.1</v>
      </c>
      <c r="Y474">
        <v>10</v>
      </c>
      <c r="AA474" t="str">
        <f>VLOOKUP(E474,'Transform table'!A:B,2,0)</f>
        <v>Red Bull Bragantino</v>
      </c>
      <c r="AB474" t="str">
        <f>VLOOKUP(F474,'Transform table'!A:B,2,0)</f>
        <v>Coritiba PR</v>
      </c>
      <c r="AC474" t="str">
        <f t="shared" si="7"/>
        <v>26/07/2026Red Bull BragantinoCoritiba PR</v>
      </c>
      <c r="AD474" t="e">
        <f>VLOOKUP($AC474,'oddspedia-matches'!$A:$AD,AD$2,0)</f>
        <v>#N/A</v>
      </c>
      <c r="AE474" t="e">
        <f>VLOOKUP($AC474,'oddspedia-matches'!$A:$AD,AE$2,0)</f>
        <v>#N/A</v>
      </c>
      <c r="AF474" t="e">
        <f>VLOOKUP($AC474,'oddspedia-matches'!$A:$AD,AF$2,0)</f>
        <v>#N/A</v>
      </c>
      <c r="AG474" t="e">
        <f>VLOOKUP($AC474,'oddspedia-matches'!$A:$AD,AG$2,0)</f>
        <v>#N/A</v>
      </c>
      <c r="AH474" t="e">
        <f>VLOOKUP($AC474,'oddspedia-matches'!$A:$AD,AH$2,0)</f>
        <v>#N/A</v>
      </c>
      <c r="AI474" t="e">
        <f>VLOOKUP($AC474,'oddspedia-matches'!$A:$AD,AI$2,0)</f>
        <v>#N/A</v>
      </c>
      <c r="AJ474" t="e">
        <f>VLOOKUP($AC474,'oddspedia-matches'!$A:$AD,AJ$2,0)</f>
        <v>#N/A</v>
      </c>
      <c r="AK474" t="e">
        <f>VLOOKUP($AC474,'oddspedia-matches'!$A:$AD,AK$2,0)</f>
        <v>#N/A</v>
      </c>
      <c r="AL474" t="e">
        <f>VLOOKUP($AC474,'oddspedia-matches'!$A:$AD,AL$2,0)</f>
        <v>#N/A</v>
      </c>
      <c r="AM474" t="e">
        <f>VLOOKUP($AC474,'oddspedia-matches'!$A:$AD,AM$2,0)</f>
        <v>#N/A</v>
      </c>
      <c r="AN474" t="e">
        <f>VLOOKUP($AC474,'oddspedia-matches'!$A:$AD,AN$2,0)</f>
        <v>#N/A</v>
      </c>
      <c r="AO474" t="e">
        <f>VLOOKUP($AC474,'oddspedia-matches'!$A:$AD,AO$2,0)</f>
        <v>#N/A</v>
      </c>
      <c r="AP474" t="e">
        <f>VLOOKUP($AC474,'oddspedia-matches'!$A:$AD,AP$2,0)</f>
        <v>#N/A</v>
      </c>
      <c r="AQ474" t="e">
        <f>VLOOKUP($AC474,'oddspedia-matches'!$A:$AD,AQ$2,0)</f>
        <v>#N/A</v>
      </c>
      <c r="AR474" t="e">
        <f>VLOOKUP($AC474,'oddspedia-matches'!$A:$AD,AR$2,0)</f>
        <v>#N/A</v>
      </c>
      <c r="AS474" t="e">
        <f>VLOOKUP($AC474,'oddspedia-matches'!$A:$AD,AS$2,0)</f>
        <v>#N/A</v>
      </c>
      <c r="AT474" t="e">
        <f>VLOOKUP($AC474,'oddspedia-matches'!$A:$AD,AT$2,0)</f>
        <v>#N/A</v>
      </c>
    </row>
    <row r="475" spans="2:46" x14ac:dyDescent="0.25">
      <c r="B475" t="s">
        <v>472</v>
      </c>
      <c r="C475" t="s">
        <v>948</v>
      </c>
      <c r="D475" s="25">
        <v>0.77083333333333337</v>
      </c>
      <c r="E475" t="s">
        <v>68</v>
      </c>
      <c r="F475" t="s">
        <v>71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>
        <v>25</v>
      </c>
      <c r="Y475">
        <v>10</v>
      </c>
      <c r="AA475" t="str">
        <f>VLOOKUP(E475,'Transform table'!A:B,2,0)</f>
        <v>Flamengo RJ</v>
      </c>
      <c r="AB475" t="str">
        <f>VLOOKUP(F475,'Transform table'!A:B,2,0)</f>
        <v>Sao Paulo</v>
      </c>
      <c r="AC475" t="str">
        <f t="shared" si="7"/>
        <v>26/07/2026Flamengo RJSao Paulo</v>
      </c>
      <c r="AD475" t="e">
        <f>VLOOKUP($AC475,'oddspedia-matches'!$A:$AD,AD$2,0)</f>
        <v>#N/A</v>
      </c>
      <c r="AE475" t="e">
        <f>VLOOKUP($AC475,'oddspedia-matches'!$A:$AD,AE$2,0)</f>
        <v>#N/A</v>
      </c>
      <c r="AF475" t="e">
        <f>VLOOKUP($AC475,'oddspedia-matches'!$A:$AD,AF$2,0)</f>
        <v>#N/A</v>
      </c>
      <c r="AG475" t="e">
        <f>VLOOKUP($AC475,'oddspedia-matches'!$A:$AD,AG$2,0)</f>
        <v>#N/A</v>
      </c>
      <c r="AH475" t="e">
        <f>VLOOKUP($AC475,'oddspedia-matches'!$A:$AD,AH$2,0)</f>
        <v>#N/A</v>
      </c>
      <c r="AI475" t="e">
        <f>VLOOKUP($AC475,'oddspedia-matches'!$A:$AD,AI$2,0)</f>
        <v>#N/A</v>
      </c>
      <c r="AJ475" t="e">
        <f>VLOOKUP($AC475,'oddspedia-matches'!$A:$AD,AJ$2,0)</f>
        <v>#N/A</v>
      </c>
      <c r="AK475" t="e">
        <f>VLOOKUP($AC475,'oddspedia-matches'!$A:$AD,AK$2,0)</f>
        <v>#N/A</v>
      </c>
      <c r="AL475" t="e">
        <f>VLOOKUP($AC475,'oddspedia-matches'!$A:$AD,AL$2,0)</f>
        <v>#N/A</v>
      </c>
      <c r="AM475" t="e">
        <f>VLOOKUP($AC475,'oddspedia-matches'!$A:$AD,AM$2,0)</f>
        <v>#N/A</v>
      </c>
      <c r="AN475" t="e">
        <f>VLOOKUP($AC475,'oddspedia-matches'!$A:$AD,AN$2,0)</f>
        <v>#N/A</v>
      </c>
      <c r="AO475" t="e">
        <f>VLOOKUP($AC475,'oddspedia-matches'!$A:$AD,AO$2,0)</f>
        <v>#N/A</v>
      </c>
      <c r="AP475" t="e">
        <f>VLOOKUP($AC475,'oddspedia-matches'!$A:$AD,AP$2,0)</f>
        <v>#N/A</v>
      </c>
      <c r="AQ475" t="e">
        <f>VLOOKUP($AC475,'oddspedia-matches'!$A:$AD,AQ$2,0)</f>
        <v>#N/A</v>
      </c>
      <c r="AR475" t="e">
        <f>VLOOKUP($AC475,'oddspedia-matches'!$A:$AD,AR$2,0)</f>
        <v>#N/A</v>
      </c>
      <c r="AS475" t="e">
        <f>VLOOKUP($AC475,'oddspedia-matches'!$A:$AD,AS$2,0)</f>
        <v>#N/A</v>
      </c>
      <c r="AT475" t="e">
        <f>VLOOKUP($AC475,'oddspedia-matches'!$A:$AD,AT$2,0)</f>
        <v>#N/A</v>
      </c>
    </row>
    <row r="476" spans="2:46" x14ac:dyDescent="0.25">
      <c r="B476" t="s">
        <v>472</v>
      </c>
      <c r="C476" t="s">
        <v>948</v>
      </c>
      <c r="D476" s="25">
        <v>0.77083333333333337</v>
      </c>
      <c r="E476" t="s">
        <v>1205</v>
      </c>
      <c r="F476" t="s">
        <v>1206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>
        <v>22.2</v>
      </c>
      <c r="Y476">
        <v>33.299999999999997</v>
      </c>
      <c r="AA476" t="str">
        <f>VLOOKUP(E476,'Transform table'!A:B,2,0)</f>
        <v>Gremio RS</v>
      </c>
      <c r="AB476" t="e">
        <f>VLOOKUP(F476,'Transform table'!A:B,2,0)</f>
        <v>#N/A</v>
      </c>
      <c r="AC476" t="e">
        <f t="shared" si="7"/>
        <v>#N/A</v>
      </c>
      <c r="AD476" t="e">
        <f>VLOOKUP($AC476,'oddspedia-matches'!$A:$AD,AD$2,0)</f>
        <v>#N/A</v>
      </c>
      <c r="AE476" t="e">
        <f>VLOOKUP($AC476,'oddspedia-matches'!$A:$AD,AE$2,0)</f>
        <v>#N/A</v>
      </c>
      <c r="AF476" t="e">
        <f>VLOOKUP($AC476,'oddspedia-matches'!$A:$AD,AF$2,0)</f>
        <v>#N/A</v>
      </c>
      <c r="AG476" t="e">
        <f>VLOOKUP($AC476,'oddspedia-matches'!$A:$AD,AG$2,0)</f>
        <v>#N/A</v>
      </c>
      <c r="AH476" t="e">
        <f>VLOOKUP($AC476,'oddspedia-matches'!$A:$AD,AH$2,0)</f>
        <v>#N/A</v>
      </c>
      <c r="AI476" t="e">
        <f>VLOOKUP($AC476,'oddspedia-matches'!$A:$AD,AI$2,0)</f>
        <v>#N/A</v>
      </c>
      <c r="AJ476" t="e">
        <f>VLOOKUP($AC476,'oddspedia-matches'!$A:$AD,AJ$2,0)</f>
        <v>#N/A</v>
      </c>
      <c r="AK476" t="e">
        <f>VLOOKUP($AC476,'oddspedia-matches'!$A:$AD,AK$2,0)</f>
        <v>#N/A</v>
      </c>
      <c r="AL476" t="e">
        <f>VLOOKUP($AC476,'oddspedia-matches'!$A:$AD,AL$2,0)</f>
        <v>#N/A</v>
      </c>
      <c r="AM476" t="e">
        <f>VLOOKUP($AC476,'oddspedia-matches'!$A:$AD,AM$2,0)</f>
        <v>#N/A</v>
      </c>
      <c r="AN476" t="e">
        <f>VLOOKUP($AC476,'oddspedia-matches'!$A:$AD,AN$2,0)</f>
        <v>#N/A</v>
      </c>
      <c r="AO476" t="e">
        <f>VLOOKUP($AC476,'oddspedia-matches'!$A:$AD,AO$2,0)</f>
        <v>#N/A</v>
      </c>
      <c r="AP476" t="e">
        <f>VLOOKUP($AC476,'oddspedia-matches'!$A:$AD,AP$2,0)</f>
        <v>#N/A</v>
      </c>
      <c r="AQ476" t="e">
        <f>VLOOKUP($AC476,'oddspedia-matches'!$A:$AD,AQ$2,0)</f>
        <v>#N/A</v>
      </c>
      <c r="AR476" t="e">
        <f>VLOOKUP($AC476,'oddspedia-matches'!$A:$AD,AR$2,0)</f>
        <v>#N/A</v>
      </c>
      <c r="AS476" t="e">
        <f>VLOOKUP($AC476,'oddspedia-matches'!$A:$AD,AS$2,0)</f>
        <v>#N/A</v>
      </c>
      <c r="AT476" t="e">
        <f>VLOOKUP($AC476,'oddspedia-matches'!$A:$AD,AT$2,0)</f>
        <v>#N/A</v>
      </c>
    </row>
    <row r="477" spans="2:46" x14ac:dyDescent="0.25">
      <c r="B477" t="s">
        <v>473</v>
      </c>
      <c r="C477" t="s">
        <v>948</v>
      </c>
      <c r="D477" s="25">
        <v>0.77083333333333337</v>
      </c>
      <c r="E477" t="s">
        <v>235</v>
      </c>
      <c r="F477" t="s">
        <v>51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>
        <v>11.1</v>
      </c>
      <c r="Y477">
        <v>10</v>
      </c>
      <c r="AA477" t="str">
        <f>VLOOKUP(E477,'Transform table'!A:B,2,0)</f>
        <v>America Mineiro</v>
      </c>
      <c r="AB477" t="str">
        <f>VLOOKUP(F477,'Transform table'!A:B,2,0)</f>
        <v>Goias</v>
      </c>
      <c r="AC477" t="str">
        <f t="shared" si="7"/>
        <v>26/07/2026America MineiroGoias</v>
      </c>
      <c r="AD477" t="e">
        <f>VLOOKUP($AC477,'oddspedia-matches'!$A:$AD,AD$2,0)</f>
        <v>#N/A</v>
      </c>
      <c r="AE477" t="e">
        <f>VLOOKUP($AC477,'oddspedia-matches'!$A:$AD,AE$2,0)</f>
        <v>#N/A</v>
      </c>
      <c r="AF477" t="e">
        <f>VLOOKUP($AC477,'oddspedia-matches'!$A:$AD,AF$2,0)</f>
        <v>#N/A</v>
      </c>
      <c r="AG477" t="e">
        <f>VLOOKUP($AC477,'oddspedia-matches'!$A:$AD,AG$2,0)</f>
        <v>#N/A</v>
      </c>
      <c r="AH477" t="e">
        <f>VLOOKUP($AC477,'oddspedia-matches'!$A:$AD,AH$2,0)</f>
        <v>#N/A</v>
      </c>
      <c r="AI477" t="e">
        <f>VLOOKUP($AC477,'oddspedia-matches'!$A:$AD,AI$2,0)</f>
        <v>#N/A</v>
      </c>
      <c r="AJ477" t="e">
        <f>VLOOKUP($AC477,'oddspedia-matches'!$A:$AD,AJ$2,0)</f>
        <v>#N/A</v>
      </c>
      <c r="AK477" t="e">
        <f>VLOOKUP($AC477,'oddspedia-matches'!$A:$AD,AK$2,0)</f>
        <v>#N/A</v>
      </c>
      <c r="AL477" t="e">
        <f>VLOOKUP($AC477,'oddspedia-matches'!$A:$AD,AL$2,0)</f>
        <v>#N/A</v>
      </c>
      <c r="AM477" t="e">
        <f>VLOOKUP($AC477,'oddspedia-matches'!$A:$AD,AM$2,0)</f>
        <v>#N/A</v>
      </c>
      <c r="AN477" t="e">
        <f>VLOOKUP($AC477,'oddspedia-matches'!$A:$AD,AN$2,0)</f>
        <v>#N/A</v>
      </c>
      <c r="AO477" t="e">
        <f>VLOOKUP($AC477,'oddspedia-matches'!$A:$AD,AO$2,0)</f>
        <v>#N/A</v>
      </c>
      <c r="AP477" t="e">
        <f>VLOOKUP($AC477,'oddspedia-matches'!$A:$AD,AP$2,0)</f>
        <v>#N/A</v>
      </c>
      <c r="AQ477" t="e">
        <f>VLOOKUP($AC477,'oddspedia-matches'!$A:$AD,AQ$2,0)</f>
        <v>#N/A</v>
      </c>
      <c r="AR477" t="e">
        <f>VLOOKUP($AC477,'oddspedia-matches'!$A:$AD,AR$2,0)</f>
        <v>#N/A</v>
      </c>
      <c r="AS477" t="e">
        <f>VLOOKUP($AC477,'oddspedia-matches'!$A:$AD,AS$2,0)</f>
        <v>#N/A</v>
      </c>
      <c r="AT477" t="e">
        <f>VLOOKUP($AC477,'oddspedia-matches'!$A:$AD,AT$2,0)</f>
        <v>#N/A</v>
      </c>
    </row>
    <row r="478" spans="2:46" x14ac:dyDescent="0.25">
      <c r="B478" t="s">
        <v>473</v>
      </c>
      <c r="C478" t="s">
        <v>948</v>
      </c>
      <c r="D478" s="25">
        <v>0.77083333333333337</v>
      </c>
      <c r="E478" t="s">
        <v>74</v>
      </c>
      <c r="F478" t="s">
        <v>236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>
        <v>11.1</v>
      </c>
      <c r="Y478">
        <v>20</v>
      </c>
      <c r="AA478" t="str">
        <f>VLOOKUP(E478,'Transform table'!A:B,2,0)</f>
        <v>Londrina EC</v>
      </c>
      <c r="AB478" t="str">
        <f>VLOOKUP(F478,'Transform table'!A:B,2,0)</f>
        <v>Novorizontino SP</v>
      </c>
      <c r="AC478" t="str">
        <f t="shared" si="7"/>
        <v>26/07/2026Londrina ECNovorizontino SP</v>
      </c>
      <c r="AD478" t="e">
        <f>VLOOKUP($AC478,'oddspedia-matches'!$A:$AD,AD$2,0)</f>
        <v>#N/A</v>
      </c>
      <c r="AE478" t="e">
        <f>VLOOKUP($AC478,'oddspedia-matches'!$A:$AD,AE$2,0)</f>
        <v>#N/A</v>
      </c>
      <c r="AF478" t="e">
        <f>VLOOKUP($AC478,'oddspedia-matches'!$A:$AD,AF$2,0)</f>
        <v>#N/A</v>
      </c>
      <c r="AG478" t="e">
        <f>VLOOKUP($AC478,'oddspedia-matches'!$A:$AD,AG$2,0)</f>
        <v>#N/A</v>
      </c>
      <c r="AH478" t="e">
        <f>VLOOKUP($AC478,'oddspedia-matches'!$A:$AD,AH$2,0)</f>
        <v>#N/A</v>
      </c>
      <c r="AI478" t="e">
        <f>VLOOKUP($AC478,'oddspedia-matches'!$A:$AD,AI$2,0)</f>
        <v>#N/A</v>
      </c>
      <c r="AJ478" t="e">
        <f>VLOOKUP($AC478,'oddspedia-matches'!$A:$AD,AJ$2,0)</f>
        <v>#N/A</v>
      </c>
      <c r="AK478" t="e">
        <f>VLOOKUP($AC478,'oddspedia-matches'!$A:$AD,AK$2,0)</f>
        <v>#N/A</v>
      </c>
      <c r="AL478" t="e">
        <f>VLOOKUP($AC478,'oddspedia-matches'!$A:$AD,AL$2,0)</f>
        <v>#N/A</v>
      </c>
      <c r="AM478" t="e">
        <f>VLOOKUP($AC478,'oddspedia-matches'!$A:$AD,AM$2,0)</f>
        <v>#N/A</v>
      </c>
      <c r="AN478" t="e">
        <f>VLOOKUP($AC478,'oddspedia-matches'!$A:$AD,AN$2,0)</f>
        <v>#N/A</v>
      </c>
      <c r="AO478" t="e">
        <f>VLOOKUP($AC478,'oddspedia-matches'!$A:$AD,AO$2,0)</f>
        <v>#N/A</v>
      </c>
      <c r="AP478" t="e">
        <f>VLOOKUP($AC478,'oddspedia-matches'!$A:$AD,AP$2,0)</f>
        <v>#N/A</v>
      </c>
      <c r="AQ478" t="e">
        <f>VLOOKUP($AC478,'oddspedia-matches'!$A:$AD,AQ$2,0)</f>
        <v>#N/A</v>
      </c>
      <c r="AR478" t="e">
        <f>VLOOKUP($AC478,'oddspedia-matches'!$A:$AD,AR$2,0)</f>
        <v>#N/A</v>
      </c>
      <c r="AS478" t="e">
        <f>VLOOKUP($AC478,'oddspedia-matches'!$A:$AD,AS$2,0)</f>
        <v>#N/A</v>
      </c>
      <c r="AT478" t="e">
        <f>VLOOKUP($AC478,'oddspedia-matches'!$A:$AD,AT$2,0)</f>
        <v>#N/A</v>
      </c>
    </row>
    <row r="479" spans="2:46" x14ac:dyDescent="0.25">
      <c r="B479" t="s">
        <v>746</v>
      </c>
      <c r="C479" t="s">
        <v>948</v>
      </c>
      <c r="D479" s="25">
        <v>0.77083333333333337</v>
      </c>
      <c r="E479" t="s">
        <v>1207</v>
      </c>
      <c r="F479" t="s">
        <v>1208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>
        <v>0</v>
      </c>
      <c r="Y479">
        <v>28.6</v>
      </c>
      <c r="AA479">
        <f>VLOOKUP(E479,'Transform table'!A:B,2,0)</f>
        <v>0</v>
      </c>
      <c r="AB479" t="e">
        <f>VLOOKUP(F479,'Transform table'!A:B,2,0)</f>
        <v>#N/A</v>
      </c>
      <c r="AC479" t="e">
        <f t="shared" si="7"/>
        <v>#N/A</v>
      </c>
      <c r="AD479" t="e">
        <f>VLOOKUP($AC479,'oddspedia-matches'!$A:$AD,AD$2,0)</f>
        <v>#N/A</v>
      </c>
      <c r="AE479" t="e">
        <f>VLOOKUP($AC479,'oddspedia-matches'!$A:$AD,AE$2,0)</f>
        <v>#N/A</v>
      </c>
      <c r="AF479" t="e">
        <f>VLOOKUP($AC479,'oddspedia-matches'!$A:$AD,AF$2,0)</f>
        <v>#N/A</v>
      </c>
      <c r="AG479" t="e">
        <f>VLOOKUP($AC479,'oddspedia-matches'!$A:$AD,AG$2,0)</f>
        <v>#N/A</v>
      </c>
      <c r="AH479" t="e">
        <f>VLOOKUP($AC479,'oddspedia-matches'!$A:$AD,AH$2,0)</f>
        <v>#N/A</v>
      </c>
      <c r="AI479" t="e">
        <f>VLOOKUP($AC479,'oddspedia-matches'!$A:$AD,AI$2,0)</f>
        <v>#N/A</v>
      </c>
      <c r="AJ479" t="e">
        <f>VLOOKUP($AC479,'oddspedia-matches'!$A:$AD,AJ$2,0)</f>
        <v>#N/A</v>
      </c>
      <c r="AK479" t="e">
        <f>VLOOKUP($AC479,'oddspedia-matches'!$A:$AD,AK$2,0)</f>
        <v>#N/A</v>
      </c>
      <c r="AL479" t="e">
        <f>VLOOKUP($AC479,'oddspedia-matches'!$A:$AD,AL$2,0)</f>
        <v>#N/A</v>
      </c>
      <c r="AM479" t="e">
        <f>VLOOKUP($AC479,'oddspedia-matches'!$A:$AD,AM$2,0)</f>
        <v>#N/A</v>
      </c>
      <c r="AN479" t="e">
        <f>VLOOKUP($AC479,'oddspedia-matches'!$A:$AD,AN$2,0)</f>
        <v>#N/A</v>
      </c>
      <c r="AO479" t="e">
        <f>VLOOKUP($AC479,'oddspedia-matches'!$A:$AD,AO$2,0)</f>
        <v>#N/A</v>
      </c>
      <c r="AP479" t="e">
        <f>VLOOKUP($AC479,'oddspedia-matches'!$A:$AD,AP$2,0)</f>
        <v>#N/A</v>
      </c>
      <c r="AQ479" t="e">
        <f>VLOOKUP($AC479,'oddspedia-matches'!$A:$AD,AQ$2,0)</f>
        <v>#N/A</v>
      </c>
      <c r="AR479" t="e">
        <f>VLOOKUP($AC479,'oddspedia-matches'!$A:$AD,AR$2,0)</f>
        <v>#N/A</v>
      </c>
      <c r="AS479" t="e">
        <f>VLOOKUP($AC479,'oddspedia-matches'!$A:$AD,AS$2,0)</f>
        <v>#N/A</v>
      </c>
      <c r="AT479" t="e">
        <f>VLOOKUP($AC479,'oddspedia-matches'!$A:$AD,AT$2,0)</f>
        <v>#N/A</v>
      </c>
    </row>
    <row r="480" spans="2:46" x14ac:dyDescent="0.25">
      <c r="B480" t="s">
        <v>503</v>
      </c>
      <c r="C480" t="s">
        <v>948</v>
      </c>
      <c r="D480" s="25">
        <v>0.77083333333333337</v>
      </c>
      <c r="E480" t="s">
        <v>1209</v>
      </c>
      <c r="F480" t="s">
        <v>1210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>
        <v>50</v>
      </c>
      <c r="Y480">
        <v>12.5</v>
      </c>
      <c r="AA480" t="str">
        <f>VLOOKUP(E480,'Transform table'!A:B,2,0)</f>
        <v>Audax Sao Mateus</v>
      </c>
      <c r="AB480" t="e">
        <f>VLOOKUP(F480,'Transform table'!A:B,2,0)</f>
        <v>#N/A</v>
      </c>
      <c r="AC480" t="e">
        <f t="shared" si="7"/>
        <v>#N/A</v>
      </c>
      <c r="AD480" t="e">
        <f>VLOOKUP($AC480,'oddspedia-matches'!$A:$AD,AD$2,0)</f>
        <v>#N/A</v>
      </c>
      <c r="AE480" t="e">
        <f>VLOOKUP($AC480,'oddspedia-matches'!$A:$AD,AE$2,0)</f>
        <v>#N/A</v>
      </c>
      <c r="AF480" t="e">
        <f>VLOOKUP($AC480,'oddspedia-matches'!$A:$AD,AF$2,0)</f>
        <v>#N/A</v>
      </c>
      <c r="AG480" t="e">
        <f>VLOOKUP($AC480,'oddspedia-matches'!$A:$AD,AG$2,0)</f>
        <v>#N/A</v>
      </c>
      <c r="AH480" t="e">
        <f>VLOOKUP($AC480,'oddspedia-matches'!$A:$AD,AH$2,0)</f>
        <v>#N/A</v>
      </c>
      <c r="AI480" t="e">
        <f>VLOOKUP($AC480,'oddspedia-matches'!$A:$AD,AI$2,0)</f>
        <v>#N/A</v>
      </c>
      <c r="AJ480" t="e">
        <f>VLOOKUP($AC480,'oddspedia-matches'!$A:$AD,AJ$2,0)</f>
        <v>#N/A</v>
      </c>
      <c r="AK480" t="e">
        <f>VLOOKUP($AC480,'oddspedia-matches'!$A:$AD,AK$2,0)</f>
        <v>#N/A</v>
      </c>
      <c r="AL480" t="e">
        <f>VLOOKUP($AC480,'oddspedia-matches'!$A:$AD,AL$2,0)</f>
        <v>#N/A</v>
      </c>
      <c r="AM480" t="e">
        <f>VLOOKUP($AC480,'oddspedia-matches'!$A:$AD,AM$2,0)</f>
        <v>#N/A</v>
      </c>
      <c r="AN480" t="e">
        <f>VLOOKUP($AC480,'oddspedia-matches'!$A:$AD,AN$2,0)</f>
        <v>#N/A</v>
      </c>
      <c r="AO480" t="e">
        <f>VLOOKUP($AC480,'oddspedia-matches'!$A:$AD,AO$2,0)</f>
        <v>#N/A</v>
      </c>
      <c r="AP480" t="e">
        <f>VLOOKUP($AC480,'oddspedia-matches'!$A:$AD,AP$2,0)</f>
        <v>#N/A</v>
      </c>
      <c r="AQ480" t="e">
        <f>VLOOKUP($AC480,'oddspedia-matches'!$A:$AD,AQ$2,0)</f>
        <v>#N/A</v>
      </c>
      <c r="AR480" t="e">
        <f>VLOOKUP($AC480,'oddspedia-matches'!$A:$AD,AR$2,0)</f>
        <v>#N/A</v>
      </c>
      <c r="AS480" t="e">
        <f>VLOOKUP($AC480,'oddspedia-matches'!$A:$AD,AS$2,0)</f>
        <v>#N/A</v>
      </c>
      <c r="AT480" t="e">
        <f>VLOOKUP($AC480,'oddspedia-matches'!$A:$AD,AT$2,0)</f>
        <v>#N/A</v>
      </c>
    </row>
    <row r="481" spans="2:46" x14ac:dyDescent="0.25">
      <c r="B481" t="s">
        <v>506</v>
      </c>
      <c r="C481" t="s">
        <v>948</v>
      </c>
      <c r="D481" s="25">
        <v>0.77083333333333337</v>
      </c>
      <c r="E481" t="s">
        <v>1211</v>
      </c>
      <c r="F481" t="s">
        <v>1212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>
        <v>14.3</v>
      </c>
      <c r="Y481">
        <v>12.5</v>
      </c>
      <c r="AA481">
        <f>VLOOKUP(E481,'Transform table'!A:B,2,0)</f>
        <v>0</v>
      </c>
      <c r="AB481" t="e">
        <f>VLOOKUP(F481,'Transform table'!A:B,2,0)</f>
        <v>#N/A</v>
      </c>
      <c r="AC481" t="e">
        <f t="shared" si="7"/>
        <v>#N/A</v>
      </c>
      <c r="AD481" t="e">
        <f>VLOOKUP($AC481,'oddspedia-matches'!$A:$AD,AD$2,0)</f>
        <v>#N/A</v>
      </c>
      <c r="AE481" t="e">
        <f>VLOOKUP($AC481,'oddspedia-matches'!$A:$AD,AE$2,0)</f>
        <v>#N/A</v>
      </c>
      <c r="AF481" t="e">
        <f>VLOOKUP($AC481,'oddspedia-matches'!$A:$AD,AF$2,0)</f>
        <v>#N/A</v>
      </c>
      <c r="AG481" t="e">
        <f>VLOOKUP($AC481,'oddspedia-matches'!$A:$AD,AG$2,0)</f>
        <v>#N/A</v>
      </c>
      <c r="AH481" t="e">
        <f>VLOOKUP($AC481,'oddspedia-matches'!$A:$AD,AH$2,0)</f>
        <v>#N/A</v>
      </c>
      <c r="AI481" t="e">
        <f>VLOOKUP($AC481,'oddspedia-matches'!$A:$AD,AI$2,0)</f>
        <v>#N/A</v>
      </c>
      <c r="AJ481" t="e">
        <f>VLOOKUP($AC481,'oddspedia-matches'!$A:$AD,AJ$2,0)</f>
        <v>#N/A</v>
      </c>
      <c r="AK481" t="e">
        <f>VLOOKUP($AC481,'oddspedia-matches'!$A:$AD,AK$2,0)</f>
        <v>#N/A</v>
      </c>
      <c r="AL481" t="e">
        <f>VLOOKUP($AC481,'oddspedia-matches'!$A:$AD,AL$2,0)</f>
        <v>#N/A</v>
      </c>
      <c r="AM481" t="e">
        <f>VLOOKUP($AC481,'oddspedia-matches'!$A:$AD,AM$2,0)</f>
        <v>#N/A</v>
      </c>
      <c r="AN481" t="e">
        <f>VLOOKUP($AC481,'oddspedia-matches'!$A:$AD,AN$2,0)</f>
        <v>#N/A</v>
      </c>
      <c r="AO481" t="e">
        <f>VLOOKUP($AC481,'oddspedia-matches'!$A:$AD,AO$2,0)</f>
        <v>#N/A</v>
      </c>
      <c r="AP481" t="e">
        <f>VLOOKUP($AC481,'oddspedia-matches'!$A:$AD,AP$2,0)</f>
        <v>#N/A</v>
      </c>
      <c r="AQ481" t="e">
        <f>VLOOKUP($AC481,'oddspedia-matches'!$A:$AD,AQ$2,0)</f>
        <v>#N/A</v>
      </c>
      <c r="AR481" t="e">
        <f>VLOOKUP($AC481,'oddspedia-matches'!$A:$AD,AR$2,0)</f>
        <v>#N/A</v>
      </c>
      <c r="AS481" t="e">
        <f>VLOOKUP($AC481,'oddspedia-matches'!$A:$AD,AS$2,0)</f>
        <v>#N/A</v>
      </c>
      <c r="AT481" t="e">
        <f>VLOOKUP($AC481,'oddspedia-matches'!$A:$AD,AT$2,0)</f>
        <v>#N/A</v>
      </c>
    </row>
    <row r="482" spans="2:46" x14ac:dyDescent="0.25">
      <c r="B482" t="s">
        <v>497</v>
      </c>
      <c r="C482" t="s">
        <v>948</v>
      </c>
      <c r="D482" s="25">
        <v>0.77083333333333337</v>
      </c>
      <c r="E482" t="s">
        <v>1213</v>
      </c>
      <c r="F482" t="s">
        <v>1214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>
        <v>0</v>
      </c>
      <c r="Y482">
        <v>18.2</v>
      </c>
      <c r="AA482" t="str">
        <f>VLOOKUP(E482,'Transform table'!A:B,2,0)</f>
        <v>Guairena FC</v>
      </c>
      <c r="AB482" t="e">
        <f>VLOOKUP(F482,'Transform table'!A:B,2,0)</f>
        <v>#N/A</v>
      </c>
      <c r="AC482" t="e">
        <f t="shared" si="7"/>
        <v>#N/A</v>
      </c>
      <c r="AD482" t="e">
        <f>VLOOKUP($AC482,'oddspedia-matches'!$A:$AD,AD$2,0)</f>
        <v>#N/A</v>
      </c>
      <c r="AE482" t="e">
        <f>VLOOKUP($AC482,'oddspedia-matches'!$A:$AD,AE$2,0)</f>
        <v>#N/A</v>
      </c>
      <c r="AF482" t="e">
        <f>VLOOKUP($AC482,'oddspedia-matches'!$A:$AD,AF$2,0)</f>
        <v>#N/A</v>
      </c>
      <c r="AG482" t="e">
        <f>VLOOKUP($AC482,'oddspedia-matches'!$A:$AD,AG$2,0)</f>
        <v>#N/A</v>
      </c>
      <c r="AH482" t="e">
        <f>VLOOKUP($AC482,'oddspedia-matches'!$A:$AD,AH$2,0)</f>
        <v>#N/A</v>
      </c>
      <c r="AI482" t="e">
        <f>VLOOKUP($AC482,'oddspedia-matches'!$A:$AD,AI$2,0)</f>
        <v>#N/A</v>
      </c>
      <c r="AJ482" t="e">
        <f>VLOOKUP($AC482,'oddspedia-matches'!$A:$AD,AJ$2,0)</f>
        <v>#N/A</v>
      </c>
      <c r="AK482" t="e">
        <f>VLOOKUP($AC482,'oddspedia-matches'!$A:$AD,AK$2,0)</f>
        <v>#N/A</v>
      </c>
      <c r="AL482" t="e">
        <f>VLOOKUP($AC482,'oddspedia-matches'!$A:$AD,AL$2,0)</f>
        <v>#N/A</v>
      </c>
      <c r="AM482" t="e">
        <f>VLOOKUP($AC482,'oddspedia-matches'!$A:$AD,AM$2,0)</f>
        <v>#N/A</v>
      </c>
      <c r="AN482" t="e">
        <f>VLOOKUP($AC482,'oddspedia-matches'!$A:$AD,AN$2,0)</f>
        <v>#N/A</v>
      </c>
      <c r="AO482" t="e">
        <f>VLOOKUP($AC482,'oddspedia-matches'!$A:$AD,AO$2,0)</f>
        <v>#N/A</v>
      </c>
      <c r="AP482" t="e">
        <f>VLOOKUP($AC482,'oddspedia-matches'!$A:$AD,AP$2,0)</f>
        <v>#N/A</v>
      </c>
      <c r="AQ482" t="e">
        <f>VLOOKUP($AC482,'oddspedia-matches'!$A:$AD,AQ$2,0)</f>
        <v>#N/A</v>
      </c>
      <c r="AR482" t="e">
        <f>VLOOKUP($AC482,'oddspedia-matches'!$A:$AD,AR$2,0)</f>
        <v>#N/A</v>
      </c>
      <c r="AS482" t="e">
        <f>VLOOKUP($AC482,'oddspedia-matches'!$A:$AD,AS$2,0)</f>
        <v>#N/A</v>
      </c>
      <c r="AT482" t="e">
        <f>VLOOKUP($AC482,'oddspedia-matches'!$A:$AD,AT$2,0)</f>
        <v>#N/A</v>
      </c>
    </row>
    <row r="483" spans="2:46" x14ac:dyDescent="0.25">
      <c r="B483" t="s">
        <v>501</v>
      </c>
      <c r="C483" t="s">
        <v>948</v>
      </c>
      <c r="D483" s="25">
        <v>0.79166666666666663</v>
      </c>
      <c r="E483" t="s">
        <v>1215</v>
      </c>
      <c r="F483" t="s">
        <v>1216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>
        <v>0</v>
      </c>
      <c r="Y483">
        <v>10</v>
      </c>
      <c r="AA483">
        <f>VLOOKUP(E483,'Transform table'!A:B,2,0)</f>
        <v>0</v>
      </c>
      <c r="AB483" t="e">
        <f>VLOOKUP(F483,'Transform table'!A:B,2,0)</f>
        <v>#N/A</v>
      </c>
      <c r="AC483" t="e">
        <f t="shared" si="7"/>
        <v>#N/A</v>
      </c>
      <c r="AD483" t="e">
        <f>VLOOKUP($AC483,'oddspedia-matches'!$A:$AD,AD$2,0)</f>
        <v>#N/A</v>
      </c>
      <c r="AE483" t="e">
        <f>VLOOKUP($AC483,'oddspedia-matches'!$A:$AD,AE$2,0)</f>
        <v>#N/A</v>
      </c>
      <c r="AF483" t="e">
        <f>VLOOKUP($AC483,'oddspedia-matches'!$A:$AD,AF$2,0)</f>
        <v>#N/A</v>
      </c>
      <c r="AG483" t="e">
        <f>VLOOKUP($AC483,'oddspedia-matches'!$A:$AD,AG$2,0)</f>
        <v>#N/A</v>
      </c>
      <c r="AH483" t="e">
        <f>VLOOKUP($AC483,'oddspedia-matches'!$A:$AD,AH$2,0)</f>
        <v>#N/A</v>
      </c>
      <c r="AI483" t="e">
        <f>VLOOKUP($AC483,'oddspedia-matches'!$A:$AD,AI$2,0)</f>
        <v>#N/A</v>
      </c>
      <c r="AJ483" t="e">
        <f>VLOOKUP($AC483,'oddspedia-matches'!$A:$AD,AJ$2,0)</f>
        <v>#N/A</v>
      </c>
      <c r="AK483" t="e">
        <f>VLOOKUP($AC483,'oddspedia-matches'!$A:$AD,AK$2,0)</f>
        <v>#N/A</v>
      </c>
      <c r="AL483" t="e">
        <f>VLOOKUP($AC483,'oddspedia-matches'!$A:$AD,AL$2,0)</f>
        <v>#N/A</v>
      </c>
      <c r="AM483" t="e">
        <f>VLOOKUP($AC483,'oddspedia-matches'!$A:$AD,AM$2,0)</f>
        <v>#N/A</v>
      </c>
      <c r="AN483" t="e">
        <f>VLOOKUP($AC483,'oddspedia-matches'!$A:$AD,AN$2,0)</f>
        <v>#N/A</v>
      </c>
      <c r="AO483" t="e">
        <f>VLOOKUP($AC483,'oddspedia-matches'!$A:$AD,AO$2,0)</f>
        <v>#N/A</v>
      </c>
      <c r="AP483" t="e">
        <f>VLOOKUP($AC483,'oddspedia-matches'!$A:$AD,AP$2,0)</f>
        <v>#N/A</v>
      </c>
      <c r="AQ483" t="e">
        <f>VLOOKUP($AC483,'oddspedia-matches'!$A:$AD,AQ$2,0)</f>
        <v>#N/A</v>
      </c>
      <c r="AR483" t="e">
        <f>VLOOKUP($AC483,'oddspedia-matches'!$A:$AD,AR$2,0)</f>
        <v>#N/A</v>
      </c>
      <c r="AS483" t="e">
        <f>VLOOKUP($AC483,'oddspedia-matches'!$A:$AD,AS$2,0)</f>
        <v>#N/A</v>
      </c>
      <c r="AT483" t="e">
        <f>VLOOKUP($AC483,'oddspedia-matches'!$A:$AD,AT$2,0)</f>
        <v>#N/A</v>
      </c>
    </row>
    <row r="484" spans="2:46" x14ac:dyDescent="0.25">
      <c r="B484" t="s">
        <v>484</v>
      </c>
      <c r="C484" t="s">
        <v>948</v>
      </c>
      <c r="D484" s="25">
        <v>0.79166666666666663</v>
      </c>
      <c r="E484" t="s">
        <v>1217</v>
      </c>
      <c r="F484" t="s">
        <v>1218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t="s">
        <v>22</v>
      </c>
      <c r="Y484" t="s">
        <v>22</v>
      </c>
      <c r="AA484">
        <f>VLOOKUP(E484,'Transform table'!A:B,2,0)</f>
        <v>0</v>
      </c>
      <c r="AB484" t="e">
        <f>VLOOKUP(F484,'Transform table'!A:B,2,0)</f>
        <v>#N/A</v>
      </c>
      <c r="AC484" t="e">
        <f t="shared" si="7"/>
        <v>#N/A</v>
      </c>
      <c r="AD484" t="e">
        <f>VLOOKUP($AC484,'oddspedia-matches'!$A:$AD,AD$2,0)</f>
        <v>#N/A</v>
      </c>
      <c r="AE484" t="e">
        <f>VLOOKUP($AC484,'oddspedia-matches'!$A:$AD,AE$2,0)</f>
        <v>#N/A</v>
      </c>
      <c r="AF484" t="e">
        <f>VLOOKUP($AC484,'oddspedia-matches'!$A:$AD,AF$2,0)</f>
        <v>#N/A</v>
      </c>
      <c r="AG484" t="e">
        <f>VLOOKUP($AC484,'oddspedia-matches'!$A:$AD,AG$2,0)</f>
        <v>#N/A</v>
      </c>
      <c r="AH484" t="e">
        <f>VLOOKUP($AC484,'oddspedia-matches'!$A:$AD,AH$2,0)</f>
        <v>#N/A</v>
      </c>
      <c r="AI484" t="e">
        <f>VLOOKUP($AC484,'oddspedia-matches'!$A:$AD,AI$2,0)</f>
        <v>#N/A</v>
      </c>
      <c r="AJ484" t="e">
        <f>VLOOKUP($AC484,'oddspedia-matches'!$A:$AD,AJ$2,0)</f>
        <v>#N/A</v>
      </c>
      <c r="AK484" t="e">
        <f>VLOOKUP($AC484,'oddspedia-matches'!$A:$AD,AK$2,0)</f>
        <v>#N/A</v>
      </c>
      <c r="AL484" t="e">
        <f>VLOOKUP($AC484,'oddspedia-matches'!$A:$AD,AL$2,0)</f>
        <v>#N/A</v>
      </c>
      <c r="AM484" t="e">
        <f>VLOOKUP($AC484,'oddspedia-matches'!$A:$AD,AM$2,0)</f>
        <v>#N/A</v>
      </c>
      <c r="AN484" t="e">
        <f>VLOOKUP($AC484,'oddspedia-matches'!$A:$AD,AN$2,0)</f>
        <v>#N/A</v>
      </c>
      <c r="AO484" t="e">
        <f>VLOOKUP($AC484,'oddspedia-matches'!$A:$AD,AO$2,0)</f>
        <v>#N/A</v>
      </c>
      <c r="AP484" t="e">
        <f>VLOOKUP($AC484,'oddspedia-matches'!$A:$AD,AP$2,0)</f>
        <v>#N/A</v>
      </c>
      <c r="AQ484" t="e">
        <f>VLOOKUP($AC484,'oddspedia-matches'!$A:$AD,AQ$2,0)</f>
        <v>#N/A</v>
      </c>
      <c r="AR484" t="e">
        <f>VLOOKUP($AC484,'oddspedia-matches'!$A:$AD,AR$2,0)</f>
        <v>#N/A</v>
      </c>
      <c r="AS484" t="e">
        <f>VLOOKUP($AC484,'oddspedia-matches'!$A:$AD,AS$2,0)</f>
        <v>#N/A</v>
      </c>
      <c r="AT484" t="e">
        <f>VLOOKUP($AC484,'oddspedia-matches'!$A:$AD,AT$2,0)</f>
        <v>#N/A</v>
      </c>
    </row>
    <row r="485" spans="2:46" x14ac:dyDescent="0.25">
      <c r="B485" t="s">
        <v>484</v>
      </c>
      <c r="C485" t="s">
        <v>948</v>
      </c>
      <c r="D485" s="25">
        <v>0.79166666666666663</v>
      </c>
      <c r="E485" t="s">
        <v>1219</v>
      </c>
      <c r="F485" t="s">
        <v>98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t="s">
        <v>22</v>
      </c>
      <c r="Y485" t="s">
        <v>22</v>
      </c>
      <c r="AA485">
        <f>VLOOKUP(E485,'Transform table'!A:B,2,0)</f>
        <v>0</v>
      </c>
      <c r="AB485" t="str">
        <f>VLOOKUP(F485,'Transform table'!A:B,2,0)</f>
        <v>New England Revolution II</v>
      </c>
      <c r="AC485" t="str">
        <f t="shared" si="7"/>
        <v>26/07/20260New England Revolution II</v>
      </c>
      <c r="AD485" t="e">
        <f>VLOOKUP($AC485,'oddspedia-matches'!$A:$AD,AD$2,0)</f>
        <v>#N/A</v>
      </c>
      <c r="AE485" t="e">
        <f>VLOOKUP($AC485,'oddspedia-matches'!$A:$AD,AE$2,0)</f>
        <v>#N/A</v>
      </c>
      <c r="AF485" t="e">
        <f>VLOOKUP($AC485,'oddspedia-matches'!$A:$AD,AF$2,0)</f>
        <v>#N/A</v>
      </c>
      <c r="AG485" t="e">
        <f>VLOOKUP($AC485,'oddspedia-matches'!$A:$AD,AG$2,0)</f>
        <v>#N/A</v>
      </c>
      <c r="AH485" t="e">
        <f>VLOOKUP($AC485,'oddspedia-matches'!$A:$AD,AH$2,0)</f>
        <v>#N/A</v>
      </c>
      <c r="AI485" t="e">
        <f>VLOOKUP($AC485,'oddspedia-matches'!$A:$AD,AI$2,0)</f>
        <v>#N/A</v>
      </c>
      <c r="AJ485" t="e">
        <f>VLOOKUP($AC485,'oddspedia-matches'!$A:$AD,AJ$2,0)</f>
        <v>#N/A</v>
      </c>
      <c r="AK485" t="e">
        <f>VLOOKUP($AC485,'oddspedia-matches'!$A:$AD,AK$2,0)</f>
        <v>#N/A</v>
      </c>
      <c r="AL485" t="e">
        <f>VLOOKUP($AC485,'oddspedia-matches'!$A:$AD,AL$2,0)</f>
        <v>#N/A</v>
      </c>
      <c r="AM485" t="e">
        <f>VLOOKUP($AC485,'oddspedia-matches'!$A:$AD,AM$2,0)</f>
        <v>#N/A</v>
      </c>
      <c r="AN485" t="e">
        <f>VLOOKUP($AC485,'oddspedia-matches'!$A:$AD,AN$2,0)</f>
        <v>#N/A</v>
      </c>
      <c r="AO485" t="e">
        <f>VLOOKUP($AC485,'oddspedia-matches'!$A:$AD,AO$2,0)</f>
        <v>#N/A</v>
      </c>
      <c r="AP485" t="e">
        <f>VLOOKUP($AC485,'oddspedia-matches'!$A:$AD,AP$2,0)</f>
        <v>#N/A</v>
      </c>
      <c r="AQ485" t="e">
        <f>VLOOKUP($AC485,'oddspedia-matches'!$A:$AD,AQ$2,0)</f>
        <v>#N/A</v>
      </c>
      <c r="AR485" t="e">
        <f>VLOOKUP($AC485,'oddspedia-matches'!$A:$AD,AR$2,0)</f>
        <v>#N/A</v>
      </c>
      <c r="AS485" t="e">
        <f>VLOOKUP($AC485,'oddspedia-matches'!$A:$AD,AS$2,0)</f>
        <v>#N/A</v>
      </c>
      <c r="AT485" t="e">
        <f>VLOOKUP($AC485,'oddspedia-matches'!$A:$AD,AT$2,0)</f>
        <v>#N/A</v>
      </c>
    </row>
    <row r="486" spans="2:46" x14ac:dyDescent="0.25">
      <c r="B486" t="s">
        <v>488</v>
      </c>
      <c r="C486" t="s">
        <v>948</v>
      </c>
      <c r="D486" s="25">
        <v>0.8125</v>
      </c>
      <c r="E486" t="s">
        <v>1220</v>
      </c>
      <c r="F486" t="s">
        <v>1221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>
        <v>0</v>
      </c>
      <c r="Y486">
        <v>0</v>
      </c>
      <c r="AA486">
        <f>VLOOKUP(E486,'Transform table'!A:B,2,0)</f>
        <v>0</v>
      </c>
      <c r="AB486" t="e">
        <f>VLOOKUP(F486,'Transform table'!A:B,2,0)</f>
        <v>#N/A</v>
      </c>
      <c r="AC486" t="e">
        <f t="shared" si="7"/>
        <v>#N/A</v>
      </c>
      <c r="AD486" t="e">
        <f>VLOOKUP($AC486,'oddspedia-matches'!$A:$AD,AD$2,0)</f>
        <v>#N/A</v>
      </c>
      <c r="AE486" t="e">
        <f>VLOOKUP($AC486,'oddspedia-matches'!$A:$AD,AE$2,0)</f>
        <v>#N/A</v>
      </c>
      <c r="AF486" t="e">
        <f>VLOOKUP($AC486,'oddspedia-matches'!$A:$AD,AF$2,0)</f>
        <v>#N/A</v>
      </c>
      <c r="AG486" t="e">
        <f>VLOOKUP($AC486,'oddspedia-matches'!$A:$AD,AG$2,0)</f>
        <v>#N/A</v>
      </c>
      <c r="AH486" t="e">
        <f>VLOOKUP($AC486,'oddspedia-matches'!$A:$AD,AH$2,0)</f>
        <v>#N/A</v>
      </c>
      <c r="AI486" t="e">
        <f>VLOOKUP($AC486,'oddspedia-matches'!$A:$AD,AI$2,0)</f>
        <v>#N/A</v>
      </c>
      <c r="AJ486" t="e">
        <f>VLOOKUP($AC486,'oddspedia-matches'!$A:$AD,AJ$2,0)</f>
        <v>#N/A</v>
      </c>
      <c r="AK486" t="e">
        <f>VLOOKUP($AC486,'oddspedia-matches'!$A:$AD,AK$2,0)</f>
        <v>#N/A</v>
      </c>
      <c r="AL486" t="e">
        <f>VLOOKUP($AC486,'oddspedia-matches'!$A:$AD,AL$2,0)</f>
        <v>#N/A</v>
      </c>
      <c r="AM486" t="e">
        <f>VLOOKUP($AC486,'oddspedia-matches'!$A:$AD,AM$2,0)</f>
        <v>#N/A</v>
      </c>
      <c r="AN486" t="e">
        <f>VLOOKUP($AC486,'oddspedia-matches'!$A:$AD,AN$2,0)</f>
        <v>#N/A</v>
      </c>
      <c r="AO486" t="e">
        <f>VLOOKUP($AC486,'oddspedia-matches'!$A:$AD,AO$2,0)</f>
        <v>#N/A</v>
      </c>
      <c r="AP486" t="e">
        <f>VLOOKUP($AC486,'oddspedia-matches'!$A:$AD,AP$2,0)</f>
        <v>#N/A</v>
      </c>
      <c r="AQ486" t="e">
        <f>VLOOKUP($AC486,'oddspedia-matches'!$A:$AD,AQ$2,0)</f>
        <v>#N/A</v>
      </c>
      <c r="AR486" t="e">
        <f>VLOOKUP($AC486,'oddspedia-matches'!$A:$AD,AR$2,0)</f>
        <v>#N/A</v>
      </c>
      <c r="AS486" t="e">
        <f>VLOOKUP($AC486,'oddspedia-matches'!$A:$AD,AS$2,0)</f>
        <v>#N/A</v>
      </c>
      <c r="AT486" t="e">
        <f>VLOOKUP($AC486,'oddspedia-matches'!$A:$AD,AT$2,0)</f>
        <v>#N/A</v>
      </c>
    </row>
    <row r="487" spans="2:46" x14ac:dyDescent="0.25">
      <c r="B487" t="s">
        <v>472</v>
      </c>
      <c r="C487" t="s">
        <v>948</v>
      </c>
      <c r="D487" s="25">
        <v>0.8125</v>
      </c>
      <c r="E487" t="s">
        <v>42</v>
      </c>
      <c r="F487" t="s">
        <v>232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>
        <v>22.2</v>
      </c>
      <c r="Y487">
        <v>10</v>
      </c>
      <c r="AA487" t="str">
        <f>VLOOKUP(E487,'Transform table'!A:B,2,0)</f>
        <v>Palmeiras</v>
      </c>
      <c r="AB487" t="str">
        <f>VLOOKUP(F487,'Transform table'!A:B,2,0)</f>
        <v>Atletico Mineiro</v>
      </c>
      <c r="AC487" t="str">
        <f t="shared" si="7"/>
        <v>26/07/2026PalmeirasAtletico Mineiro</v>
      </c>
      <c r="AD487" t="e">
        <f>VLOOKUP($AC487,'oddspedia-matches'!$A:$AD,AD$2,0)</f>
        <v>#N/A</v>
      </c>
      <c r="AE487" t="e">
        <f>VLOOKUP($AC487,'oddspedia-matches'!$A:$AD,AE$2,0)</f>
        <v>#N/A</v>
      </c>
      <c r="AF487" t="e">
        <f>VLOOKUP($AC487,'oddspedia-matches'!$A:$AD,AF$2,0)</f>
        <v>#N/A</v>
      </c>
      <c r="AG487" t="e">
        <f>VLOOKUP($AC487,'oddspedia-matches'!$A:$AD,AG$2,0)</f>
        <v>#N/A</v>
      </c>
      <c r="AH487" t="e">
        <f>VLOOKUP($AC487,'oddspedia-matches'!$A:$AD,AH$2,0)</f>
        <v>#N/A</v>
      </c>
      <c r="AI487" t="e">
        <f>VLOOKUP($AC487,'oddspedia-matches'!$A:$AD,AI$2,0)</f>
        <v>#N/A</v>
      </c>
      <c r="AJ487" t="e">
        <f>VLOOKUP($AC487,'oddspedia-matches'!$A:$AD,AJ$2,0)</f>
        <v>#N/A</v>
      </c>
      <c r="AK487" t="e">
        <f>VLOOKUP($AC487,'oddspedia-matches'!$A:$AD,AK$2,0)</f>
        <v>#N/A</v>
      </c>
      <c r="AL487" t="e">
        <f>VLOOKUP($AC487,'oddspedia-matches'!$A:$AD,AL$2,0)</f>
        <v>#N/A</v>
      </c>
      <c r="AM487" t="e">
        <f>VLOOKUP($AC487,'oddspedia-matches'!$A:$AD,AM$2,0)</f>
        <v>#N/A</v>
      </c>
      <c r="AN487" t="e">
        <f>VLOOKUP($AC487,'oddspedia-matches'!$A:$AD,AN$2,0)</f>
        <v>#N/A</v>
      </c>
      <c r="AO487" t="e">
        <f>VLOOKUP($AC487,'oddspedia-matches'!$A:$AD,AO$2,0)</f>
        <v>#N/A</v>
      </c>
      <c r="AP487" t="e">
        <f>VLOOKUP($AC487,'oddspedia-matches'!$A:$AD,AP$2,0)</f>
        <v>#N/A</v>
      </c>
      <c r="AQ487" t="e">
        <f>VLOOKUP($AC487,'oddspedia-matches'!$A:$AD,AQ$2,0)</f>
        <v>#N/A</v>
      </c>
      <c r="AR487" t="e">
        <f>VLOOKUP($AC487,'oddspedia-matches'!$A:$AD,AR$2,0)</f>
        <v>#N/A</v>
      </c>
      <c r="AS487" t="e">
        <f>VLOOKUP($AC487,'oddspedia-matches'!$A:$AD,AS$2,0)</f>
        <v>#N/A</v>
      </c>
      <c r="AT487" t="e">
        <f>VLOOKUP($AC487,'oddspedia-matches'!$A:$AD,AT$2,0)</f>
        <v>#N/A</v>
      </c>
    </row>
    <row r="488" spans="2:46" x14ac:dyDescent="0.25">
      <c r="B488" t="s">
        <v>472</v>
      </c>
      <c r="C488" t="s">
        <v>948</v>
      </c>
      <c r="D488" s="25">
        <v>0.8125</v>
      </c>
      <c r="E488" t="s">
        <v>113</v>
      </c>
      <c r="F488" t="s">
        <v>111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>
        <v>33.299999999999997</v>
      </c>
      <c r="Y488">
        <v>0</v>
      </c>
      <c r="AA488" t="str">
        <f>VLOOKUP(E488,'Transform table'!A:B,2,0)</f>
        <v>Clube Do Remo</v>
      </c>
      <c r="AB488" t="str">
        <f>VLOOKUP(F488,'Transform table'!A:B,2,0)</f>
        <v>Vitoria BA</v>
      </c>
      <c r="AC488" t="str">
        <f t="shared" si="7"/>
        <v>26/07/2026Clube Do RemoVitoria BA</v>
      </c>
      <c r="AD488" t="e">
        <f>VLOOKUP($AC488,'oddspedia-matches'!$A:$AD,AD$2,0)</f>
        <v>#N/A</v>
      </c>
      <c r="AE488" t="e">
        <f>VLOOKUP($AC488,'oddspedia-matches'!$A:$AD,AE$2,0)</f>
        <v>#N/A</v>
      </c>
      <c r="AF488" t="e">
        <f>VLOOKUP($AC488,'oddspedia-matches'!$A:$AD,AF$2,0)</f>
        <v>#N/A</v>
      </c>
      <c r="AG488" t="e">
        <f>VLOOKUP($AC488,'oddspedia-matches'!$A:$AD,AG$2,0)</f>
        <v>#N/A</v>
      </c>
      <c r="AH488" t="e">
        <f>VLOOKUP($AC488,'oddspedia-matches'!$A:$AD,AH$2,0)</f>
        <v>#N/A</v>
      </c>
      <c r="AI488" t="e">
        <f>VLOOKUP($AC488,'oddspedia-matches'!$A:$AD,AI$2,0)</f>
        <v>#N/A</v>
      </c>
      <c r="AJ488" t="e">
        <f>VLOOKUP($AC488,'oddspedia-matches'!$A:$AD,AJ$2,0)</f>
        <v>#N/A</v>
      </c>
      <c r="AK488" t="e">
        <f>VLOOKUP($AC488,'oddspedia-matches'!$A:$AD,AK$2,0)</f>
        <v>#N/A</v>
      </c>
      <c r="AL488" t="e">
        <f>VLOOKUP($AC488,'oddspedia-matches'!$A:$AD,AL$2,0)</f>
        <v>#N/A</v>
      </c>
      <c r="AM488" t="e">
        <f>VLOOKUP($AC488,'oddspedia-matches'!$A:$AD,AM$2,0)</f>
        <v>#N/A</v>
      </c>
      <c r="AN488" t="e">
        <f>VLOOKUP($AC488,'oddspedia-matches'!$A:$AD,AN$2,0)</f>
        <v>#N/A</v>
      </c>
      <c r="AO488" t="e">
        <f>VLOOKUP($AC488,'oddspedia-matches'!$A:$AD,AO$2,0)</f>
        <v>#N/A</v>
      </c>
      <c r="AP488" t="e">
        <f>VLOOKUP($AC488,'oddspedia-matches'!$A:$AD,AP$2,0)</f>
        <v>#N/A</v>
      </c>
      <c r="AQ488" t="e">
        <f>VLOOKUP($AC488,'oddspedia-matches'!$A:$AD,AQ$2,0)</f>
        <v>#N/A</v>
      </c>
      <c r="AR488" t="e">
        <f>VLOOKUP($AC488,'oddspedia-matches'!$A:$AD,AR$2,0)</f>
        <v>#N/A</v>
      </c>
      <c r="AS488" t="e">
        <f>VLOOKUP($AC488,'oddspedia-matches'!$A:$AD,AS$2,0)</f>
        <v>#N/A</v>
      </c>
      <c r="AT488" t="e">
        <f>VLOOKUP($AC488,'oddspedia-matches'!$A:$AD,AT$2,0)</f>
        <v>#N/A</v>
      </c>
    </row>
    <row r="489" spans="2:46" x14ac:dyDescent="0.25">
      <c r="B489" t="s">
        <v>1025</v>
      </c>
      <c r="C489" t="s">
        <v>948</v>
      </c>
      <c r="D489" s="25">
        <v>0.8125</v>
      </c>
      <c r="E489" t="s">
        <v>1222</v>
      </c>
      <c r="F489" t="s">
        <v>1223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>
        <v>37.5</v>
      </c>
      <c r="Y489">
        <v>12.5</v>
      </c>
      <c r="AA489">
        <f>VLOOKUP(E489,'Transform table'!A:B,2,0)</f>
        <v>0</v>
      </c>
      <c r="AB489" t="e">
        <f>VLOOKUP(F489,'Transform table'!A:B,2,0)</f>
        <v>#N/A</v>
      </c>
      <c r="AC489" t="e">
        <f t="shared" si="7"/>
        <v>#N/A</v>
      </c>
      <c r="AD489" t="e">
        <f>VLOOKUP($AC489,'oddspedia-matches'!$A:$AD,AD$2,0)</f>
        <v>#N/A</v>
      </c>
      <c r="AE489" t="e">
        <f>VLOOKUP($AC489,'oddspedia-matches'!$A:$AD,AE$2,0)</f>
        <v>#N/A</v>
      </c>
      <c r="AF489" t="e">
        <f>VLOOKUP($AC489,'oddspedia-matches'!$A:$AD,AF$2,0)</f>
        <v>#N/A</v>
      </c>
      <c r="AG489" t="e">
        <f>VLOOKUP($AC489,'oddspedia-matches'!$A:$AD,AG$2,0)</f>
        <v>#N/A</v>
      </c>
      <c r="AH489" t="e">
        <f>VLOOKUP($AC489,'oddspedia-matches'!$A:$AD,AH$2,0)</f>
        <v>#N/A</v>
      </c>
      <c r="AI489" t="e">
        <f>VLOOKUP($AC489,'oddspedia-matches'!$A:$AD,AI$2,0)</f>
        <v>#N/A</v>
      </c>
      <c r="AJ489" t="e">
        <f>VLOOKUP($AC489,'oddspedia-matches'!$A:$AD,AJ$2,0)</f>
        <v>#N/A</v>
      </c>
      <c r="AK489" t="e">
        <f>VLOOKUP($AC489,'oddspedia-matches'!$A:$AD,AK$2,0)</f>
        <v>#N/A</v>
      </c>
      <c r="AL489" t="e">
        <f>VLOOKUP($AC489,'oddspedia-matches'!$A:$AD,AL$2,0)</f>
        <v>#N/A</v>
      </c>
      <c r="AM489" t="e">
        <f>VLOOKUP($AC489,'oddspedia-matches'!$A:$AD,AM$2,0)</f>
        <v>#N/A</v>
      </c>
      <c r="AN489" t="e">
        <f>VLOOKUP($AC489,'oddspedia-matches'!$A:$AD,AN$2,0)</f>
        <v>#N/A</v>
      </c>
      <c r="AO489" t="e">
        <f>VLOOKUP($AC489,'oddspedia-matches'!$A:$AD,AO$2,0)</f>
        <v>#N/A</v>
      </c>
      <c r="AP489" t="e">
        <f>VLOOKUP($AC489,'oddspedia-matches'!$A:$AD,AP$2,0)</f>
        <v>#N/A</v>
      </c>
      <c r="AQ489" t="e">
        <f>VLOOKUP($AC489,'oddspedia-matches'!$A:$AD,AQ$2,0)</f>
        <v>#N/A</v>
      </c>
      <c r="AR489" t="e">
        <f>VLOOKUP($AC489,'oddspedia-matches'!$A:$AD,AR$2,0)</f>
        <v>#N/A</v>
      </c>
      <c r="AS489" t="e">
        <f>VLOOKUP($AC489,'oddspedia-matches'!$A:$AD,AS$2,0)</f>
        <v>#N/A</v>
      </c>
      <c r="AT489" t="e">
        <f>VLOOKUP($AC489,'oddspedia-matches'!$A:$AD,AT$2,0)</f>
        <v>#N/A</v>
      </c>
    </row>
    <row r="490" spans="2:46" x14ac:dyDescent="0.25">
      <c r="B490" t="s">
        <v>484</v>
      </c>
      <c r="C490" t="s">
        <v>948</v>
      </c>
      <c r="D490" s="25">
        <v>0.83333333333333337</v>
      </c>
      <c r="E490" t="s">
        <v>1224</v>
      </c>
      <c r="F490" t="s">
        <v>86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t="s">
        <v>22</v>
      </c>
      <c r="Y490" t="s">
        <v>22</v>
      </c>
      <c r="AA490">
        <f>VLOOKUP(E490,'Transform table'!A:B,2,0)</f>
        <v>0</v>
      </c>
      <c r="AB490" t="str">
        <f>VLOOKUP(F490,'Transform table'!A:B,2,0)</f>
        <v>Austin FC II</v>
      </c>
      <c r="AC490" t="str">
        <f t="shared" si="7"/>
        <v>26/07/20260Austin FC II</v>
      </c>
      <c r="AD490" t="e">
        <f>VLOOKUP($AC490,'oddspedia-matches'!$A:$AD,AD$2,0)</f>
        <v>#N/A</v>
      </c>
      <c r="AE490" t="e">
        <f>VLOOKUP($AC490,'oddspedia-matches'!$A:$AD,AE$2,0)</f>
        <v>#N/A</v>
      </c>
      <c r="AF490" t="e">
        <f>VLOOKUP($AC490,'oddspedia-matches'!$A:$AD,AF$2,0)</f>
        <v>#N/A</v>
      </c>
      <c r="AG490" t="e">
        <f>VLOOKUP($AC490,'oddspedia-matches'!$A:$AD,AG$2,0)</f>
        <v>#N/A</v>
      </c>
      <c r="AH490" t="e">
        <f>VLOOKUP($AC490,'oddspedia-matches'!$A:$AD,AH$2,0)</f>
        <v>#N/A</v>
      </c>
      <c r="AI490" t="e">
        <f>VLOOKUP($AC490,'oddspedia-matches'!$A:$AD,AI$2,0)</f>
        <v>#N/A</v>
      </c>
      <c r="AJ490" t="e">
        <f>VLOOKUP($AC490,'oddspedia-matches'!$A:$AD,AJ$2,0)</f>
        <v>#N/A</v>
      </c>
      <c r="AK490" t="e">
        <f>VLOOKUP($AC490,'oddspedia-matches'!$A:$AD,AK$2,0)</f>
        <v>#N/A</v>
      </c>
      <c r="AL490" t="e">
        <f>VLOOKUP($AC490,'oddspedia-matches'!$A:$AD,AL$2,0)</f>
        <v>#N/A</v>
      </c>
      <c r="AM490" t="e">
        <f>VLOOKUP($AC490,'oddspedia-matches'!$A:$AD,AM$2,0)</f>
        <v>#N/A</v>
      </c>
      <c r="AN490" t="e">
        <f>VLOOKUP($AC490,'oddspedia-matches'!$A:$AD,AN$2,0)</f>
        <v>#N/A</v>
      </c>
      <c r="AO490" t="e">
        <f>VLOOKUP($AC490,'oddspedia-matches'!$A:$AD,AO$2,0)</f>
        <v>#N/A</v>
      </c>
      <c r="AP490" t="e">
        <f>VLOOKUP($AC490,'oddspedia-matches'!$A:$AD,AP$2,0)</f>
        <v>#N/A</v>
      </c>
      <c r="AQ490" t="e">
        <f>VLOOKUP($AC490,'oddspedia-matches'!$A:$AD,AQ$2,0)</f>
        <v>#N/A</v>
      </c>
      <c r="AR490" t="e">
        <f>VLOOKUP($AC490,'oddspedia-matches'!$A:$AD,AR$2,0)</f>
        <v>#N/A</v>
      </c>
      <c r="AS490" t="e">
        <f>VLOOKUP($AC490,'oddspedia-matches'!$A:$AD,AS$2,0)</f>
        <v>#N/A</v>
      </c>
      <c r="AT490" t="e">
        <f>VLOOKUP($AC490,'oddspedia-matches'!$A:$AD,AT$2,0)</f>
        <v>#N/A</v>
      </c>
    </row>
    <row r="491" spans="2:46" x14ac:dyDescent="0.25">
      <c r="B491" t="s">
        <v>484</v>
      </c>
      <c r="C491" t="s">
        <v>948</v>
      </c>
      <c r="D491" s="25">
        <v>0.83333333333333337</v>
      </c>
      <c r="E491" t="s">
        <v>1225</v>
      </c>
      <c r="F491" t="s">
        <v>1226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>
        <v>40</v>
      </c>
      <c r="Y491">
        <v>11.1</v>
      </c>
      <c r="AA491">
        <f>VLOOKUP(E491,'Transform table'!A:B,2,0)</f>
        <v>0</v>
      </c>
      <c r="AB491" t="e">
        <f>VLOOKUP(F491,'Transform table'!A:B,2,0)</f>
        <v>#N/A</v>
      </c>
      <c r="AC491" t="e">
        <f t="shared" si="7"/>
        <v>#N/A</v>
      </c>
      <c r="AD491" t="e">
        <f>VLOOKUP($AC491,'oddspedia-matches'!$A:$AD,AD$2,0)</f>
        <v>#N/A</v>
      </c>
      <c r="AE491" t="e">
        <f>VLOOKUP($AC491,'oddspedia-matches'!$A:$AD,AE$2,0)</f>
        <v>#N/A</v>
      </c>
      <c r="AF491" t="e">
        <f>VLOOKUP($AC491,'oddspedia-matches'!$A:$AD,AF$2,0)</f>
        <v>#N/A</v>
      </c>
      <c r="AG491" t="e">
        <f>VLOOKUP($AC491,'oddspedia-matches'!$A:$AD,AG$2,0)</f>
        <v>#N/A</v>
      </c>
      <c r="AH491" t="e">
        <f>VLOOKUP($AC491,'oddspedia-matches'!$A:$AD,AH$2,0)</f>
        <v>#N/A</v>
      </c>
      <c r="AI491" t="e">
        <f>VLOOKUP($AC491,'oddspedia-matches'!$A:$AD,AI$2,0)</f>
        <v>#N/A</v>
      </c>
      <c r="AJ491" t="e">
        <f>VLOOKUP($AC491,'oddspedia-matches'!$A:$AD,AJ$2,0)</f>
        <v>#N/A</v>
      </c>
      <c r="AK491" t="e">
        <f>VLOOKUP($AC491,'oddspedia-matches'!$A:$AD,AK$2,0)</f>
        <v>#N/A</v>
      </c>
      <c r="AL491" t="e">
        <f>VLOOKUP($AC491,'oddspedia-matches'!$A:$AD,AL$2,0)</f>
        <v>#N/A</v>
      </c>
      <c r="AM491" t="e">
        <f>VLOOKUP($AC491,'oddspedia-matches'!$A:$AD,AM$2,0)</f>
        <v>#N/A</v>
      </c>
      <c r="AN491" t="e">
        <f>VLOOKUP($AC491,'oddspedia-matches'!$A:$AD,AN$2,0)</f>
        <v>#N/A</v>
      </c>
      <c r="AO491" t="e">
        <f>VLOOKUP($AC491,'oddspedia-matches'!$A:$AD,AO$2,0)</f>
        <v>#N/A</v>
      </c>
      <c r="AP491" t="e">
        <f>VLOOKUP($AC491,'oddspedia-matches'!$A:$AD,AP$2,0)</f>
        <v>#N/A</v>
      </c>
      <c r="AQ491" t="e">
        <f>VLOOKUP($AC491,'oddspedia-matches'!$A:$AD,AQ$2,0)</f>
        <v>#N/A</v>
      </c>
      <c r="AR491" t="e">
        <f>VLOOKUP($AC491,'oddspedia-matches'!$A:$AD,AR$2,0)</f>
        <v>#N/A</v>
      </c>
      <c r="AS491" t="e">
        <f>VLOOKUP($AC491,'oddspedia-matches'!$A:$AD,AS$2,0)</f>
        <v>#N/A</v>
      </c>
      <c r="AT491" t="e">
        <f>VLOOKUP($AC491,'oddspedia-matches'!$A:$AD,AT$2,0)</f>
        <v>#N/A</v>
      </c>
    </row>
    <row r="492" spans="2:46" x14ac:dyDescent="0.25">
      <c r="B492" t="s">
        <v>484</v>
      </c>
      <c r="C492" t="s">
        <v>948</v>
      </c>
      <c r="D492" s="25">
        <v>0.83333333333333337</v>
      </c>
      <c r="E492" t="s">
        <v>1227</v>
      </c>
      <c r="F492" t="s">
        <v>85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t="s">
        <v>22</v>
      </c>
      <c r="Y492" t="s">
        <v>22</v>
      </c>
      <c r="AA492">
        <f>VLOOKUP(E492,'Transform table'!A:B,2,0)</f>
        <v>0</v>
      </c>
      <c r="AB492" t="str">
        <f>VLOOKUP(F492,'Transform table'!A:B,2,0)</f>
        <v>Vancouver Whitecaps II</v>
      </c>
      <c r="AC492" t="str">
        <f t="shared" si="7"/>
        <v>26/07/20260Vancouver Whitecaps II</v>
      </c>
      <c r="AD492" t="e">
        <f>VLOOKUP($AC492,'oddspedia-matches'!$A:$AD,AD$2,0)</f>
        <v>#N/A</v>
      </c>
      <c r="AE492" t="e">
        <f>VLOOKUP($AC492,'oddspedia-matches'!$A:$AD,AE$2,0)</f>
        <v>#N/A</v>
      </c>
      <c r="AF492" t="e">
        <f>VLOOKUP($AC492,'oddspedia-matches'!$A:$AD,AF$2,0)</f>
        <v>#N/A</v>
      </c>
      <c r="AG492" t="e">
        <f>VLOOKUP($AC492,'oddspedia-matches'!$A:$AD,AG$2,0)</f>
        <v>#N/A</v>
      </c>
      <c r="AH492" t="e">
        <f>VLOOKUP($AC492,'oddspedia-matches'!$A:$AD,AH$2,0)</f>
        <v>#N/A</v>
      </c>
      <c r="AI492" t="e">
        <f>VLOOKUP($AC492,'oddspedia-matches'!$A:$AD,AI$2,0)</f>
        <v>#N/A</v>
      </c>
      <c r="AJ492" t="e">
        <f>VLOOKUP($AC492,'oddspedia-matches'!$A:$AD,AJ$2,0)</f>
        <v>#N/A</v>
      </c>
      <c r="AK492" t="e">
        <f>VLOOKUP($AC492,'oddspedia-matches'!$A:$AD,AK$2,0)</f>
        <v>#N/A</v>
      </c>
      <c r="AL492" t="e">
        <f>VLOOKUP($AC492,'oddspedia-matches'!$A:$AD,AL$2,0)</f>
        <v>#N/A</v>
      </c>
      <c r="AM492" t="e">
        <f>VLOOKUP($AC492,'oddspedia-matches'!$A:$AD,AM$2,0)</f>
        <v>#N/A</v>
      </c>
      <c r="AN492" t="e">
        <f>VLOOKUP($AC492,'oddspedia-matches'!$A:$AD,AN$2,0)</f>
        <v>#N/A</v>
      </c>
      <c r="AO492" t="e">
        <f>VLOOKUP($AC492,'oddspedia-matches'!$A:$AD,AO$2,0)</f>
        <v>#N/A</v>
      </c>
      <c r="AP492" t="e">
        <f>VLOOKUP($AC492,'oddspedia-matches'!$A:$AD,AP$2,0)</f>
        <v>#N/A</v>
      </c>
      <c r="AQ492" t="e">
        <f>VLOOKUP($AC492,'oddspedia-matches'!$A:$AD,AQ$2,0)</f>
        <v>#N/A</v>
      </c>
      <c r="AR492" t="e">
        <f>VLOOKUP($AC492,'oddspedia-matches'!$A:$AD,AR$2,0)</f>
        <v>#N/A</v>
      </c>
      <c r="AS492" t="e">
        <f>VLOOKUP($AC492,'oddspedia-matches'!$A:$AD,AS$2,0)</f>
        <v>#N/A</v>
      </c>
      <c r="AT492" t="e">
        <f>VLOOKUP($AC492,'oddspedia-matches'!$A:$AD,AT$2,0)</f>
        <v>#N/A</v>
      </c>
    </row>
    <row r="493" spans="2:46" x14ac:dyDescent="0.25">
      <c r="B493" t="s">
        <v>950</v>
      </c>
      <c r="C493" t="s">
        <v>948</v>
      </c>
      <c r="D493" s="25">
        <v>0.83333333333333337</v>
      </c>
      <c r="E493" t="s">
        <v>1228</v>
      </c>
      <c r="F493" t="s">
        <v>1229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>
        <v>0</v>
      </c>
      <c r="Y493" t="s">
        <v>22</v>
      </c>
      <c r="AA493" t="str">
        <f>VLOOKUP(E493,'Transform table'!A:B,2,0)</f>
        <v>NK Krka</v>
      </c>
      <c r="AB493" t="e">
        <f>VLOOKUP(F493,'Transform table'!A:B,2,0)</f>
        <v>#N/A</v>
      </c>
      <c r="AC493" t="e">
        <f t="shared" si="7"/>
        <v>#N/A</v>
      </c>
      <c r="AD493" t="e">
        <f>VLOOKUP($AC493,'oddspedia-matches'!$A:$AD,AD$2,0)</f>
        <v>#N/A</v>
      </c>
      <c r="AE493" t="e">
        <f>VLOOKUP($AC493,'oddspedia-matches'!$A:$AD,AE$2,0)</f>
        <v>#N/A</v>
      </c>
      <c r="AF493" t="e">
        <f>VLOOKUP($AC493,'oddspedia-matches'!$A:$AD,AF$2,0)</f>
        <v>#N/A</v>
      </c>
      <c r="AG493" t="e">
        <f>VLOOKUP($AC493,'oddspedia-matches'!$A:$AD,AG$2,0)</f>
        <v>#N/A</v>
      </c>
      <c r="AH493" t="e">
        <f>VLOOKUP($AC493,'oddspedia-matches'!$A:$AD,AH$2,0)</f>
        <v>#N/A</v>
      </c>
      <c r="AI493" t="e">
        <f>VLOOKUP($AC493,'oddspedia-matches'!$A:$AD,AI$2,0)</f>
        <v>#N/A</v>
      </c>
      <c r="AJ493" t="e">
        <f>VLOOKUP($AC493,'oddspedia-matches'!$A:$AD,AJ$2,0)</f>
        <v>#N/A</v>
      </c>
      <c r="AK493" t="e">
        <f>VLOOKUP($AC493,'oddspedia-matches'!$A:$AD,AK$2,0)</f>
        <v>#N/A</v>
      </c>
      <c r="AL493" t="e">
        <f>VLOOKUP($AC493,'oddspedia-matches'!$A:$AD,AL$2,0)</f>
        <v>#N/A</v>
      </c>
      <c r="AM493" t="e">
        <f>VLOOKUP($AC493,'oddspedia-matches'!$A:$AD,AM$2,0)</f>
        <v>#N/A</v>
      </c>
      <c r="AN493" t="e">
        <f>VLOOKUP($AC493,'oddspedia-matches'!$A:$AD,AN$2,0)</f>
        <v>#N/A</v>
      </c>
      <c r="AO493" t="e">
        <f>VLOOKUP($AC493,'oddspedia-matches'!$A:$AD,AO$2,0)</f>
        <v>#N/A</v>
      </c>
      <c r="AP493" t="e">
        <f>VLOOKUP($AC493,'oddspedia-matches'!$A:$AD,AP$2,0)</f>
        <v>#N/A</v>
      </c>
      <c r="AQ493" t="e">
        <f>VLOOKUP($AC493,'oddspedia-matches'!$A:$AD,AQ$2,0)</f>
        <v>#N/A</v>
      </c>
      <c r="AR493" t="e">
        <f>VLOOKUP($AC493,'oddspedia-matches'!$A:$AD,AR$2,0)</f>
        <v>#N/A</v>
      </c>
      <c r="AS493" t="e">
        <f>VLOOKUP($AC493,'oddspedia-matches'!$A:$AD,AS$2,0)</f>
        <v>#N/A</v>
      </c>
      <c r="AT493" t="e">
        <f>VLOOKUP($AC493,'oddspedia-matches'!$A:$AD,AT$2,0)</f>
        <v>#N/A</v>
      </c>
    </row>
    <row r="494" spans="2:46" x14ac:dyDescent="0.25">
      <c r="B494" t="s">
        <v>505</v>
      </c>
      <c r="C494" t="s">
        <v>948</v>
      </c>
      <c r="D494" s="25">
        <v>0.84027777777777779</v>
      </c>
      <c r="E494" t="s">
        <v>1230</v>
      </c>
      <c r="F494" t="s">
        <v>243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>
        <v>11.1</v>
      </c>
      <c r="Y494">
        <v>0</v>
      </c>
      <c r="AA494">
        <f>VLOOKUP(E494,'Transform table'!A:B,2,0)</f>
        <v>0</v>
      </c>
      <c r="AB494" t="str">
        <f>VLOOKUP(F494,'Transform table'!A:B,2,0)</f>
        <v>Fortaleza EC</v>
      </c>
      <c r="AC494" t="str">
        <f t="shared" si="7"/>
        <v>26/07/20260Fortaleza EC</v>
      </c>
      <c r="AD494" t="e">
        <f>VLOOKUP($AC494,'oddspedia-matches'!$A:$AD,AD$2,0)</f>
        <v>#N/A</v>
      </c>
      <c r="AE494" t="e">
        <f>VLOOKUP($AC494,'oddspedia-matches'!$A:$AD,AE$2,0)</f>
        <v>#N/A</v>
      </c>
      <c r="AF494" t="e">
        <f>VLOOKUP($AC494,'oddspedia-matches'!$A:$AD,AF$2,0)</f>
        <v>#N/A</v>
      </c>
      <c r="AG494" t="e">
        <f>VLOOKUP($AC494,'oddspedia-matches'!$A:$AD,AG$2,0)</f>
        <v>#N/A</v>
      </c>
      <c r="AH494" t="e">
        <f>VLOOKUP($AC494,'oddspedia-matches'!$A:$AD,AH$2,0)</f>
        <v>#N/A</v>
      </c>
      <c r="AI494" t="e">
        <f>VLOOKUP($AC494,'oddspedia-matches'!$A:$AD,AI$2,0)</f>
        <v>#N/A</v>
      </c>
      <c r="AJ494" t="e">
        <f>VLOOKUP($AC494,'oddspedia-matches'!$A:$AD,AJ$2,0)</f>
        <v>#N/A</v>
      </c>
      <c r="AK494" t="e">
        <f>VLOOKUP($AC494,'oddspedia-matches'!$A:$AD,AK$2,0)</f>
        <v>#N/A</v>
      </c>
      <c r="AL494" t="e">
        <f>VLOOKUP($AC494,'oddspedia-matches'!$A:$AD,AL$2,0)</f>
        <v>#N/A</v>
      </c>
      <c r="AM494" t="e">
        <f>VLOOKUP($AC494,'oddspedia-matches'!$A:$AD,AM$2,0)</f>
        <v>#N/A</v>
      </c>
      <c r="AN494" t="e">
        <f>VLOOKUP($AC494,'oddspedia-matches'!$A:$AD,AN$2,0)</f>
        <v>#N/A</v>
      </c>
      <c r="AO494" t="e">
        <f>VLOOKUP($AC494,'oddspedia-matches'!$A:$AD,AO$2,0)</f>
        <v>#N/A</v>
      </c>
      <c r="AP494" t="e">
        <f>VLOOKUP($AC494,'oddspedia-matches'!$A:$AD,AP$2,0)</f>
        <v>#N/A</v>
      </c>
      <c r="AQ494" t="e">
        <f>VLOOKUP($AC494,'oddspedia-matches'!$A:$AD,AQ$2,0)</f>
        <v>#N/A</v>
      </c>
      <c r="AR494" t="e">
        <f>VLOOKUP($AC494,'oddspedia-matches'!$A:$AD,AR$2,0)</f>
        <v>#N/A</v>
      </c>
      <c r="AS494" t="e">
        <f>VLOOKUP($AC494,'oddspedia-matches'!$A:$AD,AS$2,0)</f>
        <v>#N/A</v>
      </c>
      <c r="AT494" t="e">
        <f>VLOOKUP($AC494,'oddspedia-matches'!$A:$AD,AT$2,0)</f>
        <v>#N/A</v>
      </c>
    </row>
    <row r="495" spans="2:46" x14ac:dyDescent="0.25">
      <c r="B495" t="s">
        <v>507</v>
      </c>
      <c r="C495" t="s">
        <v>948</v>
      </c>
      <c r="D495" s="25">
        <v>0.84375</v>
      </c>
      <c r="E495" t="s">
        <v>1231</v>
      </c>
      <c r="F495" t="s">
        <v>1232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>
        <v>33.299999999999997</v>
      </c>
      <c r="Y495">
        <v>22.2</v>
      </c>
      <c r="AA495">
        <f>VLOOKUP(E495,'Transform table'!A:B,2,0)</f>
        <v>0</v>
      </c>
      <c r="AB495" t="e">
        <f>VLOOKUP(F495,'Transform table'!A:B,2,0)</f>
        <v>#N/A</v>
      </c>
      <c r="AC495" t="e">
        <f t="shared" si="7"/>
        <v>#N/A</v>
      </c>
      <c r="AD495" t="e">
        <f>VLOOKUP($AC495,'oddspedia-matches'!$A:$AD,AD$2,0)</f>
        <v>#N/A</v>
      </c>
      <c r="AE495" t="e">
        <f>VLOOKUP($AC495,'oddspedia-matches'!$A:$AD,AE$2,0)</f>
        <v>#N/A</v>
      </c>
      <c r="AF495" t="e">
        <f>VLOOKUP($AC495,'oddspedia-matches'!$A:$AD,AF$2,0)</f>
        <v>#N/A</v>
      </c>
      <c r="AG495" t="e">
        <f>VLOOKUP($AC495,'oddspedia-matches'!$A:$AD,AG$2,0)</f>
        <v>#N/A</v>
      </c>
      <c r="AH495" t="e">
        <f>VLOOKUP($AC495,'oddspedia-matches'!$A:$AD,AH$2,0)</f>
        <v>#N/A</v>
      </c>
      <c r="AI495" t="e">
        <f>VLOOKUP($AC495,'oddspedia-matches'!$A:$AD,AI$2,0)</f>
        <v>#N/A</v>
      </c>
      <c r="AJ495" t="e">
        <f>VLOOKUP($AC495,'oddspedia-matches'!$A:$AD,AJ$2,0)</f>
        <v>#N/A</v>
      </c>
      <c r="AK495" t="e">
        <f>VLOOKUP($AC495,'oddspedia-matches'!$A:$AD,AK$2,0)</f>
        <v>#N/A</v>
      </c>
      <c r="AL495" t="e">
        <f>VLOOKUP($AC495,'oddspedia-matches'!$A:$AD,AL$2,0)</f>
        <v>#N/A</v>
      </c>
      <c r="AM495" t="e">
        <f>VLOOKUP($AC495,'oddspedia-matches'!$A:$AD,AM$2,0)</f>
        <v>#N/A</v>
      </c>
      <c r="AN495" t="e">
        <f>VLOOKUP($AC495,'oddspedia-matches'!$A:$AD,AN$2,0)</f>
        <v>#N/A</v>
      </c>
      <c r="AO495" t="e">
        <f>VLOOKUP($AC495,'oddspedia-matches'!$A:$AD,AO$2,0)</f>
        <v>#N/A</v>
      </c>
      <c r="AP495" t="e">
        <f>VLOOKUP($AC495,'oddspedia-matches'!$A:$AD,AP$2,0)</f>
        <v>#N/A</v>
      </c>
      <c r="AQ495" t="e">
        <f>VLOOKUP($AC495,'oddspedia-matches'!$A:$AD,AQ$2,0)</f>
        <v>#N/A</v>
      </c>
      <c r="AR495" t="e">
        <f>VLOOKUP($AC495,'oddspedia-matches'!$A:$AD,AR$2,0)</f>
        <v>#N/A</v>
      </c>
      <c r="AS495" t="e">
        <f>VLOOKUP($AC495,'oddspedia-matches'!$A:$AD,AS$2,0)</f>
        <v>#N/A</v>
      </c>
      <c r="AT495" t="e">
        <f>VLOOKUP($AC495,'oddspedia-matches'!$A:$AD,AT$2,0)</f>
        <v>#N/A</v>
      </c>
    </row>
    <row r="496" spans="2:46" x14ac:dyDescent="0.25">
      <c r="B496" t="s">
        <v>475</v>
      </c>
      <c r="C496" t="s">
        <v>948</v>
      </c>
      <c r="D496" s="25">
        <v>0.85416666666666663</v>
      </c>
      <c r="E496" t="s">
        <v>1233</v>
      </c>
      <c r="F496" t="s">
        <v>1234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>
        <v>40</v>
      </c>
      <c r="Y496">
        <v>40</v>
      </c>
      <c r="AA496" t="str">
        <f>VLOOKUP(E496,'Transform table'!A:B,2,0)</f>
        <v>Blumenau</v>
      </c>
      <c r="AB496" t="e">
        <f>VLOOKUP(F496,'Transform table'!A:B,2,0)</f>
        <v>#N/A</v>
      </c>
      <c r="AC496" t="e">
        <f t="shared" si="7"/>
        <v>#N/A</v>
      </c>
      <c r="AD496" t="e">
        <f>VLOOKUP($AC496,'oddspedia-matches'!$A:$AD,AD$2,0)</f>
        <v>#N/A</v>
      </c>
      <c r="AE496" t="e">
        <f>VLOOKUP($AC496,'oddspedia-matches'!$A:$AD,AE$2,0)</f>
        <v>#N/A</v>
      </c>
      <c r="AF496" t="e">
        <f>VLOOKUP($AC496,'oddspedia-matches'!$A:$AD,AF$2,0)</f>
        <v>#N/A</v>
      </c>
      <c r="AG496" t="e">
        <f>VLOOKUP($AC496,'oddspedia-matches'!$A:$AD,AG$2,0)</f>
        <v>#N/A</v>
      </c>
      <c r="AH496" t="e">
        <f>VLOOKUP($AC496,'oddspedia-matches'!$A:$AD,AH$2,0)</f>
        <v>#N/A</v>
      </c>
      <c r="AI496" t="e">
        <f>VLOOKUP($AC496,'oddspedia-matches'!$A:$AD,AI$2,0)</f>
        <v>#N/A</v>
      </c>
      <c r="AJ496" t="e">
        <f>VLOOKUP($AC496,'oddspedia-matches'!$A:$AD,AJ$2,0)</f>
        <v>#N/A</v>
      </c>
      <c r="AK496" t="e">
        <f>VLOOKUP($AC496,'oddspedia-matches'!$A:$AD,AK$2,0)</f>
        <v>#N/A</v>
      </c>
      <c r="AL496" t="e">
        <f>VLOOKUP($AC496,'oddspedia-matches'!$A:$AD,AL$2,0)</f>
        <v>#N/A</v>
      </c>
      <c r="AM496" t="e">
        <f>VLOOKUP($AC496,'oddspedia-matches'!$A:$AD,AM$2,0)</f>
        <v>#N/A</v>
      </c>
      <c r="AN496" t="e">
        <f>VLOOKUP($AC496,'oddspedia-matches'!$A:$AD,AN$2,0)</f>
        <v>#N/A</v>
      </c>
      <c r="AO496" t="e">
        <f>VLOOKUP($AC496,'oddspedia-matches'!$A:$AD,AO$2,0)</f>
        <v>#N/A</v>
      </c>
      <c r="AP496" t="e">
        <f>VLOOKUP($AC496,'oddspedia-matches'!$A:$AD,AP$2,0)</f>
        <v>#N/A</v>
      </c>
      <c r="AQ496" t="e">
        <f>VLOOKUP($AC496,'oddspedia-matches'!$A:$AD,AQ$2,0)</f>
        <v>#N/A</v>
      </c>
      <c r="AR496" t="e">
        <f>VLOOKUP($AC496,'oddspedia-matches'!$A:$AD,AR$2,0)</f>
        <v>#N/A</v>
      </c>
      <c r="AS496" t="e">
        <f>VLOOKUP($AC496,'oddspedia-matches'!$A:$AD,AS$2,0)</f>
        <v>#N/A</v>
      </c>
      <c r="AT496" t="e">
        <f>VLOOKUP($AC496,'oddspedia-matches'!$A:$AD,AT$2,0)</f>
        <v>#N/A</v>
      </c>
    </row>
    <row r="497" spans="2:46" x14ac:dyDescent="0.25">
      <c r="B497" t="s">
        <v>746</v>
      </c>
      <c r="C497" t="s">
        <v>948</v>
      </c>
      <c r="D497" s="25">
        <v>0.85416666666666663</v>
      </c>
      <c r="E497" t="s">
        <v>1235</v>
      </c>
      <c r="F497" t="s">
        <v>1236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>
        <v>0</v>
      </c>
      <c r="Y497">
        <v>0</v>
      </c>
      <c r="AA497" t="str">
        <f>VLOOKUP(E497,'Transform table'!A:B,2,0)</f>
        <v>Amiens</v>
      </c>
      <c r="AB497" t="e">
        <f>VLOOKUP(F497,'Transform table'!A:B,2,0)</f>
        <v>#N/A</v>
      </c>
      <c r="AC497" t="e">
        <f t="shared" si="7"/>
        <v>#N/A</v>
      </c>
      <c r="AD497" t="e">
        <f>VLOOKUP($AC497,'oddspedia-matches'!$A:$AD,AD$2,0)</f>
        <v>#N/A</v>
      </c>
      <c r="AE497" t="e">
        <f>VLOOKUP($AC497,'oddspedia-matches'!$A:$AD,AE$2,0)</f>
        <v>#N/A</v>
      </c>
      <c r="AF497" t="e">
        <f>VLOOKUP($AC497,'oddspedia-matches'!$A:$AD,AF$2,0)</f>
        <v>#N/A</v>
      </c>
      <c r="AG497" t="e">
        <f>VLOOKUP($AC497,'oddspedia-matches'!$A:$AD,AG$2,0)</f>
        <v>#N/A</v>
      </c>
      <c r="AH497" t="e">
        <f>VLOOKUP($AC497,'oddspedia-matches'!$A:$AD,AH$2,0)</f>
        <v>#N/A</v>
      </c>
      <c r="AI497" t="e">
        <f>VLOOKUP($AC497,'oddspedia-matches'!$A:$AD,AI$2,0)</f>
        <v>#N/A</v>
      </c>
      <c r="AJ497" t="e">
        <f>VLOOKUP($AC497,'oddspedia-matches'!$A:$AD,AJ$2,0)</f>
        <v>#N/A</v>
      </c>
      <c r="AK497" t="e">
        <f>VLOOKUP($AC497,'oddspedia-matches'!$A:$AD,AK$2,0)</f>
        <v>#N/A</v>
      </c>
      <c r="AL497" t="e">
        <f>VLOOKUP($AC497,'oddspedia-matches'!$A:$AD,AL$2,0)</f>
        <v>#N/A</v>
      </c>
      <c r="AM497" t="e">
        <f>VLOOKUP($AC497,'oddspedia-matches'!$A:$AD,AM$2,0)</f>
        <v>#N/A</v>
      </c>
      <c r="AN497" t="e">
        <f>VLOOKUP($AC497,'oddspedia-matches'!$A:$AD,AN$2,0)</f>
        <v>#N/A</v>
      </c>
      <c r="AO497" t="e">
        <f>VLOOKUP($AC497,'oddspedia-matches'!$A:$AD,AO$2,0)</f>
        <v>#N/A</v>
      </c>
      <c r="AP497" t="e">
        <f>VLOOKUP($AC497,'oddspedia-matches'!$A:$AD,AP$2,0)</f>
        <v>#N/A</v>
      </c>
      <c r="AQ497" t="e">
        <f>VLOOKUP($AC497,'oddspedia-matches'!$A:$AD,AQ$2,0)</f>
        <v>#N/A</v>
      </c>
      <c r="AR497" t="e">
        <f>VLOOKUP($AC497,'oddspedia-matches'!$A:$AD,AR$2,0)</f>
        <v>#N/A</v>
      </c>
      <c r="AS497" t="e">
        <f>VLOOKUP($AC497,'oddspedia-matches'!$A:$AD,AS$2,0)</f>
        <v>#N/A</v>
      </c>
      <c r="AT497" t="e">
        <f>VLOOKUP($AC497,'oddspedia-matches'!$A:$AD,AT$2,0)</f>
        <v>#N/A</v>
      </c>
    </row>
    <row r="498" spans="2:46" x14ac:dyDescent="0.25">
      <c r="B498" t="s">
        <v>1237</v>
      </c>
      <c r="C498" t="s">
        <v>948</v>
      </c>
      <c r="D498" s="25">
        <v>0.875</v>
      </c>
      <c r="E498" t="s">
        <v>1238</v>
      </c>
      <c r="F498" t="s">
        <v>1239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s">
        <v>22</v>
      </c>
      <c r="Y498">
        <v>0</v>
      </c>
      <c r="AA498" t="str">
        <f>VLOOKUP(E498,'Transform table'!A:B,2,0)</f>
        <v>Manica Diamonds</v>
      </c>
      <c r="AB498" t="e">
        <f>VLOOKUP(F498,'Transform table'!A:B,2,0)</f>
        <v>#N/A</v>
      </c>
      <c r="AC498" t="e">
        <f t="shared" si="7"/>
        <v>#N/A</v>
      </c>
      <c r="AD498" t="e">
        <f>VLOOKUP($AC498,'oddspedia-matches'!$A:$AD,AD$2,0)</f>
        <v>#N/A</v>
      </c>
      <c r="AE498" t="e">
        <f>VLOOKUP($AC498,'oddspedia-matches'!$A:$AD,AE$2,0)</f>
        <v>#N/A</v>
      </c>
      <c r="AF498" t="e">
        <f>VLOOKUP($AC498,'oddspedia-matches'!$A:$AD,AF$2,0)</f>
        <v>#N/A</v>
      </c>
      <c r="AG498" t="e">
        <f>VLOOKUP($AC498,'oddspedia-matches'!$A:$AD,AG$2,0)</f>
        <v>#N/A</v>
      </c>
      <c r="AH498" t="e">
        <f>VLOOKUP($AC498,'oddspedia-matches'!$A:$AD,AH$2,0)</f>
        <v>#N/A</v>
      </c>
      <c r="AI498" t="e">
        <f>VLOOKUP($AC498,'oddspedia-matches'!$A:$AD,AI$2,0)</f>
        <v>#N/A</v>
      </c>
      <c r="AJ498" t="e">
        <f>VLOOKUP($AC498,'oddspedia-matches'!$A:$AD,AJ$2,0)</f>
        <v>#N/A</v>
      </c>
      <c r="AK498" t="e">
        <f>VLOOKUP($AC498,'oddspedia-matches'!$A:$AD,AK$2,0)</f>
        <v>#N/A</v>
      </c>
      <c r="AL498" t="e">
        <f>VLOOKUP($AC498,'oddspedia-matches'!$A:$AD,AL$2,0)</f>
        <v>#N/A</v>
      </c>
      <c r="AM498" t="e">
        <f>VLOOKUP($AC498,'oddspedia-matches'!$A:$AD,AM$2,0)</f>
        <v>#N/A</v>
      </c>
      <c r="AN498" t="e">
        <f>VLOOKUP($AC498,'oddspedia-matches'!$A:$AD,AN$2,0)</f>
        <v>#N/A</v>
      </c>
      <c r="AO498" t="e">
        <f>VLOOKUP($AC498,'oddspedia-matches'!$A:$AD,AO$2,0)</f>
        <v>#N/A</v>
      </c>
      <c r="AP498" t="e">
        <f>VLOOKUP($AC498,'oddspedia-matches'!$A:$AD,AP$2,0)</f>
        <v>#N/A</v>
      </c>
      <c r="AQ498" t="e">
        <f>VLOOKUP($AC498,'oddspedia-matches'!$A:$AD,AQ$2,0)</f>
        <v>#N/A</v>
      </c>
      <c r="AR498" t="e">
        <f>VLOOKUP($AC498,'oddspedia-matches'!$A:$AD,AR$2,0)</f>
        <v>#N/A</v>
      </c>
      <c r="AS498" t="e">
        <f>VLOOKUP($AC498,'oddspedia-matches'!$A:$AD,AS$2,0)</f>
        <v>#N/A</v>
      </c>
      <c r="AT498" t="e">
        <f>VLOOKUP($AC498,'oddspedia-matches'!$A:$AD,AT$2,0)</f>
        <v>#N/A</v>
      </c>
    </row>
    <row r="499" spans="2:46" x14ac:dyDescent="0.25">
      <c r="B499" t="s">
        <v>500</v>
      </c>
      <c r="C499" t="s">
        <v>948</v>
      </c>
      <c r="D499" s="25">
        <v>0.875</v>
      </c>
      <c r="E499" t="s">
        <v>1240</v>
      </c>
      <c r="F499" t="s">
        <v>1241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>
        <v>33.299999999999997</v>
      </c>
      <c r="Y499">
        <v>33.299999999999997</v>
      </c>
      <c r="AA499" t="str">
        <f>VLOOKUP(E499,'Transform table'!A:B,2,0)</f>
        <v>Deportivo Capiata</v>
      </c>
      <c r="AB499" t="e">
        <f>VLOOKUP(F499,'Transform table'!A:B,2,0)</f>
        <v>#N/A</v>
      </c>
      <c r="AC499" t="e">
        <f t="shared" si="7"/>
        <v>#N/A</v>
      </c>
      <c r="AD499" t="e">
        <f>VLOOKUP($AC499,'oddspedia-matches'!$A:$AD,AD$2,0)</f>
        <v>#N/A</v>
      </c>
      <c r="AE499" t="e">
        <f>VLOOKUP($AC499,'oddspedia-matches'!$A:$AD,AE$2,0)</f>
        <v>#N/A</v>
      </c>
      <c r="AF499" t="e">
        <f>VLOOKUP($AC499,'oddspedia-matches'!$A:$AD,AF$2,0)</f>
        <v>#N/A</v>
      </c>
      <c r="AG499" t="e">
        <f>VLOOKUP($AC499,'oddspedia-matches'!$A:$AD,AG$2,0)</f>
        <v>#N/A</v>
      </c>
      <c r="AH499" t="e">
        <f>VLOOKUP($AC499,'oddspedia-matches'!$A:$AD,AH$2,0)</f>
        <v>#N/A</v>
      </c>
      <c r="AI499" t="e">
        <f>VLOOKUP($AC499,'oddspedia-matches'!$A:$AD,AI$2,0)</f>
        <v>#N/A</v>
      </c>
      <c r="AJ499" t="e">
        <f>VLOOKUP($AC499,'oddspedia-matches'!$A:$AD,AJ$2,0)</f>
        <v>#N/A</v>
      </c>
      <c r="AK499" t="e">
        <f>VLOOKUP($AC499,'oddspedia-matches'!$A:$AD,AK$2,0)</f>
        <v>#N/A</v>
      </c>
      <c r="AL499" t="e">
        <f>VLOOKUP($AC499,'oddspedia-matches'!$A:$AD,AL$2,0)</f>
        <v>#N/A</v>
      </c>
      <c r="AM499" t="e">
        <f>VLOOKUP($AC499,'oddspedia-matches'!$A:$AD,AM$2,0)</f>
        <v>#N/A</v>
      </c>
      <c r="AN499" t="e">
        <f>VLOOKUP($AC499,'oddspedia-matches'!$A:$AD,AN$2,0)</f>
        <v>#N/A</v>
      </c>
      <c r="AO499" t="e">
        <f>VLOOKUP($AC499,'oddspedia-matches'!$A:$AD,AO$2,0)</f>
        <v>#N/A</v>
      </c>
      <c r="AP499" t="e">
        <f>VLOOKUP($AC499,'oddspedia-matches'!$A:$AD,AP$2,0)</f>
        <v>#N/A</v>
      </c>
      <c r="AQ499" t="e">
        <f>VLOOKUP($AC499,'oddspedia-matches'!$A:$AD,AQ$2,0)</f>
        <v>#N/A</v>
      </c>
      <c r="AR499" t="e">
        <f>VLOOKUP($AC499,'oddspedia-matches'!$A:$AD,AR$2,0)</f>
        <v>#N/A</v>
      </c>
      <c r="AS499" t="e">
        <f>VLOOKUP($AC499,'oddspedia-matches'!$A:$AD,AS$2,0)</f>
        <v>#N/A</v>
      </c>
      <c r="AT499" t="e">
        <f>VLOOKUP($AC499,'oddspedia-matches'!$A:$AD,AT$2,0)</f>
        <v>#N/A</v>
      </c>
    </row>
    <row r="500" spans="2:46" x14ac:dyDescent="0.25">
      <c r="B500" t="s">
        <v>503</v>
      </c>
      <c r="C500" t="s">
        <v>948</v>
      </c>
      <c r="D500" s="25">
        <v>0.89583333333333337</v>
      </c>
      <c r="E500" t="s">
        <v>1242</v>
      </c>
      <c r="F500" t="s">
        <v>1243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>
        <v>0</v>
      </c>
      <c r="Y500">
        <v>28.6</v>
      </c>
      <c r="AA500" t="str">
        <f>VLOOKUP(E500,'Transform table'!A:B,2,0)</f>
        <v>Concarneau</v>
      </c>
      <c r="AB500" t="e">
        <f>VLOOKUP(F500,'Transform table'!A:B,2,0)</f>
        <v>#N/A</v>
      </c>
      <c r="AC500" t="e">
        <f t="shared" si="7"/>
        <v>#N/A</v>
      </c>
      <c r="AD500" t="e">
        <f>VLOOKUP($AC500,'oddspedia-matches'!$A:$AD,AD$2,0)</f>
        <v>#N/A</v>
      </c>
      <c r="AE500" t="e">
        <f>VLOOKUP($AC500,'oddspedia-matches'!$A:$AD,AE$2,0)</f>
        <v>#N/A</v>
      </c>
      <c r="AF500" t="e">
        <f>VLOOKUP($AC500,'oddspedia-matches'!$A:$AD,AF$2,0)</f>
        <v>#N/A</v>
      </c>
      <c r="AG500" t="e">
        <f>VLOOKUP($AC500,'oddspedia-matches'!$A:$AD,AG$2,0)</f>
        <v>#N/A</v>
      </c>
      <c r="AH500" t="e">
        <f>VLOOKUP($AC500,'oddspedia-matches'!$A:$AD,AH$2,0)</f>
        <v>#N/A</v>
      </c>
      <c r="AI500" t="e">
        <f>VLOOKUP($AC500,'oddspedia-matches'!$A:$AD,AI$2,0)</f>
        <v>#N/A</v>
      </c>
      <c r="AJ500" t="e">
        <f>VLOOKUP($AC500,'oddspedia-matches'!$A:$AD,AJ$2,0)</f>
        <v>#N/A</v>
      </c>
      <c r="AK500" t="e">
        <f>VLOOKUP($AC500,'oddspedia-matches'!$A:$AD,AK$2,0)</f>
        <v>#N/A</v>
      </c>
      <c r="AL500" t="e">
        <f>VLOOKUP($AC500,'oddspedia-matches'!$A:$AD,AL$2,0)</f>
        <v>#N/A</v>
      </c>
      <c r="AM500" t="e">
        <f>VLOOKUP($AC500,'oddspedia-matches'!$A:$AD,AM$2,0)</f>
        <v>#N/A</v>
      </c>
      <c r="AN500" t="e">
        <f>VLOOKUP($AC500,'oddspedia-matches'!$A:$AD,AN$2,0)</f>
        <v>#N/A</v>
      </c>
      <c r="AO500" t="e">
        <f>VLOOKUP($AC500,'oddspedia-matches'!$A:$AD,AO$2,0)</f>
        <v>#N/A</v>
      </c>
      <c r="AP500" t="e">
        <f>VLOOKUP($AC500,'oddspedia-matches'!$A:$AD,AP$2,0)</f>
        <v>#N/A</v>
      </c>
      <c r="AQ500" t="e">
        <f>VLOOKUP($AC500,'oddspedia-matches'!$A:$AD,AQ$2,0)</f>
        <v>#N/A</v>
      </c>
      <c r="AR500" t="e">
        <f>VLOOKUP($AC500,'oddspedia-matches'!$A:$AD,AR$2,0)</f>
        <v>#N/A</v>
      </c>
      <c r="AS500" t="e">
        <f>VLOOKUP($AC500,'oddspedia-matches'!$A:$AD,AS$2,0)</f>
        <v>#N/A</v>
      </c>
      <c r="AT500" t="e">
        <f>VLOOKUP($AC500,'oddspedia-matches'!$A:$AD,AT$2,0)</f>
        <v>#N/A</v>
      </c>
    </row>
    <row r="501" spans="2:46" x14ac:dyDescent="0.25">
      <c r="B501" t="s">
        <v>950</v>
      </c>
      <c r="C501" t="s">
        <v>948</v>
      </c>
      <c r="D501" s="25">
        <v>0.91666666666666663</v>
      </c>
      <c r="E501" t="s">
        <v>1244</v>
      </c>
      <c r="F501" t="s">
        <v>1245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">
        <v>22</v>
      </c>
      <c r="Y501" t="s">
        <v>22</v>
      </c>
      <c r="AA501" t="str">
        <f>VLOOKUP(E501,'Transform table'!A:B,2,0)</f>
        <v>Pau</v>
      </c>
      <c r="AB501" t="e">
        <f>VLOOKUP(F501,'Transform table'!A:B,2,0)</f>
        <v>#N/A</v>
      </c>
      <c r="AC501" t="e">
        <f t="shared" si="7"/>
        <v>#N/A</v>
      </c>
      <c r="AD501" t="e">
        <f>VLOOKUP($AC501,'oddspedia-matches'!$A:$AD,AD$2,0)</f>
        <v>#N/A</v>
      </c>
      <c r="AE501" t="e">
        <f>VLOOKUP($AC501,'oddspedia-matches'!$A:$AD,AE$2,0)</f>
        <v>#N/A</v>
      </c>
      <c r="AF501" t="e">
        <f>VLOOKUP($AC501,'oddspedia-matches'!$A:$AD,AF$2,0)</f>
        <v>#N/A</v>
      </c>
      <c r="AG501" t="e">
        <f>VLOOKUP($AC501,'oddspedia-matches'!$A:$AD,AG$2,0)</f>
        <v>#N/A</v>
      </c>
      <c r="AH501" t="e">
        <f>VLOOKUP($AC501,'oddspedia-matches'!$A:$AD,AH$2,0)</f>
        <v>#N/A</v>
      </c>
      <c r="AI501" t="e">
        <f>VLOOKUP($AC501,'oddspedia-matches'!$A:$AD,AI$2,0)</f>
        <v>#N/A</v>
      </c>
      <c r="AJ501" t="e">
        <f>VLOOKUP($AC501,'oddspedia-matches'!$A:$AD,AJ$2,0)</f>
        <v>#N/A</v>
      </c>
      <c r="AK501" t="e">
        <f>VLOOKUP($AC501,'oddspedia-matches'!$A:$AD,AK$2,0)</f>
        <v>#N/A</v>
      </c>
      <c r="AL501" t="e">
        <f>VLOOKUP($AC501,'oddspedia-matches'!$A:$AD,AL$2,0)</f>
        <v>#N/A</v>
      </c>
      <c r="AM501" t="e">
        <f>VLOOKUP($AC501,'oddspedia-matches'!$A:$AD,AM$2,0)</f>
        <v>#N/A</v>
      </c>
      <c r="AN501" t="e">
        <f>VLOOKUP($AC501,'oddspedia-matches'!$A:$AD,AN$2,0)</f>
        <v>#N/A</v>
      </c>
      <c r="AO501" t="e">
        <f>VLOOKUP($AC501,'oddspedia-matches'!$A:$AD,AO$2,0)</f>
        <v>#N/A</v>
      </c>
      <c r="AP501" t="e">
        <f>VLOOKUP($AC501,'oddspedia-matches'!$A:$AD,AP$2,0)</f>
        <v>#N/A</v>
      </c>
      <c r="AQ501" t="e">
        <f>VLOOKUP($AC501,'oddspedia-matches'!$A:$AD,AQ$2,0)</f>
        <v>#N/A</v>
      </c>
      <c r="AR501" t="e">
        <f>VLOOKUP($AC501,'oddspedia-matches'!$A:$AD,AR$2,0)</f>
        <v>#N/A</v>
      </c>
      <c r="AS501" t="e">
        <f>VLOOKUP($AC501,'oddspedia-matches'!$A:$AD,AS$2,0)</f>
        <v>#N/A</v>
      </c>
      <c r="AT501" t="e">
        <f>VLOOKUP($AC501,'oddspedia-matches'!$A:$AD,AT$2,0)</f>
        <v>#N/A</v>
      </c>
    </row>
    <row r="502" spans="2:46" x14ac:dyDescent="0.25">
      <c r="B502" t="s">
        <v>505</v>
      </c>
      <c r="C502" t="s">
        <v>948</v>
      </c>
      <c r="D502" s="25">
        <v>0.92708333333333337</v>
      </c>
      <c r="E502" t="s">
        <v>427</v>
      </c>
      <c r="F502" t="s">
        <v>1246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22</v>
      </c>
      <c r="O502" t="s">
        <v>22</v>
      </c>
      <c r="P502" t="s">
        <v>22</v>
      </c>
      <c r="Q502" t="s">
        <v>22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>
        <v>27.3</v>
      </c>
      <c r="Y502">
        <v>20</v>
      </c>
      <c r="AA502" t="str">
        <f>VLOOKUP(E502,'Transform table'!A:B,2,0)</f>
        <v>Once Caldas</v>
      </c>
      <c r="AB502" t="e">
        <f>VLOOKUP(F502,'Transform table'!A:B,2,0)</f>
        <v>#N/A</v>
      </c>
      <c r="AC502" t="e">
        <f t="shared" si="7"/>
        <v>#N/A</v>
      </c>
      <c r="AD502" t="e">
        <f>VLOOKUP($AC502,'oddspedia-matches'!$A:$AD,AD$2,0)</f>
        <v>#N/A</v>
      </c>
      <c r="AE502" t="e">
        <f>VLOOKUP($AC502,'oddspedia-matches'!$A:$AD,AE$2,0)</f>
        <v>#N/A</v>
      </c>
      <c r="AF502" t="e">
        <f>VLOOKUP($AC502,'oddspedia-matches'!$A:$AD,AF$2,0)</f>
        <v>#N/A</v>
      </c>
      <c r="AG502" t="e">
        <f>VLOOKUP($AC502,'oddspedia-matches'!$A:$AD,AG$2,0)</f>
        <v>#N/A</v>
      </c>
      <c r="AH502" t="e">
        <f>VLOOKUP($AC502,'oddspedia-matches'!$A:$AD,AH$2,0)</f>
        <v>#N/A</v>
      </c>
      <c r="AI502" t="e">
        <f>VLOOKUP($AC502,'oddspedia-matches'!$A:$AD,AI$2,0)</f>
        <v>#N/A</v>
      </c>
      <c r="AJ502" t="e">
        <f>VLOOKUP($AC502,'oddspedia-matches'!$A:$AD,AJ$2,0)</f>
        <v>#N/A</v>
      </c>
      <c r="AK502" t="e">
        <f>VLOOKUP($AC502,'oddspedia-matches'!$A:$AD,AK$2,0)</f>
        <v>#N/A</v>
      </c>
      <c r="AL502" t="e">
        <f>VLOOKUP($AC502,'oddspedia-matches'!$A:$AD,AL$2,0)</f>
        <v>#N/A</v>
      </c>
      <c r="AM502" t="e">
        <f>VLOOKUP($AC502,'oddspedia-matches'!$A:$AD,AM$2,0)</f>
        <v>#N/A</v>
      </c>
      <c r="AN502" t="e">
        <f>VLOOKUP($AC502,'oddspedia-matches'!$A:$AD,AN$2,0)</f>
        <v>#N/A</v>
      </c>
      <c r="AO502" t="e">
        <f>VLOOKUP($AC502,'oddspedia-matches'!$A:$AD,AO$2,0)</f>
        <v>#N/A</v>
      </c>
      <c r="AP502" t="e">
        <f>VLOOKUP($AC502,'oddspedia-matches'!$A:$AD,AP$2,0)</f>
        <v>#N/A</v>
      </c>
      <c r="AQ502" t="e">
        <f>VLOOKUP($AC502,'oddspedia-matches'!$A:$AD,AQ$2,0)</f>
        <v>#N/A</v>
      </c>
      <c r="AR502" t="e">
        <f>VLOOKUP($AC502,'oddspedia-matches'!$A:$AD,AR$2,0)</f>
        <v>#N/A</v>
      </c>
      <c r="AS502" t="e">
        <f>VLOOKUP($AC502,'oddspedia-matches'!$A:$AD,AS$2,0)</f>
        <v>#N/A</v>
      </c>
      <c r="AT502" t="e">
        <f>VLOOKUP($AC502,'oddspedia-matches'!$A:$AD,AT$2,0)</f>
        <v>#N/A</v>
      </c>
    </row>
    <row r="503" spans="2:46" x14ac:dyDescent="0.25">
      <c r="B503" t="s">
        <v>484</v>
      </c>
      <c r="C503" t="s">
        <v>948</v>
      </c>
      <c r="D503" s="25">
        <v>0.95833333333333337</v>
      </c>
      <c r="E503" t="s">
        <v>1247</v>
      </c>
      <c r="F503" t="s">
        <v>1248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>
        <v>20</v>
      </c>
      <c r="Y503">
        <v>44.4</v>
      </c>
      <c r="AA503" t="str">
        <f>VLOOKUP(E503,'Transform table'!A:B,2,0)</f>
        <v>Torque</v>
      </c>
      <c r="AB503" t="e">
        <f>VLOOKUP(F503,'Transform table'!A:B,2,0)</f>
        <v>#N/A</v>
      </c>
      <c r="AC503" t="e">
        <f t="shared" si="7"/>
        <v>#N/A</v>
      </c>
      <c r="AD503" t="e">
        <f>VLOOKUP($AC503,'oddspedia-matches'!$A:$AD,AD$2,0)</f>
        <v>#N/A</v>
      </c>
      <c r="AE503" t="e">
        <f>VLOOKUP($AC503,'oddspedia-matches'!$A:$AD,AE$2,0)</f>
        <v>#N/A</v>
      </c>
      <c r="AF503" t="e">
        <f>VLOOKUP($AC503,'oddspedia-matches'!$A:$AD,AF$2,0)</f>
        <v>#N/A</v>
      </c>
      <c r="AG503" t="e">
        <f>VLOOKUP($AC503,'oddspedia-matches'!$A:$AD,AG$2,0)</f>
        <v>#N/A</v>
      </c>
      <c r="AH503" t="e">
        <f>VLOOKUP($AC503,'oddspedia-matches'!$A:$AD,AH$2,0)</f>
        <v>#N/A</v>
      </c>
      <c r="AI503" t="e">
        <f>VLOOKUP($AC503,'oddspedia-matches'!$A:$AD,AI$2,0)</f>
        <v>#N/A</v>
      </c>
      <c r="AJ503" t="e">
        <f>VLOOKUP($AC503,'oddspedia-matches'!$A:$AD,AJ$2,0)</f>
        <v>#N/A</v>
      </c>
      <c r="AK503" t="e">
        <f>VLOOKUP($AC503,'oddspedia-matches'!$A:$AD,AK$2,0)</f>
        <v>#N/A</v>
      </c>
      <c r="AL503" t="e">
        <f>VLOOKUP($AC503,'oddspedia-matches'!$A:$AD,AL$2,0)</f>
        <v>#N/A</v>
      </c>
      <c r="AM503" t="e">
        <f>VLOOKUP($AC503,'oddspedia-matches'!$A:$AD,AM$2,0)</f>
        <v>#N/A</v>
      </c>
      <c r="AN503" t="e">
        <f>VLOOKUP($AC503,'oddspedia-matches'!$A:$AD,AN$2,0)</f>
        <v>#N/A</v>
      </c>
      <c r="AO503" t="e">
        <f>VLOOKUP($AC503,'oddspedia-matches'!$A:$AD,AO$2,0)</f>
        <v>#N/A</v>
      </c>
      <c r="AP503" t="e">
        <f>VLOOKUP($AC503,'oddspedia-matches'!$A:$AD,AP$2,0)</f>
        <v>#N/A</v>
      </c>
      <c r="AQ503" t="e">
        <f>VLOOKUP($AC503,'oddspedia-matches'!$A:$AD,AQ$2,0)</f>
        <v>#N/A</v>
      </c>
      <c r="AR503" t="e">
        <f>VLOOKUP($AC503,'oddspedia-matches'!$A:$AD,AR$2,0)</f>
        <v>#N/A</v>
      </c>
      <c r="AS503" t="e">
        <f>VLOOKUP($AC503,'oddspedia-matches'!$A:$AD,AS$2,0)</f>
        <v>#N/A</v>
      </c>
      <c r="AT503" t="e">
        <f>VLOOKUP($AC503,'oddspedia-matches'!$A:$AD,AT$2,0)</f>
        <v>#N/A</v>
      </c>
    </row>
    <row r="504" spans="2:46" x14ac:dyDescent="0.25">
      <c r="B504" t="s">
        <v>564</v>
      </c>
      <c r="C504" t="s">
        <v>1249</v>
      </c>
      <c r="D504" s="25">
        <v>0.3125</v>
      </c>
      <c r="E504" t="s">
        <v>1250</v>
      </c>
      <c r="F504" t="s">
        <v>1251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>
        <v>25</v>
      </c>
      <c r="Y504">
        <v>14.3</v>
      </c>
      <c r="AA504">
        <f>VLOOKUP(E504,'Transform table'!A:B,2,0)</f>
        <v>0</v>
      </c>
      <c r="AB504" t="e">
        <f>VLOOKUP(F504,'Transform table'!A:B,2,0)</f>
        <v>#N/A</v>
      </c>
      <c r="AC504" t="e">
        <f t="shared" si="7"/>
        <v>#N/A</v>
      </c>
      <c r="AD504" t="e">
        <f>VLOOKUP($AC504,'oddspedia-matches'!$A:$AD,AD$2,0)</f>
        <v>#N/A</v>
      </c>
      <c r="AE504" t="e">
        <f>VLOOKUP($AC504,'oddspedia-matches'!$A:$AD,AE$2,0)</f>
        <v>#N/A</v>
      </c>
      <c r="AF504" t="e">
        <f>VLOOKUP($AC504,'oddspedia-matches'!$A:$AD,AF$2,0)</f>
        <v>#N/A</v>
      </c>
      <c r="AG504" t="e">
        <f>VLOOKUP($AC504,'oddspedia-matches'!$A:$AD,AG$2,0)</f>
        <v>#N/A</v>
      </c>
      <c r="AH504" t="e">
        <f>VLOOKUP($AC504,'oddspedia-matches'!$A:$AD,AH$2,0)</f>
        <v>#N/A</v>
      </c>
      <c r="AI504" t="e">
        <f>VLOOKUP($AC504,'oddspedia-matches'!$A:$AD,AI$2,0)</f>
        <v>#N/A</v>
      </c>
      <c r="AJ504" t="e">
        <f>VLOOKUP($AC504,'oddspedia-matches'!$A:$AD,AJ$2,0)</f>
        <v>#N/A</v>
      </c>
      <c r="AK504" t="e">
        <f>VLOOKUP($AC504,'oddspedia-matches'!$A:$AD,AK$2,0)</f>
        <v>#N/A</v>
      </c>
      <c r="AL504" t="e">
        <f>VLOOKUP($AC504,'oddspedia-matches'!$A:$AD,AL$2,0)</f>
        <v>#N/A</v>
      </c>
      <c r="AM504" t="e">
        <f>VLOOKUP($AC504,'oddspedia-matches'!$A:$AD,AM$2,0)</f>
        <v>#N/A</v>
      </c>
      <c r="AN504" t="e">
        <f>VLOOKUP($AC504,'oddspedia-matches'!$A:$AD,AN$2,0)</f>
        <v>#N/A</v>
      </c>
      <c r="AO504" t="e">
        <f>VLOOKUP($AC504,'oddspedia-matches'!$A:$AD,AO$2,0)</f>
        <v>#N/A</v>
      </c>
      <c r="AP504" t="e">
        <f>VLOOKUP($AC504,'oddspedia-matches'!$A:$AD,AP$2,0)</f>
        <v>#N/A</v>
      </c>
      <c r="AQ504" t="e">
        <f>VLOOKUP($AC504,'oddspedia-matches'!$A:$AD,AQ$2,0)</f>
        <v>#N/A</v>
      </c>
      <c r="AR504" t="e">
        <f>VLOOKUP($AC504,'oddspedia-matches'!$A:$AD,AR$2,0)</f>
        <v>#N/A</v>
      </c>
      <c r="AS504" t="e">
        <f>VLOOKUP($AC504,'oddspedia-matches'!$A:$AD,AS$2,0)</f>
        <v>#N/A</v>
      </c>
      <c r="AT504" t="e">
        <f>VLOOKUP($AC504,'oddspedia-matches'!$A:$AD,AT$2,0)</f>
        <v>#N/A</v>
      </c>
    </row>
    <row r="505" spans="2:46" x14ac:dyDescent="0.25">
      <c r="B505" t="s">
        <v>1008</v>
      </c>
      <c r="C505" t="s">
        <v>1249</v>
      </c>
      <c r="D505" s="25">
        <v>0.5</v>
      </c>
      <c r="E505" t="s">
        <v>1252</v>
      </c>
      <c r="F505" t="s">
        <v>248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>
        <v>27.3</v>
      </c>
      <c r="Y505">
        <v>8.3000000000000007</v>
      </c>
      <c r="AA505" t="str">
        <f>VLOOKUP(E505,'Transform table'!A:B,2,0)</f>
        <v>Tuggeranong United U23</v>
      </c>
      <c r="AB505" t="str">
        <f>VLOOKUP(F505,'Transform table'!A:B,2,0)</f>
        <v>Rigas Futbola Skola</v>
      </c>
      <c r="AC505" t="str">
        <f t="shared" si="7"/>
        <v>27/07/2026Tuggeranong United U23Rigas Futbola Skola</v>
      </c>
      <c r="AD505" t="e">
        <f>VLOOKUP($AC505,'oddspedia-matches'!$A:$AD,AD$2,0)</f>
        <v>#N/A</v>
      </c>
      <c r="AE505" t="e">
        <f>VLOOKUP($AC505,'oddspedia-matches'!$A:$AD,AE$2,0)</f>
        <v>#N/A</v>
      </c>
      <c r="AF505" t="e">
        <f>VLOOKUP($AC505,'oddspedia-matches'!$A:$AD,AF$2,0)</f>
        <v>#N/A</v>
      </c>
      <c r="AG505" t="e">
        <f>VLOOKUP($AC505,'oddspedia-matches'!$A:$AD,AG$2,0)</f>
        <v>#N/A</v>
      </c>
      <c r="AH505" t="e">
        <f>VLOOKUP($AC505,'oddspedia-matches'!$A:$AD,AH$2,0)</f>
        <v>#N/A</v>
      </c>
      <c r="AI505" t="e">
        <f>VLOOKUP($AC505,'oddspedia-matches'!$A:$AD,AI$2,0)</f>
        <v>#N/A</v>
      </c>
      <c r="AJ505" t="e">
        <f>VLOOKUP($AC505,'oddspedia-matches'!$A:$AD,AJ$2,0)</f>
        <v>#N/A</v>
      </c>
      <c r="AK505" t="e">
        <f>VLOOKUP($AC505,'oddspedia-matches'!$A:$AD,AK$2,0)</f>
        <v>#N/A</v>
      </c>
      <c r="AL505" t="e">
        <f>VLOOKUP($AC505,'oddspedia-matches'!$A:$AD,AL$2,0)</f>
        <v>#N/A</v>
      </c>
      <c r="AM505" t="e">
        <f>VLOOKUP($AC505,'oddspedia-matches'!$A:$AD,AM$2,0)</f>
        <v>#N/A</v>
      </c>
      <c r="AN505" t="e">
        <f>VLOOKUP($AC505,'oddspedia-matches'!$A:$AD,AN$2,0)</f>
        <v>#N/A</v>
      </c>
      <c r="AO505" t="e">
        <f>VLOOKUP($AC505,'oddspedia-matches'!$A:$AD,AO$2,0)</f>
        <v>#N/A</v>
      </c>
      <c r="AP505" t="e">
        <f>VLOOKUP($AC505,'oddspedia-matches'!$A:$AD,AP$2,0)</f>
        <v>#N/A</v>
      </c>
      <c r="AQ505" t="e">
        <f>VLOOKUP($AC505,'oddspedia-matches'!$A:$AD,AQ$2,0)</f>
        <v>#N/A</v>
      </c>
      <c r="AR505" t="e">
        <f>VLOOKUP($AC505,'oddspedia-matches'!$A:$AD,AR$2,0)</f>
        <v>#N/A</v>
      </c>
      <c r="AS505" t="e">
        <f>VLOOKUP($AC505,'oddspedia-matches'!$A:$AD,AS$2,0)</f>
        <v>#N/A</v>
      </c>
      <c r="AT505" t="e">
        <f>VLOOKUP($AC505,'oddspedia-matches'!$A:$AD,AT$2,0)</f>
        <v>#N/A</v>
      </c>
    </row>
    <row r="506" spans="2:46" x14ac:dyDescent="0.25">
      <c r="B506" t="s">
        <v>587</v>
      </c>
      <c r="C506" t="s">
        <v>1249</v>
      </c>
      <c r="D506" s="25">
        <v>0.5</v>
      </c>
      <c r="E506" t="s">
        <v>1253</v>
      </c>
      <c r="F506" t="s">
        <v>1254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">
        <v>22</v>
      </c>
      <c r="Y506" t="s">
        <v>22</v>
      </c>
      <c r="AA506" t="str">
        <f>VLOOKUP(E506,'Transform table'!A:B,2,0)</f>
        <v>Valletta</v>
      </c>
      <c r="AB506" t="e">
        <f>VLOOKUP(F506,'Transform table'!A:B,2,0)</f>
        <v>#N/A</v>
      </c>
      <c r="AC506" t="e">
        <f t="shared" si="7"/>
        <v>#N/A</v>
      </c>
      <c r="AD506" t="e">
        <f>VLOOKUP($AC506,'oddspedia-matches'!$A:$AD,AD$2,0)</f>
        <v>#N/A</v>
      </c>
      <c r="AE506" t="e">
        <f>VLOOKUP($AC506,'oddspedia-matches'!$A:$AD,AE$2,0)</f>
        <v>#N/A</v>
      </c>
      <c r="AF506" t="e">
        <f>VLOOKUP($AC506,'oddspedia-matches'!$A:$AD,AF$2,0)</f>
        <v>#N/A</v>
      </c>
      <c r="AG506" t="e">
        <f>VLOOKUP($AC506,'oddspedia-matches'!$A:$AD,AG$2,0)</f>
        <v>#N/A</v>
      </c>
      <c r="AH506" t="e">
        <f>VLOOKUP($AC506,'oddspedia-matches'!$A:$AD,AH$2,0)</f>
        <v>#N/A</v>
      </c>
      <c r="AI506" t="e">
        <f>VLOOKUP($AC506,'oddspedia-matches'!$A:$AD,AI$2,0)</f>
        <v>#N/A</v>
      </c>
      <c r="AJ506" t="e">
        <f>VLOOKUP($AC506,'oddspedia-matches'!$A:$AD,AJ$2,0)</f>
        <v>#N/A</v>
      </c>
      <c r="AK506" t="e">
        <f>VLOOKUP($AC506,'oddspedia-matches'!$A:$AD,AK$2,0)</f>
        <v>#N/A</v>
      </c>
      <c r="AL506" t="e">
        <f>VLOOKUP($AC506,'oddspedia-matches'!$A:$AD,AL$2,0)</f>
        <v>#N/A</v>
      </c>
      <c r="AM506" t="e">
        <f>VLOOKUP($AC506,'oddspedia-matches'!$A:$AD,AM$2,0)</f>
        <v>#N/A</v>
      </c>
      <c r="AN506" t="e">
        <f>VLOOKUP($AC506,'oddspedia-matches'!$A:$AD,AN$2,0)</f>
        <v>#N/A</v>
      </c>
      <c r="AO506" t="e">
        <f>VLOOKUP($AC506,'oddspedia-matches'!$A:$AD,AO$2,0)</f>
        <v>#N/A</v>
      </c>
      <c r="AP506" t="e">
        <f>VLOOKUP($AC506,'oddspedia-matches'!$A:$AD,AP$2,0)</f>
        <v>#N/A</v>
      </c>
      <c r="AQ506" t="e">
        <f>VLOOKUP($AC506,'oddspedia-matches'!$A:$AD,AQ$2,0)</f>
        <v>#N/A</v>
      </c>
      <c r="AR506" t="e">
        <f>VLOOKUP($AC506,'oddspedia-matches'!$A:$AD,AR$2,0)</f>
        <v>#N/A</v>
      </c>
      <c r="AS506" t="e">
        <f>VLOOKUP($AC506,'oddspedia-matches'!$A:$AD,AS$2,0)</f>
        <v>#N/A</v>
      </c>
      <c r="AT506" t="e">
        <f>VLOOKUP($AC506,'oddspedia-matches'!$A:$AD,AT$2,0)</f>
        <v>#N/A</v>
      </c>
    </row>
    <row r="507" spans="2:46" x14ac:dyDescent="0.25">
      <c r="B507" t="s">
        <v>1061</v>
      </c>
      <c r="C507" t="s">
        <v>1249</v>
      </c>
      <c r="D507" s="25">
        <v>0.52083333333333337</v>
      </c>
      <c r="E507" t="s">
        <v>1255</v>
      </c>
      <c r="F507" t="s">
        <v>1256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">
        <v>22</v>
      </c>
      <c r="Y507" t="s">
        <v>22</v>
      </c>
      <c r="AA507" t="str">
        <f>VLOOKUP(E507,'Transform table'!A:B,2,0)</f>
        <v>CFR Cluj</v>
      </c>
      <c r="AB507" t="e">
        <f>VLOOKUP(F507,'Transform table'!A:B,2,0)</f>
        <v>#N/A</v>
      </c>
      <c r="AC507" t="e">
        <f t="shared" si="7"/>
        <v>#N/A</v>
      </c>
      <c r="AD507" t="e">
        <f>VLOOKUP($AC507,'oddspedia-matches'!$A:$AD,AD$2,0)</f>
        <v>#N/A</v>
      </c>
      <c r="AE507" t="e">
        <f>VLOOKUP($AC507,'oddspedia-matches'!$A:$AD,AE$2,0)</f>
        <v>#N/A</v>
      </c>
      <c r="AF507" t="e">
        <f>VLOOKUP($AC507,'oddspedia-matches'!$A:$AD,AF$2,0)</f>
        <v>#N/A</v>
      </c>
      <c r="AG507" t="e">
        <f>VLOOKUP($AC507,'oddspedia-matches'!$A:$AD,AG$2,0)</f>
        <v>#N/A</v>
      </c>
      <c r="AH507" t="e">
        <f>VLOOKUP($AC507,'oddspedia-matches'!$A:$AD,AH$2,0)</f>
        <v>#N/A</v>
      </c>
      <c r="AI507" t="e">
        <f>VLOOKUP($AC507,'oddspedia-matches'!$A:$AD,AI$2,0)</f>
        <v>#N/A</v>
      </c>
      <c r="AJ507" t="e">
        <f>VLOOKUP($AC507,'oddspedia-matches'!$A:$AD,AJ$2,0)</f>
        <v>#N/A</v>
      </c>
      <c r="AK507" t="e">
        <f>VLOOKUP($AC507,'oddspedia-matches'!$A:$AD,AK$2,0)</f>
        <v>#N/A</v>
      </c>
      <c r="AL507" t="e">
        <f>VLOOKUP($AC507,'oddspedia-matches'!$A:$AD,AL$2,0)</f>
        <v>#N/A</v>
      </c>
      <c r="AM507" t="e">
        <f>VLOOKUP($AC507,'oddspedia-matches'!$A:$AD,AM$2,0)</f>
        <v>#N/A</v>
      </c>
      <c r="AN507" t="e">
        <f>VLOOKUP($AC507,'oddspedia-matches'!$A:$AD,AN$2,0)</f>
        <v>#N/A</v>
      </c>
      <c r="AO507" t="e">
        <f>VLOOKUP($AC507,'oddspedia-matches'!$A:$AD,AO$2,0)</f>
        <v>#N/A</v>
      </c>
      <c r="AP507" t="e">
        <f>VLOOKUP($AC507,'oddspedia-matches'!$A:$AD,AP$2,0)</f>
        <v>#N/A</v>
      </c>
      <c r="AQ507" t="e">
        <f>VLOOKUP($AC507,'oddspedia-matches'!$A:$AD,AQ$2,0)</f>
        <v>#N/A</v>
      </c>
      <c r="AR507" t="e">
        <f>VLOOKUP($AC507,'oddspedia-matches'!$A:$AD,AR$2,0)</f>
        <v>#N/A</v>
      </c>
      <c r="AS507" t="e">
        <f>VLOOKUP($AC507,'oddspedia-matches'!$A:$AD,AS$2,0)</f>
        <v>#N/A</v>
      </c>
      <c r="AT507" t="e">
        <f>VLOOKUP($AC507,'oddspedia-matches'!$A:$AD,AT$2,0)</f>
        <v>#N/A</v>
      </c>
    </row>
    <row r="508" spans="2:46" x14ac:dyDescent="0.25">
      <c r="B508" t="s">
        <v>493</v>
      </c>
      <c r="C508" t="s">
        <v>1249</v>
      </c>
      <c r="D508" s="25">
        <v>0.53125</v>
      </c>
      <c r="E508" t="s">
        <v>146</v>
      </c>
      <c r="F508" t="s">
        <v>1257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>
        <v>18.2</v>
      </c>
      <c r="Y508">
        <v>18.2</v>
      </c>
      <c r="AA508" t="str">
        <f>VLOOKUP(E508,'Transform table'!A:B,2,0)</f>
        <v>Hegelmann Litauen</v>
      </c>
      <c r="AB508" t="e">
        <f>VLOOKUP(F508,'Transform table'!A:B,2,0)</f>
        <v>#N/A</v>
      </c>
      <c r="AC508" t="e">
        <f t="shared" si="7"/>
        <v>#N/A</v>
      </c>
      <c r="AD508" t="e">
        <f>VLOOKUP($AC508,'oddspedia-matches'!$A:$AD,AD$2,0)</f>
        <v>#N/A</v>
      </c>
      <c r="AE508" t="e">
        <f>VLOOKUP($AC508,'oddspedia-matches'!$A:$AD,AE$2,0)</f>
        <v>#N/A</v>
      </c>
      <c r="AF508" t="e">
        <f>VLOOKUP($AC508,'oddspedia-matches'!$A:$AD,AF$2,0)</f>
        <v>#N/A</v>
      </c>
      <c r="AG508" t="e">
        <f>VLOOKUP($AC508,'oddspedia-matches'!$A:$AD,AG$2,0)</f>
        <v>#N/A</v>
      </c>
      <c r="AH508" t="e">
        <f>VLOOKUP($AC508,'oddspedia-matches'!$A:$AD,AH$2,0)</f>
        <v>#N/A</v>
      </c>
      <c r="AI508" t="e">
        <f>VLOOKUP($AC508,'oddspedia-matches'!$A:$AD,AI$2,0)</f>
        <v>#N/A</v>
      </c>
      <c r="AJ508" t="e">
        <f>VLOOKUP($AC508,'oddspedia-matches'!$A:$AD,AJ$2,0)</f>
        <v>#N/A</v>
      </c>
      <c r="AK508" t="e">
        <f>VLOOKUP($AC508,'oddspedia-matches'!$A:$AD,AK$2,0)</f>
        <v>#N/A</v>
      </c>
      <c r="AL508" t="e">
        <f>VLOOKUP($AC508,'oddspedia-matches'!$A:$AD,AL$2,0)</f>
        <v>#N/A</v>
      </c>
      <c r="AM508" t="e">
        <f>VLOOKUP($AC508,'oddspedia-matches'!$A:$AD,AM$2,0)</f>
        <v>#N/A</v>
      </c>
      <c r="AN508" t="e">
        <f>VLOOKUP($AC508,'oddspedia-matches'!$A:$AD,AN$2,0)</f>
        <v>#N/A</v>
      </c>
      <c r="AO508" t="e">
        <f>VLOOKUP($AC508,'oddspedia-matches'!$A:$AD,AO$2,0)</f>
        <v>#N/A</v>
      </c>
      <c r="AP508" t="e">
        <f>VLOOKUP($AC508,'oddspedia-matches'!$A:$AD,AP$2,0)</f>
        <v>#N/A</v>
      </c>
      <c r="AQ508" t="e">
        <f>VLOOKUP($AC508,'oddspedia-matches'!$A:$AD,AQ$2,0)</f>
        <v>#N/A</v>
      </c>
      <c r="AR508" t="e">
        <f>VLOOKUP($AC508,'oddspedia-matches'!$A:$AD,AR$2,0)</f>
        <v>#N/A</v>
      </c>
      <c r="AS508" t="e">
        <f>VLOOKUP($AC508,'oddspedia-matches'!$A:$AD,AS$2,0)</f>
        <v>#N/A</v>
      </c>
      <c r="AT508" t="e">
        <f>VLOOKUP($AC508,'oddspedia-matches'!$A:$AD,AT$2,0)</f>
        <v>#N/A</v>
      </c>
    </row>
    <row r="509" spans="2:46" x14ac:dyDescent="0.25">
      <c r="B509" t="s">
        <v>1099</v>
      </c>
      <c r="C509" t="s">
        <v>1249</v>
      </c>
      <c r="D509" s="25">
        <v>0.54166666666666663</v>
      </c>
      <c r="E509" t="s">
        <v>1258</v>
      </c>
      <c r="F509" t="s">
        <v>1259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">
        <v>22</v>
      </c>
      <c r="Y509" t="s">
        <v>22</v>
      </c>
      <c r="AA509" t="str">
        <f>VLOOKUP(E509,'Transform table'!A:B,2,0)</f>
        <v>Dunajska Streda</v>
      </c>
      <c r="AB509" t="e">
        <f>VLOOKUP(F509,'Transform table'!A:B,2,0)</f>
        <v>#N/A</v>
      </c>
      <c r="AC509" t="e">
        <f t="shared" si="7"/>
        <v>#N/A</v>
      </c>
      <c r="AD509" t="e">
        <f>VLOOKUP($AC509,'oddspedia-matches'!$A:$AD,AD$2,0)</f>
        <v>#N/A</v>
      </c>
      <c r="AE509" t="e">
        <f>VLOOKUP($AC509,'oddspedia-matches'!$A:$AD,AE$2,0)</f>
        <v>#N/A</v>
      </c>
      <c r="AF509" t="e">
        <f>VLOOKUP($AC509,'oddspedia-matches'!$A:$AD,AF$2,0)</f>
        <v>#N/A</v>
      </c>
      <c r="AG509" t="e">
        <f>VLOOKUP($AC509,'oddspedia-matches'!$A:$AD,AG$2,0)</f>
        <v>#N/A</v>
      </c>
      <c r="AH509" t="e">
        <f>VLOOKUP($AC509,'oddspedia-matches'!$A:$AD,AH$2,0)</f>
        <v>#N/A</v>
      </c>
      <c r="AI509" t="e">
        <f>VLOOKUP($AC509,'oddspedia-matches'!$A:$AD,AI$2,0)</f>
        <v>#N/A</v>
      </c>
      <c r="AJ509" t="e">
        <f>VLOOKUP($AC509,'oddspedia-matches'!$A:$AD,AJ$2,0)</f>
        <v>#N/A</v>
      </c>
      <c r="AK509" t="e">
        <f>VLOOKUP($AC509,'oddspedia-matches'!$A:$AD,AK$2,0)</f>
        <v>#N/A</v>
      </c>
      <c r="AL509" t="e">
        <f>VLOOKUP($AC509,'oddspedia-matches'!$A:$AD,AL$2,0)</f>
        <v>#N/A</v>
      </c>
      <c r="AM509" t="e">
        <f>VLOOKUP($AC509,'oddspedia-matches'!$A:$AD,AM$2,0)</f>
        <v>#N/A</v>
      </c>
      <c r="AN509" t="e">
        <f>VLOOKUP($AC509,'oddspedia-matches'!$A:$AD,AN$2,0)</f>
        <v>#N/A</v>
      </c>
      <c r="AO509" t="e">
        <f>VLOOKUP($AC509,'oddspedia-matches'!$A:$AD,AO$2,0)</f>
        <v>#N/A</v>
      </c>
      <c r="AP509" t="e">
        <f>VLOOKUP($AC509,'oddspedia-matches'!$A:$AD,AP$2,0)</f>
        <v>#N/A</v>
      </c>
      <c r="AQ509" t="e">
        <f>VLOOKUP($AC509,'oddspedia-matches'!$A:$AD,AQ$2,0)</f>
        <v>#N/A</v>
      </c>
      <c r="AR509" t="e">
        <f>VLOOKUP($AC509,'oddspedia-matches'!$A:$AD,AR$2,0)</f>
        <v>#N/A</v>
      </c>
      <c r="AS509" t="e">
        <f>VLOOKUP($AC509,'oddspedia-matches'!$A:$AD,AS$2,0)</f>
        <v>#N/A</v>
      </c>
      <c r="AT509" t="e">
        <f>VLOOKUP($AC509,'oddspedia-matches'!$A:$AD,AT$2,0)</f>
        <v>#N/A</v>
      </c>
    </row>
    <row r="510" spans="2:46" x14ac:dyDescent="0.25">
      <c r="B510" t="s">
        <v>644</v>
      </c>
      <c r="C510" t="s">
        <v>1249</v>
      </c>
      <c r="D510" s="25">
        <v>0.54166666666666663</v>
      </c>
      <c r="E510" t="s">
        <v>1260</v>
      </c>
      <c r="F510" t="s">
        <v>1261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">
        <v>22</v>
      </c>
      <c r="Y510" t="s">
        <v>22</v>
      </c>
      <c r="AA510" t="str">
        <f>VLOOKUP(E510,'Transform table'!A:B,2,0)</f>
        <v>JK Nomme United</v>
      </c>
      <c r="AB510" t="e">
        <f>VLOOKUP(F510,'Transform table'!A:B,2,0)</f>
        <v>#N/A</v>
      </c>
      <c r="AC510" t="e">
        <f t="shared" si="7"/>
        <v>#N/A</v>
      </c>
      <c r="AD510" t="e">
        <f>VLOOKUP($AC510,'oddspedia-matches'!$A:$AD,AD$2,0)</f>
        <v>#N/A</v>
      </c>
      <c r="AE510" t="e">
        <f>VLOOKUP($AC510,'oddspedia-matches'!$A:$AD,AE$2,0)</f>
        <v>#N/A</v>
      </c>
      <c r="AF510" t="e">
        <f>VLOOKUP($AC510,'oddspedia-matches'!$A:$AD,AF$2,0)</f>
        <v>#N/A</v>
      </c>
      <c r="AG510" t="e">
        <f>VLOOKUP($AC510,'oddspedia-matches'!$A:$AD,AG$2,0)</f>
        <v>#N/A</v>
      </c>
      <c r="AH510" t="e">
        <f>VLOOKUP($AC510,'oddspedia-matches'!$A:$AD,AH$2,0)</f>
        <v>#N/A</v>
      </c>
      <c r="AI510" t="e">
        <f>VLOOKUP($AC510,'oddspedia-matches'!$A:$AD,AI$2,0)</f>
        <v>#N/A</v>
      </c>
      <c r="AJ510" t="e">
        <f>VLOOKUP($AC510,'oddspedia-matches'!$A:$AD,AJ$2,0)</f>
        <v>#N/A</v>
      </c>
      <c r="AK510" t="e">
        <f>VLOOKUP($AC510,'oddspedia-matches'!$A:$AD,AK$2,0)</f>
        <v>#N/A</v>
      </c>
      <c r="AL510" t="e">
        <f>VLOOKUP($AC510,'oddspedia-matches'!$A:$AD,AL$2,0)</f>
        <v>#N/A</v>
      </c>
      <c r="AM510" t="e">
        <f>VLOOKUP($AC510,'oddspedia-matches'!$A:$AD,AM$2,0)</f>
        <v>#N/A</v>
      </c>
      <c r="AN510" t="e">
        <f>VLOOKUP($AC510,'oddspedia-matches'!$A:$AD,AN$2,0)</f>
        <v>#N/A</v>
      </c>
      <c r="AO510" t="e">
        <f>VLOOKUP($AC510,'oddspedia-matches'!$A:$AD,AO$2,0)</f>
        <v>#N/A</v>
      </c>
      <c r="AP510" t="e">
        <f>VLOOKUP($AC510,'oddspedia-matches'!$A:$AD,AP$2,0)</f>
        <v>#N/A</v>
      </c>
      <c r="AQ510" t="e">
        <f>VLOOKUP($AC510,'oddspedia-matches'!$A:$AD,AQ$2,0)</f>
        <v>#N/A</v>
      </c>
      <c r="AR510" t="e">
        <f>VLOOKUP($AC510,'oddspedia-matches'!$A:$AD,AR$2,0)</f>
        <v>#N/A</v>
      </c>
      <c r="AS510" t="e">
        <f>VLOOKUP($AC510,'oddspedia-matches'!$A:$AD,AS$2,0)</f>
        <v>#N/A</v>
      </c>
      <c r="AT510" t="e">
        <f>VLOOKUP($AC510,'oddspedia-matches'!$A:$AD,AT$2,0)</f>
        <v>#N/A</v>
      </c>
    </row>
    <row r="511" spans="2:46" x14ac:dyDescent="0.25">
      <c r="B511" t="s">
        <v>1008</v>
      </c>
      <c r="C511" t="s">
        <v>1249</v>
      </c>
      <c r="D511" s="25">
        <v>0.54166666666666663</v>
      </c>
      <c r="E511" t="s">
        <v>255</v>
      </c>
      <c r="F511" t="s">
        <v>1262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>
        <v>16.7</v>
      </c>
      <c r="Y511">
        <v>25</v>
      </c>
      <c r="AA511" t="str">
        <f>VLOOKUP(E511,'Transform table'!A:B,2,0)</f>
        <v>SC Grobinas</v>
      </c>
      <c r="AB511" t="e">
        <f>VLOOKUP(F511,'Transform table'!A:B,2,0)</f>
        <v>#N/A</v>
      </c>
      <c r="AC511" t="e">
        <f t="shared" si="7"/>
        <v>#N/A</v>
      </c>
      <c r="AD511" t="e">
        <f>VLOOKUP($AC511,'oddspedia-matches'!$A:$AD,AD$2,0)</f>
        <v>#N/A</v>
      </c>
      <c r="AE511" t="e">
        <f>VLOOKUP($AC511,'oddspedia-matches'!$A:$AD,AE$2,0)</f>
        <v>#N/A</v>
      </c>
      <c r="AF511" t="e">
        <f>VLOOKUP($AC511,'oddspedia-matches'!$A:$AD,AF$2,0)</f>
        <v>#N/A</v>
      </c>
      <c r="AG511" t="e">
        <f>VLOOKUP($AC511,'oddspedia-matches'!$A:$AD,AG$2,0)</f>
        <v>#N/A</v>
      </c>
      <c r="AH511" t="e">
        <f>VLOOKUP($AC511,'oddspedia-matches'!$A:$AD,AH$2,0)</f>
        <v>#N/A</v>
      </c>
      <c r="AI511" t="e">
        <f>VLOOKUP($AC511,'oddspedia-matches'!$A:$AD,AI$2,0)</f>
        <v>#N/A</v>
      </c>
      <c r="AJ511" t="e">
        <f>VLOOKUP($AC511,'oddspedia-matches'!$A:$AD,AJ$2,0)</f>
        <v>#N/A</v>
      </c>
      <c r="AK511" t="e">
        <f>VLOOKUP($AC511,'oddspedia-matches'!$A:$AD,AK$2,0)</f>
        <v>#N/A</v>
      </c>
      <c r="AL511" t="e">
        <f>VLOOKUP($AC511,'oddspedia-matches'!$A:$AD,AL$2,0)</f>
        <v>#N/A</v>
      </c>
      <c r="AM511" t="e">
        <f>VLOOKUP($AC511,'oddspedia-matches'!$A:$AD,AM$2,0)</f>
        <v>#N/A</v>
      </c>
      <c r="AN511" t="e">
        <f>VLOOKUP($AC511,'oddspedia-matches'!$A:$AD,AN$2,0)</f>
        <v>#N/A</v>
      </c>
      <c r="AO511" t="e">
        <f>VLOOKUP($AC511,'oddspedia-matches'!$A:$AD,AO$2,0)</f>
        <v>#N/A</v>
      </c>
      <c r="AP511" t="e">
        <f>VLOOKUP($AC511,'oddspedia-matches'!$A:$AD,AP$2,0)</f>
        <v>#N/A</v>
      </c>
      <c r="AQ511" t="e">
        <f>VLOOKUP($AC511,'oddspedia-matches'!$A:$AD,AQ$2,0)</f>
        <v>#N/A</v>
      </c>
      <c r="AR511" t="e">
        <f>VLOOKUP($AC511,'oddspedia-matches'!$A:$AD,AR$2,0)</f>
        <v>#N/A</v>
      </c>
      <c r="AS511" t="e">
        <f>VLOOKUP($AC511,'oddspedia-matches'!$A:$AD,AS$2,0)</f>
        <v>#N/A</v>
      </c>
      <c r="AT511" t="e">
        <f>VLOOKUP($AC511,'oddspedia-matches'!$A:$AD,AT$2,0)</f>
        <v>#N/A</v>
      </c>
    </row>
    <row r="512" spans="2:46" x14ac:dyDescent="0.25">
      <c r="B512" t="s">
        <v>587</v>
      </c>
      <c r="C512" t="s">
        <v>1249</v>
      </c>
      <c r="D512" s="25">
        <v>0.54166666666666663</v>
      </c>
      <c r="E512" t="s">
        <v>1263</v>
      </c>
      <c r="F512" t="s">
        <v>256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">
        <v>22</v>
      </c>
      <c r="Y512" t="s">
        <v>22</v>
      </c>
      <c r="AA512" t="str">
        <f>VLOOKUP(E512,'Transform table'!A:B,2,0)</f>
        <v>Metz</v>
      </c>
      <c r="AB512" t="str">
        <f>VLOOKUP(F512,'Transform table'!A:B,2,0)</f>
        <v>FK Tukums 2000 II</v>
      </c>
      <c r="AC512" t="str">
        <f t="shared" si="7"/>
        <v>27/07/2026MetzFK Tukums 2000 II</v>
      </c>
      <c r="AD512" t="e">
        <f>VLOOKUP($AC512,'oddspedia-matches'!$A:$AD,AD$2,0)</f>
        <v>#N/A</v>
      </c>
      <c r="AE512" t="e">
        <f>VLOOKUP($AC512,'oddspedia-matches'!$A:$AD,AE$2,0)</f>
        <v>#N/A</v>
      </c>
      <c r="AF512" t="e">
        <f>VLOOKUP($AC512,'oddspedia-matches'!$A:$AD,AF$2,0)</f>
        <v>#N/A</v>
      </c>
      <c r="AG512" t="e">
        <f>VLOOKUP($AC512,'oddspedia-matches'!$A:$AD,AG$2,0)</f>
        <v>#N/A</v>
      </c>
      <c r="AH512" t="e">
        <f>VLOOKUP($AC512,'oddspedia-matches'!$A:$AD,AH$2,0)</f>
        <v>#N/A</v>
      </c>
      <c r="AI512" t="e">
        <f>VLOOKUP($AC512,'oddspedia-matches'!$A:$AD,AI$2,0)</f>
        <v>#N/A</v>
      </c>
      <c r="AJ512" t="e">
        <f>VLOOKUP($AC512,'oddspedia-matches'!$A:$AD,AJ$2,0)</f>
        <v>#N/A</v>
      </c>
      <c r="AK512" t="e">
        <f>VLOOKUP($AC512,'oddspedia-matches'!$A:$AD,AK$2,0)</f>
        <v>#N/A</v>
      </c>
      <c r="AL512" t="e">
        <f>VLOOKUP($AC512,'oddspedia-matches'!$A:$AD,AL$2,0)</f>
        <v>#N/A</v>
      </c>
      <c r="AM512" t="e">
        <f>VLOOKUP($AC512,'oddspedia-matches'!$A:$AD,AM$2,0)</f>
        <v>#N/A</v>
      </c>
      <c r="AN512" t="e">
        <f>VLOOKUP($AC512,'oddspedia-matches'!$A:$AD,AN$2,0)</f>
        <v>#N/A</v>
      </c>
      <c r="AO512" t="e">
        <f>VLOOKUP($AC512,'oddspedia-matches'!$A:$AD,AO$2,0)</f>
        <v>#N/A</v>
      </c>
      <c r="AP512" t="e">
        <f>VLOOKUP($AC512,'oddspedia-matches'!$A:$AD,AP$2,0)</f>
        <v>#N/A</v>
      </c>
      <c r="AQ512" t="e">
        <f>VLOOKUP($AC512,'oddspedia-matches'!$A:$AD,AQ$2,0)</f>
        <v>#N/A</v>
      </c>
      <c r="AR512" t="e">
        <f>VLOOKUP($AC512,'oddspedia-matches'!$A:$AD,AR$2,0)</f>
        <v>#N/A</v>
      </c>
      <c r="AS512" t="e">
        <f>VLOOKUP($AC512,'oddspedia-matches'!$A:$AD,AS$2,0)</f>
        <v>#N/A</v>
      </c>
      <c r="AT512" t="e">
        <f>VLOOKUP($AC512,'oddspedia-matches'!$A:$AD,AT$2,0)</f>
        <v>#N/A</v>
      </c>
    </row>
    <row r="513" spans="2:46" x14ac:dyDescent="0.25">
      <c r="B513" t="s">
        <v>1000</v>
      </c>
      <c r="C513" t="s">
        <v>1249</v>
      </c>
      <c r="D513" s="25">
        <v>0.58333333333333337</v>
      </c>
      <c r="E513" t="s">
        <v>1264</v>
      </c>
      <c r="F513" t="s">
        <v>1265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">
        <v>22</v>
      </c>
      <c r="Y513" t="s">
        <v>22</v>
      </c>
      <c r="AA513" t="str">
        <f>VLOOKUP(E513,'Transform table'!A:B,2,0)</f>
        <v>Rangers</v>
      </c>
      <c r="AB513" t="e">
        <f>VLOOKUP(F513,'Transform table'!A:B,2,0)</f>
        <v>#N/A</v>
      </c>
      <c r="AC513" t="e">
        <f t="shared" si="7"/>
        <v>#N/A</v>
      </c>
      <c r="AD513" t="e">
        <f>VLOOKUP($AC513,'oddspedia-matches'!$A:$AD,AD$2,0)</f>
        <v>#N/A</v>
      </c>
      <c r="AE513" t="e">
        <f>VLOOKUP($AC513,'oddspedia-matches'!$A:$AD,AE$2,0)</f>
        <v>#N/A</v>
      </c>
      <c r="AF513" t="e">
        <f>VLOOKUP($AC513,'oddspedia-matches'!$A:$AD,AF$2,0)</f>
        <v>#N/A</v>
      </c>
      <c r="AG513" t="e">
        <f>VLOOKUP($AC513,'oddspedia-matches'!$A:$AD,AG$2,0)</f>
        <v>#N/A</v>
      </c>
      <c r="AH513" t="e">
        <f>VLOOKUP($AC513,'oddspedia-matches'!$A:$AD,AH$2,0)</f>
        <v>#N/A</v>
      </c>
      <c r="AI513" t="e">
        <f>VLOOKUP($AC513,'oddspedia-matches'!$A:$AD,AI$2,0)</f>
        <v>#N/A</v>
      </c>
      <c r="AJ513" t="e">
        <f>VLOOKUP($AC513,'oddspedia-matches'!$A:$AD,AJ$2,0)</f>
        <v>#N/A</v>
      </c>
      <c r="AK513" t="e">
        <f>VLOOKUP($AC513,'oddspedia-matches'!$A:$AD,AK$2,0)</f>
        <v>#N/A</v>
      </c>
      <c r="AL513" t="e">
        <f>VLOOKUP($AC513,'oddspedia-matches'!$A:$AD,AL$2,0)</f>
        <v>#N/A</v>
      </c>
      <c r="AM513" t="e">
        <f>VLOOKUP($AC513,'oddspedia-matches'!$A:$AD,AM$2,0)</f>
        <v>#N/A</v>
      </c>
      <c r="AN513" t="e">
        <f>VLOOKUP($AC513,'oddspedia-matches'!$A:$AD,AN$2,0)</f>
        <v>#N/A</v>
      </c>
      <c r="AO513" t="e">
        <f>VLOOKUP($AC513,'oddspedia-matches'!$A:$AD,AO$2,0)</f>
        <v>#N/A</v>
      </c>
      <c r="AP513" t="e">
        <f>VLOOKUP($AC513,'oddspedia-matches'!$A:$AD,AP$2,0)</f>
        <v>#N/A</v>
      </c>
      <c r="AQ513" t="e">
        <f>VLOOKUP($AC513,'oddspedia-matches'!$A:$AD,AQ$2,0)</f>
        <v>#N/A</v>
      </c>
      <c r="AR513" t="e">
        <f>VLOOKUP($AC513,'oddspedia-matches'!$A:$AD,AR$2,0)</f>
        <v>#N/A</v>
      </c>
      <c r="AS513" t="e">
        <f>VLOOKUP($AC513,'oddspedia-matches'!$A:$AD,AS$2,0)</f>
        <v>#N/A</v>
      </c>
      <c r="AT513" t="e">
        <f>VLOOKUP($AC513,'oddspedia-matches'!$A:$AD,AT$2,0)</f>
        <v>#N/A</v>
      </c>
    </row>
    <row r="514" spans="2:46" x14ac:dyDescent="0.25">
      <c r="B514" t="s">
        <v>483</v>
      </c>
      <c r="C514" t="s">
        <v>1249</v>
      </c>
      <c r="D514" s="25">
        <v>0.58333333333333337</v>
      </c>
      <c r="E514" t="s">
        <v>1266</v>
      </c>
      <c r="F514" t="s">
        <v>1267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>
        <v>42.9</v>
      </c>
      <c r="Y514">
        <v>28.6</v>
      </c>
      <c r="AA514" t="str">
        <f>VLOOKUP(E514,'Transform table'!A:B,2,0)</f>
        <v>Rotherham United</v>
      </c>
      <c r="AB514" t="e">
        <f>VLOOKUP(F514,'Transform table'!A:B,2,0)</f>
        <v>#N/A</v>
      </c>
      <c r="AC514" t="e">
        <f t="shared" si="7"/>
        <v>#N/A</v>
      </c>
      <c r="AD514" t="e">
        <f>VLOOKUP($AC514,'oddspedia-matches'!$A:$AD,AD$2,0)</f>
        <v>#N/A</v>
      </c>
      <c r="AE514" t="e">
        <f>VLOOKUP($AC514,'oddspedia-matches'!$A:$AD,AE$2,0)</f>
        <v>#N/A</v>
      </c>
      <c r="AF514" t="e">
        <f>VLOOKUP($AC514,'oddspedia-matches'!$A:$AD,AF$2,0)</f>
        <v>#N/A</v>
      </c>
      <c r="AG514" t="e">
        <f>VLOOKUP($AC514,'oddspedia-matches'!$A:$AD,AG$2,0)</f>
        <v>#N/A</v>
      </c>
      <c r="AH514" t="e">
        <f>VLOOKUP($AC514,'oddspedia-matches'!$A:$AD,AH$2,0)</f>
        <v>#N/A</v>
      </c>
      <c r="AI514" t="e">
        <f>VLOOKUP($AC514,'oddspedia-matches'!$A:$AD,AI$2,0)</f>
        <v>#N/A</v>
      </c>
      <c r="AJ514" t="e">
        <f>VLOOKUP($AC514,'oddspedia-matches'!$A:$AD,AJ$2,0)</f>
        <v>#N/A</v>
      </c>
      <c r="AK514" t="e">
        <f>VLOOKUP($AC514,'oddspedia-matches'!$A:$AD,AK$2,0)</f>
        <v>#N/A</v>
      </c>
      <c r="AL514" t="e">
        <f>VLOOKUP($AC514,'oddspedia-matches'!$A:$AD,AL$2,0)</f>
        <v>#N/A</v>
      </c>
      <c r="AM514" t="e">
        <f>VLOOKUP($AC514,'oddspedia-matches'!$A:$AD,AM$2,0)</f>
        <v>#N/A</v>
      </c>
      <c r="AN514" t="e">
        <f>VLOOKUP($AC514,'oddspedia-matches'!$A:$AD,AN$2,0)</f>
        <v>#N/A</v>
      </c>
      <c r="AO514" t="e">
        <f>VLOOKUP($AC514,'oddspedia-matches'!$A:$AD,AO$2,0)</f>
        <v>#N/A</v>
      </c>
      <c r="AP514" t="e">
        <f>VLOOKUP($AC514,'oddspedia-matches'!$A:$AD,AP$2,0)</f>
        <v>#N/A</v>
      </c>
      <c r="AQ514" t="e">
        <f>VLOOKUP($AC514,'oddspedia-matches'!$A:$AD,AQ$2,0)</f>
        <v>#N/A</v>
      </c>
      <c r="AR514" t="e">
        <f>VLOOKUP($AC514,'oddspedia-matches'!$A:$AD,AR$2,0)</f>
        <v>#N/A</v>
      </c>
      <c r="AS514" t="e">
        <f>VLOOKUP($AC514,'oddspedia-matches'!$A:$AD,AS$2,0)</f>
        <v>#N/A</v>
      </c>
      <c r="AT514" t="e">
        <f>VLOOKUP($AC514,'oddspedia-matches'!$A:$AD,AT$2,0)</f>
        <v>#N/A</v>
      </c>
    </row>
    <row r="515" spans="2:46" x14ac:dyDescent="0.25">
      <c r="B515" t="s">
        <v>656</v>
      </c>
      <c r="C515" t="s">
        <v>1249</v>
      </c>
      <c r="D515" s="25">
        <v>0.58333333333333337</v>
      </c>
      <c r="E515" t="s">
        <v>1268</v>
      </c>
      <c r="F515" t="s">
        <v>1269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>
        <v>16.7</v>
      </c>
      <c r="Y515">
        <v>0</v>
      </c>
      <c r="AA515" t="str">
        <f>VLOOKUP(E515,'Transform table'!A:B,2,0)</f>
        <v>Stamford</v>
      </c>
      <c r="AB515" t="e">
        <f>VLOOKUP(F515,'Transform table'!A:B,2,0)</f>
        <v>#N/A</v>
      </c>
      <c r="AC515" t="e">
        <f t="shared" si="7"/>
        <v>#N/A</v>
      </c>
      <c r="AD515" t="e">
        <f>VLOOKUP($AC515,'oddspedia-matches'!$A:$AD,AD$2,0)</f>
        <v>#N/A</v>
      </c>
      <c r="AE515" t="e">
        <f>VLOOKUP($AC515,'oddspedia-matches'!$A:$AD,AE$2,0)</f>
        <v>#N/A</v>
      </c>
      <c r="AF515" t="e">
        <f>VLOOKUP($AC515,'oddspedia-matches'!$A:$AD,AF$2,0)</f>
        <v>#N/A</v>
      </c>
      <c r="AG515" t="e">
        <f>VLOOKUP($AC515,'oddspedia-matches'!$A:$AD,AG$2,0)</f>
        <v>#N/A</v>
      </c>
      <c r="AH515" t="e">
        <f>VLOOKUP($AC515,'oddspedia-matches'!$A:$AD,AH$2,0)</f>
        <v>#N/A</v>
      </c>
      <c r="AI515" t="e">
        <f>VLOOKUP($AC515,'oddspedia-matches'!$A:$AD,AI$2,0)</f>
        <v>#N/A</v>
      </c>
      <c r="AJ515" t="e">
        <f>VLOOKUP($AC515,'oddspedia-matches'!$A:$AD,AJ$2,0)</f>
        <v>#N/A</v>
      </c>
      <c r="AK515" t="e">
        <f>VLOOKUP($AC515,'oddspedia-matches'!$A:$AD,AK$2,0)</f>
        <v>#N/A</v>
      </c>
      <c r="AL515" t="e">
        <f>VLOOKUP($AC515,'oddspedia-matches'!$A:$AD,AL$2,0)</f>
        <v>#N/A</v>
      </c>
      <c r="AM515" t="e">
        <f>VLOOKUP($AC515,'oddspedia-matches'!$A:$AD,AM$2,0)</f>
        <v>#N/A</v>
      </c>
      <c r="AN515" t="e">
        <f>VLOOKUP($AC515,'oddspedia-matches'!$A:$AD,AN$2,0)</f>
        <v>#N/A</v>
      </c>
      <c r="AO515" t="e">
        <f>VLOOKUP($AC515,'oddspedia-matches'!$A:$AD,AO$2,0)</f>
        <v>#N/A</v>
      </c>
      <c r="AP515" t="e">
        <f>VLOOKUP($AC515,'oddspedia-matches'!$A:$AD,AP$2,0)</f>
        <v>#N/A</v>
      </c>
      <c r="AQ515" t="e">
        <f>VLOOKUP($AC515,'oddspedia-matches'!$A:$AD,AQ$2,0)</f>
        <v>#N/A</v>
      </c>
      <c r="AR515" t="e">
        <f>VLOOKUP($AC515,'oddspedia-matches'!$A:$AD,AR$2,0)</f>
        <v>#N/A</v>
      </c>
      <c r="AS515" t="e">
        <f>VLOOKUP($AC515,'oddspedia-matches'!$A:$AD,AS$2,0)</f>
        <v>#N/A</v>
      </c>
      <c r="AT515" t="e">
        <f>VLOOKUP($AC515,'oddspedia-matches'!$A:$AD,AT$2,0)</f>
        <v>#N/A</v>
      </c>
    </row>
    <row r="516" spans="2:46" x14ac:dyDescent="0.25">
      <c r="B516" t="s">
        <v>1033</v>
      </c>
      <c r="C516" t="s">
        <v>1249</v>
      </c>
      <c r="D516" s="25">
        <v>0.58333333333333337</v>
      </c>
      <c r="E516" t="s">
        <v>1270</v>
      </c>
      <c r="F516" t="s">
        <v>1271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">
        <v>22</v>
      </c>
      <c r="Y516" t="s">
        <v>22</v>
      </c>
      <c r="AA516" t="str">
        <f>VLOOKUP(E516,'Transform table'!A:B,2,0)</f>
        <v>Zlatibor Cajetina</v>
      </c>
      <c r="AB516" t="e">
        <f>VLOOKUP(F516,'Transform table'!A:B,2,0)</f>
        <v>#N/A</v>
      </c>
      <c r="AC516" t="e">
        <f t="shared" si="7"/>
        <v>#N/A</v>
      </c>
      <c r="AD516" t="e">
        <f>VLOOKUP($AC516,'oddspedia-matches'!$A:$AD,AD$2,0)</f>
        <v>#N/A</v>
      </c>
      <c r="AE516" t="e">
        <f>VLOOKUP($AC516,'oddspedia-matches'!$A:$AD,AE$2,0)</f>
        <v>#N/A</v>
      </c>
      <c r="AF516" t="e">
        <f>VLOOKUP($AC516,'oddspedia-matches'!$A:$AD,AF$2,0)</f>
        <v>#N/A</v>
      </c>
      <c r="AG516" t="e">
        <f>VLOOKUP($AC516,'oddspedia-matches'!$A:$AD,AG$2,0)</f>
        <v>#N/A</v>
      </c>
      <c r="AH516" t="e">
        <f>VLOOKUP($AC516,'oddspedia-matches'!$A:$AD,AH$2,0)</f>
        <v>#N/A</v>
      </c>
      <c r="AI516" t="e">
        <f>VLOOKUP($AC516,'oddspedia-matches'!$A:$AD,AI$2,0)</f>
        <v>#N/A</v>
      </c>
      <c r="AJ516" t="e">
        <f>VLOOKUP($AC516,'oddspedia-matches'!$A:$AD,AJ$2,0)</f>
        <v>#N/A</v>
      </c>
      <c r="AK516" t="e">
        <f>VLOOKUP($AC516,'oddspedia-matches'!$A:$AD,AK$2,0)</f>
        <v>#N/A</v>
      </c>
      <c r="AL516" t="e">
        <f>VLOOKUP($AC516,'oddspedia-matches'!$A:$AD,AL$2,0)</f>
        <v>#N/A</v>
      </c>
      <c r="AM516" t="e">
        <f>VLOOKUP($AC516,'oddspedia-matches'!$A:$AD,AM$2,0)</f>
        <v>#N/A</v>
      </c>
      <c r="AN516" t="e">
        <f>VLOOKUP($AC516,'oddspedia-matches'!$A:$AD,AN$2,0)</f>
        <v>#N/A</v>
      </c>
      <c r="AO516" t="e">
        <f>VLOOKUP($AC516,'oddspedia-matches'!$A:$AD,AO$2,0)</f>
        <v>#N/A</v>
      </c>
      <c r="AP516" t="e">
        <f>VLOOKUP($AC516,'oddspedia-matches'!$A:$AD,AP$2,0)</f>
        <v>#N/A</v>
      </c>
      <c r="AQ516" t="e">
        <f>VLOOKUP($AC516,'oddspedia-matches'!$A:$AD,AQ$2,0)</f>
        <v>#N/A</v>
      </c>
      <c r="AR516" t="e">
        <f>VLOOKUP($AC516,'oddspedia-matches'!$A:$AD,AR$2,0)</f>
        <v>#N/A</v>
      </c>
      <c r="AS516" t="e">
        <f>VLOOKUP($AC516,'oddspedia-matches'!$A:$AD,AS$2,0)</f>
        <v>#N/A</v>
      </c>
      <c r="AT516" t="e">
        <f>VLOOKUP($AC516,'oddspedia-matches'!$A:$AD,AT$2,0)</f>
        <v>#N/A</v>
      </c>
    </row>
    <row r="517" spans="2:46" x14ac:dyDescent="0.25">
      <c r="B517" t="s">
        <v>1030</v>
      </c>
      <c r="C517" t="s">
        <v>1249</v>
      </c>
      <c r="D517" s="25">
        <v>0.58333333333333337</v>
      </c>
      <c r="E517" t="s">
        <v>1272</v>
      </c>
      <c r="F517" t="s">
        <v>1273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t="s">
        <v>22</v>
      </c>
      <c r="Y517" t="s">
        <v>22</v>
      </c>
      <c r="AA517">
        <f>VLOOKUP(E517,'Transform table'!A:B,2,0)</f>
        <v>0</v>
      </c>
      <c r="AB517" t="e">
        <f>VLOOKUP(F517,'Transform table'!A:B,2,0)</f>
        <v>#N/A</v>
      </c>
      <c r="AC517" t="e">
        <f t="shared" ref="AC517:AC545" si="8">C517&amp;AA517&amp;AB517</f>
        <v>#N/A</v>
      </c>
      <c r="AD517" t="e">
        <f>VLOOKUP($AC517,'oddspedia-matches'!$A:$AD,AD$2,0)</f>
        <v>#N/A</v>
      </c>
      <c r="AE517" t="e">
        <f>VLOOKUP($AC517,'oddspedia-matches'!$A:$AD,AE$2,0)</f>
        <v>#N/A</v>
      </c>
      <c r="AF517" t="e">
        <f>VLOOKUP($AC517,'oddspedia-matches'!$A:$AD,AF$2,0)</f>
        <v>#N/A</v>
      </c>
      <c r="AG517" t="e">
        <f>VLOOKUP($AC517,'oddspedia-matches'!$A:$AD,AG$2,0)</f>
        <v>#N/A</v>
      </c>
      <c r="AH517" t="e">
        <f>VLOOKUP($AC517,'oddspedia-matches'!$A:$AD,AH$2,0)</f>
        <v>#N/A</v>
      </c>
      <c r="AI517" t="e">
        <f>VLOOKUP($AC517,'oddspedia-matches'!$A:$AD,AI$2,0)</f>
        <v>#N/A</v>
      </c>
      <c r="AJ517" t="e">
        <f>VLOOKUP($AC517,'oddspedia-matches'!$A:$AD,AJ$2,0)</f>
        <v>#N/A</v>
      </c>
      <c r="AK517" t="e">
        <f>VLOOKUP($AC517,'oddspedia-matches'!$A:$AD,AK$2,0)</f>
        <v>#N/A</v>
      </c>
      <c r="AL517" t="e">
        <f>VLOOKUP($AC517,'oddspedia-matches'!$A:$AD,AL$2,0)</f>
        <v>#N/A</v>
      </c>
      <c r="AM517" t="e">
        <f>VLOOKUP($AC517,'oddspedia-matches'!$A:$AD,AM$2,0)</f>
        <v>#N/A</v>
      </c>
      <c r="AN517" t="e">
        <f>VLOOKUP($AC517,'oddspedia-matches'!$A:$AD,AN$2,0)</f>
        <v>#N/A</v>
      </c>
      <c r="AO517" t="e">
        <f>VLOOKUP($AC517,'oddspedia-matches'!$A:$AD,AO$2,0)</f>
        <v>#N/A</v>
      </c>
      <c r="AP517" t="e">
        <f>VLOOKUP($AC517,'oddspedia-matches'!$A:$AD,AP$2,0)</f>
        <v>#N/A</v>
      </c>
      <c r="AQ517" t="e">
        <f>VLOOKUP($AC517,'oddspedia-matches'!$A:$AD,AQ$2,0)</f>
        <v>#N/A</v>
      </c>
      <c r="AR517" t="e">
        <f>VLOOKUP($AC517,'oddspedia-matches'!$A:$AD,AR$2,0)</f>
        <v>#N/A</v>
      </c>
      <c r="AS517" t="e">
        <f>VLOOKUP($AC517,'oddspedia-matches'!$A:$AD,AS$2,0)</f>
        <v>#N/A</v>
      </c>
      <c r="AT517" t="e">
        <f>VLOOKUP($AC517,'oddspedia-matches'!$A:$AD,AT$2,0)</f>
        <v>#N/A</v>
      </c>
    </row>
    <row r="518" spans="2:46" x14ac:dyDescent="0.25">
      <c r="B518" t="s">
        <v>965</v>
      </c>
      <c r="C518" t="s">
        <v>1249</v>
      </c>
      <c r="D518" s="25">
        <v>0.58333333333333337</v>
      </c>
      <c r="E518" t="s">
        <v>1274</v>
      </c>
      <c r="F518" t="s">
        <v>273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">
        <v>22</v>
      </c>
      <c r="Y518" t="s">
        <v>22</v>
      </c>
      <c r="AA518" t="str">
        <f>VLOOKUP(E518,'Transform table'!A:B,2,0)</f>
        <v>KAPYLAN PALLO</v>
      </c>
      <c r="AB518" t="e">
        <f>VLOOKUP(F518,'Transform table'!A:B,2,0)</f>
        <v>#N/A</v>
      </c>
      <c r="AC518" t="e">
        <f t="shared" si="8"/>
        <v>#N/A</v>
      </c>
      <c r="AD518" t="e">
        <f>VLOOKUP($AC518,'oddspedia-matches'!$A:$AD,AD$2,0)</f>
        <v>#N/A</v>
      </c>
      <c r="AE518" t="e">
        <f>VLOOKUP($AC518,'oddspedia-matches'!$A:$AD,AE$2,0)</f>
        <v>#N/A</v>
      </c>
      <c r="AF518" t="e">
        <f>VLOOKUP($AC518,'oddspedia-matches'!$A:$AD,AF$2,0)</f>
        <v>#N/A</v>
      </c>
      <c r="AG518" t="e">
        <f>VLOOKUP($AC518,'oddspedia-matches'!$A:$AD,AG$2,0)</f>
        <v>#N/A</v>
      </c>
      <c r="AH518" t="e">
        <f>VLOOKUP($AC518,'oddspedia-matches'!$A:$AD,AH$2,0)</f>
        <v>#N/A</v>
      </c>
      <c r="AI518" t="e">
        <f>VLOOKUP($AC518,'oddspedia-matches'!$A:$AD,AI$2,0)</f>
        <v>#N/A</v>
      </c>
      <c r="AJ518" t="e">
        <f>VLOOKUP($AC518,'oddspedia-matches'!$A:$AD,AJ$2,0)</f>
        <v>#N/A</v>
      </c>
      <c r="AK518" t="e">
        <f>VLOOKUP($AC518,'oddspedia-matches'!$A:$AD,AK$2,0)</f>
        <v>#N/A</v>
      </c>
      <c r="AL518" t="e">
        <f>VLOOKUP($AC518,'oddspedia-matches'!$A:$AD,AL$2,0)</f>
        <v>#N/A</v>
      </c>
      <c r="AM518" t="e">
        <f>VLOOKUP($AC518,'oddspedia-matches'!$A:$AD,AM$2,0)</f>
        <v>#N/A</v>
      </c>
      <c r="AN518" t="e">
        <f>VLOOKUP($AC518,'oddspedia-matches'!$A:$AD,AN$2,0)</f>
        <v>#N/A</v>
      </c>
      <c r="AO518" t="e">
        <f>VLOOKUP($AC518,'oddspedia-matches'!$A:$AD,AO$2,0)</f>
        <v>#N/A</v>
      </c>
      <c r="AP518" t="e">
        <f>VLOOKUP($AC518,'oddspedia-matches'!$A:$AD,AP$2,0)</f>
        <v>#N/A</v>
      </c>
      <c r="AQ518" t="e">
        <f>VLOOKUP($AC518,'oddspedia-matches'!$A:$AD,AQ$2,0)</f>
        <v>#N/A</v>
      </c>
      <c r="AR518" t="e">
        <f>VLOOKUP($AC518,'oddspedia-matches'!$A:$AD,AR$2,0)</f>
        <v>#N/A</v>
      </c>
      <c r="AS518" t="e">
        <f>VLOOKUP($AC518,'oddspedia-matches'!$A:$AD,AS$2,0)</f>
        <v>#N/A</v>
      </c>
      <c r="AT518" t="e">
        <f>VLOOKUP($AC518,'oddspedia-matches'!$A:$AD,AT$2,0)</f>
        <v>#N/A</v>
      </c>
    </row>
    <row r="519" spans="2:46" x14ac:dyDescent="0.25">
      <c r="B519" t="s">
        <v>494</v>
      </c>
      <c r="C519" t="s">
        <v>1249</v>
      </c>
      <c r="D519" s="25">
        <v>0.58333333333333337</v>
      </c>
      <c r="E519" t="s">
        <v>1275</v>
      </c>
      <c r="F519" t="s">
        <v>1276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>
        <v>66.7</v>
      </c>
      <c r="Y519">
        <v>14.3</v>
      </c>
      <c r="AA519" t="str">
        <f>VLOOKUP(E519,'Transform table'!A:B,2,0)</f>
        <v>BK Hacken</v>
      </c>
      <c r="AB519" t="e">
        <f>VLOOKUP(F519,'Transform table'!A:B,2,0)</f>
        <v>#N/A</v>
      </c>
      <c r="AC519" t="e">
        <f t="shared" si="8"/>
        <v>#N/A</v>
      </c>
      <c r="AD519" t="e">
        <f>VLOOKUP($AC519,'oddspedia-matches'!$A:$AD,AD$2,0)</f>
        <v>#N/A</v>
      </c>
      <c r="AE519" t="e">
        <f>VLOOKUP($AC519,'oddspedia-matches'!$A:$AD,AE$2,0)</f>
        <v>#N/A</v>
      </c>
      <c r="AF519" t="e">
        <f>VLOOKUP($AC519,'oddspedia-matches'!$A:$AD,AF$2,0)</f>
        <v>#N/A</v>
      </c>
      <c r="AG519" t="e">
        <f>VLOOKUP($AC519,'oddspedia-matches'!$A:$AD,AG$2,0)</f>
        <v>#N/A</v>
      </c>
      <c r="AH519" t="e">
        <f>VLOOKUP($AC519,'oddspedia-matches'!$A:$AD,AH$2,0)</f>
        <v>#N/A</v>
      </c>
      <c r="AI519" t="e">
        <f>VLOOKUP($AC519,'oddspedia-matches'!$A:$AD,AI$2,0)</f>
        <v>#N/A</v>
      </c>
      <c r="AJ519" t="e">
        <f>VLOOKUP($AC519,'oddspedia-matches'!$A:$AD,AJ$2,0)</f>
        <v>#N/A</v>
      </c>
      <c r="AK519" t="e">
        <f>VLOOKUP($AC519,'oddspedia-matches'!$A:$AD,AK$2,0)</f>
        <v>#N/A</v>
      </c>
      <c r="AL519" t="e">
        <f>VLOOKUP($AC519,'oddspedia-matches'!$A:$AD,AL$2,0)</f>
        <v>#N/A</v>
      </c>
      <c r="AM519" t="e">
        <f>VLOOKUP($AC519,'oddspedia-matches'!$A:$AD,AM$2,0)</f>
        <v>#N/A</v>
      </c>
      <c r="AN519" t="e">
        <f>VLOOKUP($AC519,'oddspedia-matches'!$A:$AD,AN$2,0)</f>
        <v>#N/A</v>
      </c>
      <c r="AO519" t="e">
        <f>VLOOKUP($AC519,'oddspedia-matches'!$A:$AD,AO$2,0)</f>
        <v>#N/A</v>
      </c>
      <c r="AP519" t="e">
        <f>VLOOKUP($AC519,'oddspedia-matches'!$A:$AD,AP$2,0)</f>
        <v>#N/A</v>
      </c>
      <c r="AQ519" t="e">
        <f>VLOOKUP($AC519,'oddspedia-matches'!$A:$AD,AQ$2,0)</f>
        <v>#N/A</v>
      </c>
      <c r="AR519" t="e">
        <f>VLOOKUP($AC519,'oddspedia-matches'!$A:$AD,AR$2,0)</f>
        <v>#N/A</v>
      </c>
      <c r="AS519" t="e">
        <f>VLOOKUP($AC519,'oddspedia-matches'!$A:$AD,AS$2,0)</f>
        <v>#N/A</v>
      </c>
      <c r="AT519" t="e">
        <f>VLOOKUP($AC519,'oddspedia-matches'!$A:$AD,AT$2,0)</f>
        <v>#N/A</v>
      </c>
    </row>
    <row r="520" spans="2:46" x14ac:dyDescent="0.25">
      <c r="B520" t="s">
        <v>469</v>
      </c>
      <c r="C520" t="s">
        <v>1249</v>
      </c>
      <c r="D520" s="25">
        <v>0.58333333333333337</v>
      </c>
      <c r="E520" t="s">
        <v>1277</v>
      </c>
      <c r="F520" t="s">
        <v>1278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>
        <v>14.3</v>
      </c>
      <c r="Y520">
        <v>28.6</v>
      </c>
      <c r="AA520" t="str">
        <f>VLOOKUP(E520,'Transform table'!A:B,2,0)</f>
        <v>Oldham</v>
      </c>
      <c r="AB520" t="e">
        <f>VLOOKUP(F520,'Transform table'!A:B,2,0)</f>
        <v>#N/A</v>
      </c>
      <c r="AC520" t="e">
        <f t="shared" si="8"/>
        <v>#N/A</v>
      </c>
      <c r="AD520" t="e">
        <f>VLOOKUP($AC520,'oddspedia-matches'!$A:$AD,AD$2,0)</f>
        <v>#N/A</v>
      </c>
      <c r="AE520" t="e">
        <f>VLOOKUP($AC520,'oddspedia-matches'!$A:$AD,AE$2,0)</f>
        <v>#N/A</v>
      </c>
      <c r="AF520" t="e">
        <f>VLOOKUP($AC520,'oddspedia-matches'!$A:$AD,AF$2,0)</f>
        <v>#N/A</v>
      </c>
      <c r="AG520" t="e">
        <f>VLOOKUP($AC520,'oddspedia-matches'!$A:$AD,AG$2,0)</f>
        <v>#N/A</v>
      </c>
      <c r="AH520" t="e">
        <f>VLOOKUP($AC520,'oddspedia-matches'!$A:$AD,AH$2,0)</f>
        <v>#N/A</v>
      </c>
      <c r="AI520" t="e">
        <f>VLOOKUP($AC520,'oddspedia-matches'!$A:$AD,AI$2,0)</f>
        <v>#N/A</v>
      </c>
      <c r="AJ520" t="e">
        <f>VLOOKUP($AC520,'oddspedia-matches'!$A:$AD,AJ$2,0)</f>
        <v>#N/A</v>
      </c>
      <c r="AK520" t="e">
        <f>VLOOKUP($AC520,'oddspedia-matches'!$A:$AD,AK$2,0)</f>
        <v>#N/A</v>
      </c>
      <c r="AL520" t="e">
        <f>VLOOKUP($AC520,'oddspedia-matches'!$A:$AD,AL$2,0)</f>
        <v>#N/A</v>
      </c>
      <c r="AM520" t="e">
        <f>VLOOKUP($AC520,'oddspedia-matches'!$A:$AD,AM$2,0)</f>
        <v>#N/A</v>
      </c>
      <c r="AN520" t="e">
        <f>VLOOKUP($AC520,'oddspedia-matches'!$A:$AD,AN$2,0)</f>
        <v>#N/A</v>
      </c>
      <c r="AO520" t="e">
        <f>VLOOKUP($AC520,'oddspedia-matches'!$A:$AD,AO$2,0)</f>
        <v>#N/A</v>
      </c>
      <c r="AP520" t="e">
        <f>VLOOKUP($AC520,'oddspedia-matches'!$A:$AD,AP$2,0)</f>
        <v>#N/A</v>
      </c>
      <c r="AQ520" t="e">
        <f>VLOOKUP($AC520,'oddspedia-matches'!$A:$AD,AQ$2,0)</f>
        <v>#N/A</v>
      </c>
      <c r="AR520" t="e">
        <f>VLOOKUP($AC520,'oddspedia-matches'!$A:$AD,AR$2,0)</f>
        <v>#N/A</v>
      </c>
      <c r="AS520" t="e">
        <f>VLOOKUP($AC520,'oddspedia-matches'!$A:$AD,AS$2,0)</f>
        <v>#N/A</v>
      </c>
      <c r="AT520" t="e">
        <f>VLOOKUP($AC520,'oddspedia-matches'!$A:$AD,AT$2,0)</f>
        <v>#N/A</v>
      </c>
    </row>
    <row r="521" spans="2:46" x14ac:dyDescent="0.25">
      <c r="B521" t="s">
        <v>469</v>
      </c>
      <c r="C521" t="s">
        <v>1249</v>
      </c>
      <c r="D521" s="25">
        <v>0.58680555555555558</v>
      </c>
      <c r="E521" t="s">
        <v>1279</v>
      </c>
      <c r="F521" t="s">
        <v>1280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>
        <v>12.5</v>
      </c>
      <c r="Y521">
        <v>57.1</v>
      </c>
      <c r="AA521" t="str">
        <f>VLOOKUP(E521,'Transform table'!A:B,2,0)</f>
        <v>Oxford United</v>
      </c>
      <c r="AB521" t="e">
        <f>VLOOKUP(F521,'Transform table'!A:B,2,0)</f>
        <v>#N/A</v>
      </c>
      <c r="AC521" t="e">
        <f t="shared" si="8"/>
        <v>#N/A</v>
      </c>
      <c r="AD521" t="e">
        <f>VLOOKUP($AC521,'oddspedia-matches'!$A:$AD,AD$2,0)</f>
        <v>#N/A</v>
      </c>
      <c r="AE521" t="e">
        <f>VLOOKUP($AC521,'oddspedia-matches'!$A:$AD,AE$2,0)</f>
        <v>#N/A</v>
      </c>
      <c r="AF521" t="e">
        <f>VLOOKUP($AC521,'oddspedia-matches'!$A:$AD,AF$2,0)</f>
        <v>#N/A</v>
      </c>
      <c r="AG521" t="e">
        <f>VLOOKUP($AC521,'oddspedia-matches'!$A:$AD,AG$2,0)</f>
        <v>#N/A</v>
      </c>
      <c r="AH521" t="e">
        <f>VLOOKUP($AC521,'oddspedia-matches'!$A:$AD,AH$2,0)</f>
        <v>#N/A</v>
      </c>
      <c r="AI521" t="e">
        <f>VLOOKUP($AC521,'oddspedia-matches'!$A:$AD,AI$2,0)</f>
        <v>#N/A</v>
      </c>
      <c r="AJ521" t="e">
        <f>VLOOKUP($AC521,'oddspedia-matches'!$A:$AD,AJ$2,0)</f>
        <v>#N/A</v>
      </c>
      <c r="AK521" t="e">
        <f>VLOOKUP($AC521,'oddspedia-matches'!$A:$AD,AK$2,0)</f>
        <v>#N/A</v>
      </c>
      <c r="AL521" t="e">
        <f>VLOOKUP($AC521,'oddspedia-matches'!$A:$AD,AL$2,0)</f>
        <v>#N/A</v>
      </c>
      <c r="AM521" t="e">
        <f>VLOOKUP($AC521,'oddspedia-matches'!$A:$AD,AM$2,0)</f>
        <v>#N/A</v>
      </c>
      <c r="AN521" t="e">
        <f>VLOOKUP($AC521,'oddspedia-matches'!$A:$AD,AN$2,0)</f>
        <v>#N/A</v>
      </c>
      <c r="AO521" t="e">
        <f>VLOOKUP($AC521,'oddspedia-matches'!$A:$AD,AO$2,0)</f>
        <v>#N/A</v>
      </c>
      <c r="AP521" t="e">
        <f>VLOOKUP($AC521,'oddspedia-matches'!$A:$AD,AP$2,0)</f>
        <v>#N/A</v>
      </c>
      <c r="AQ521" t="e">
        <f>VLOOKUP($AC521,'oddspedia-matches'!$A:$AD,AQ$2,0)</f>
        <v>#N/A</v>
      </c>
      <c r="AR521" t="e">
        <f>VLOOKUP($AC521,'oddspedia-matches'!$A:$AD,AR$2,0)</f>
        <v>#N/A</v>
      </c>
      <c r="AS521" t="e">
        <f>VLOOKUP($AC521,'oddspedia-matches'!$A:$AD,AS$2,0)</f>
        <v>#N/A</v>
      </c>
      <c r="AT521" t="e">
        <f>VLOOKUP($AC521,'oddspedia-matches'!$A:$AD,AT$2,0)</f>
        <v>#N/A</v>
      </c>
    </row>
    <row r="522" spans="2:46" x14ac:dyDescent="0.25">
      <c r="B522" t="s">
        <v>668</v>
      </c>
      <c r="C522" t="s">
        <v>1249</v>
      </c>
      <c r="D522" s="25">
        <v>0.625</v>
      </c>
      <c r="E522" t="s">
        <v>673</v>
      </c>
      <c r="F522" t="s">
        <v>674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>
        <v>27.3</v>
      </c>
      <c r="Y522">
        <v>10</v>
      </c>
      <c r="AA522">
        <f>VLOOKUP(E522,'Transform table'!A:B,2,0)</f>
        <v>0</v>
      </c>
      <c r="AB522" t="e">
        <f>VLOOKUP(F522,'Transform table'!A:B,2,0)</f>
        <v>#N/A</v>
      </c>
      <c r="AC522" t="e">
        <f t="shared" si="8"/>
        <v>#N/A</v>
      </c>
      <c r="AD522" t="e">
        <f>VLOOKUP($AC522,'oddspedia-matches'!$A:$AD,AD$2,0)</f>
        <v>#N/A</v>
      </c>
      <c r="AE522" t="e">
        <f>VLOOKUP($AC522,'oddspedia-matches'!$A:$AD,AE$2,0)</f>
        <v>#N/A</v>
      </c>
      <c r="AF522" t="e">
        <f>VLOOKUP($AC522,'oddspedia-matches'!$A:$AD,AF$2,0)</f>
        <v>#N/A</v>
      </c>
      <c r="AG522" t="e">
        <f>VLOOKUP($AC522,'oddspedia-matches'!$A:$AD,AG$2,0)</f>
        <v>#N/A</v>
      </c>
      <c r="AH522" t="e">
        <f>VLOOKUP($AC522,'oddspedia-matches'!$A:$AD,AH$2,0)</f>
        <v>#N/A</v>
      </c>
      <c r="AI522" t="e">
        <f>VLOOKUP($AC522,'oddspedia-matches'!$A:$AD,AI$2,0)</f>
        <v>#N/A</v>
      </c>
      <c r="AJ522" t="e">
        <f>VLOOKUP($AC522,'oddspedia-matches'!$A:$AD,AJ$2,0)</f>
        <v>#N/A</v>
      </c>
      <c r="AK522" t="e">
        <f>VLOOKUP($AC522,'oddspedia-matches'!$A:$AD,AK$2,0)</f>
        <v>#N/A</v>
      </c>
      <c r="AL522" t="e">
        <f>VLOOKUP($AC522,'oddspedia-matches'!$A:$AD,AL$2,0)</f>
        <v>#N/A</v>
      </c>
      <c r="AM522" t="e">
        <f>VLOOKUP($AC522,'oddspedia-matches'!$A:$AD,AM$2,0)</f>
        <v>#N/A</v>
      </c>
      <c r="AN522" t="e">
        <f>VLOOKUP($AC522,'oddspedia-matches'!$A:$AD,AN$2,0)</f>
        <v>#N/A</v>
      </c>
      <c r="AO522" t="e">
        <f>VLOOKUP($AC522,'oddspedia-matches'!$A:$AD,AO$2,0)</f>
        <v>#N/A</v>
      </c>
      <c r="AP522" t="e">
        <f>VLOOKUP($AC522,'oddspedia-matches'!$A:$AD,AP$2,0)</f>
        <v>#N/A</v>
      </c>
      <c r="AQ522" t="e">
        <f>VLOOKUP($AC522,'oddspedia-matches'!$A:$AD,AQ$2,0)</f>
        <v>#N/A</v>
      </c>
      <c r="AR522" t="e">
        <f>VLOOKUP($AC522,'oddspedia-matches'!$A:$AD,AR$2,0)</f>
        <v>#N/A</v>
      </c>
      <c r="AS522" t="e">
        <f>VLOOKUP($AC522,'oddspedia-matches'!$A:$AD,AS$2,0)</f>
        <v>#N/A</v>
      </c>
      <c r="AT522" t="e">
        <f>VLOOKUP($AC522,'oddspedia-matches'!$A:$AD,AT$2,0)</f>
        <v>#N/A</v>
      </c>
    </row>
    <row r="523" spans="2:46" x14ac:dyDescent="0.25">
      <c r="B523" t="s">
        <v>668</v>
      </c>
      <c r="C523" t="s">
        <v>1249</v>
      </c>
      <c r="D523" s="25">
        <v>0.625</v>
      </c>
      <c r="E523" t="s">
        <v>679</v>
      </c>
      <c r="F523" t="s">
        <v>680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>
        <v>20</v>
      </c>
      <c r="Y523">
        <v>11.1</v>
      </c>
      <c r="AA523" t="str">
        <f>VLOOKUP(E523,'Transform table'!A:B,2,0)</f>
        <v>Fenerbahce</v>
      </c>
      <c r="AB523" t="e">
        <f>VLOOKUP(F523,'Transform table'!A:B,2,0)</f>
        <v>#N/A</v>
      </c>
      <c r="AC523" t="e">
        <f t="shared" si="8"/>
        <v>#N/A</v>
      </c>
      <c r="AD523" t="e">
        <f>VLOOKUP($AC523,'oddspedia-matches'!$A:$AD,AD$2,0)</f>
        <v>#N/A</v>
      </c>
      <c r="AE523" t="e">
        <f>VLOOKUP($AC523,'oddspedia-matches'!$A:$AD,AE$2,0)</f>
        <v>#N/A</v>
      </c>
      <c r="AF523" t="e">
        <f>VLOOKUP($AC523,'oddspedia-matches'!$A:$AD,AF$2,0)</f>
        <v>#N/A</v>
      </c>
      <c r="AG523" t="e">
        <f>VLOOKUP($AC523,'oddspedia-matches'!$A:$AD,AG$2,0)</f>
        <v>#N/A</v>
      </c>
      <c r="AH523" t="e">
        <f>VLOOKUP($AC523,'oddspedia-matches'!$A:$AD,AH$2,0)</f>
        <v>#N/A</v>
      </c>
      <c r="AI523" t="e">
        <f>VLOOKUP($AC523,'oddspedia-matches'!$A:$AD,AI$2,0)</f>
        <v>#N/A</v>
      </c>
      <c r="AJ523" t="e">
        <f>VLOOKUP($AC523,'oddspedia-matches'!$A:$AD,AJ$2,0)</f>
        <v>#N/A</v>
      </c>
      <c r="AK523" t="e">
        <f>VLOOKUP($AC523,'oddspedia-matches'!$A:$AD,AK$2,0)</f>
        <v>#N/A</v>
      </c>
      <c r="AL523" t="e">
        <f>VLOOKUP($AC523,'oddspedia-matches'!$A:$AD,AL$2,0)</f>
        <v>#N/A</v>
      </c>
      <c r="AM523" t="e">
        <f>VLOOKUP($AC523,'oddspedia-matches'!$A:$AD,AM$2,0)</f>
        <v>#N/A</v>
      </c>
      <c r="AN523" t="e">
        <f>VLOOKUP($AC523,'oddspedia-matches'!$A:$AD,AN$2,0)</f>
        <v>#N/A</v>
      </c>
      <c r="AO523" t="e">
        <f>VLOOKUP($AC523,'oddspedia-matches'!$A:$AD,AO$2,0)</f>
        <v>#N/A</v>
      </c>
      <c r="AP523" t="e">
        <f>VLOOKUP($AC523,'oddspedia-matches'!$A:$AD,AP$2,0)</f>
        <v>#N/A</v>
      </c>
      <c r="AQ523" t="e">
        <f>VLOOKUP($AC523,'oddspedia-matches'!$A:$AD,AQ$2,0)</f>
        <v>#N/A</v>
      </c>
      <c r="AR523" t="e">
        <f>VLOOKUP($AC523,'oddspedia-matches'!$A:$AD,AR$2,0)</f>
        <v>#N/A</v>
      </c>
      <c r="AS523" t="e">
        <f>VLOOKUP($AC523,'oddspedia-matches'!$A:$AD,AS$2,0)</f>
        <v>#N/A</v>
      </c>
      <c r="AT523" t="e">
        <f>VLOOKUP($AC523,'oddspedia-matches'!$A:$AD,AT$2,0)</f>
        <v>#N/A</v>
      </c>
    </row>
    <row r="524" spans="2:46" x14ac:dyDescent="0.25">
      <c r="B524" t="s">
        <v>668</v>
      </c>
      <c r="C524" t="s">
        <v>1249</v>
      </c>
      <c r="D524" s="25">
        <v>0.625</v>
      </c>
      <c r="E524" t="s">
        <v>320</v>
      </c>
      <c r="F524" t="s">
        <v>687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s">
        <v>22</v>
      </c>
      <c r="Y524" t="s">
        <v>22</v>
      </c>
      <c r="AA524" t="str">
        <f>VLOOKUP(E524,'Transform table'!A:B,2,0)</f>
        <v>Sacachispas</v>
      </c>
      <c r="AB524" t="e">
        <f>VLOOKUP(F524,'Transform table'!A:B,2,0)</f>
        <v>#N/A</v>
      </c>
      <c r="AC524" t="e">
        <f t="shared" si="8"/>
        <v>#N/A</v>
      </c>
      <c r="AD524" t="e">
        <f>VLOOKUP($AC524,'oddspedia-matches'!$A:$AD,AD$2,0)</f>
        <v>#N/A</v>
      </c>
      <c r="AE524" t="e">
        <f>VLOOKUP($AC524,'oddspedia-matches'!$A:$AD,AE$2,0)</f>
        <v>#N/A</v>
      </c>
      <c r="AF524" t="e">
        <f>VLOOKUP($AC524,'oddspedia-matches'!$A:$AD,AF$2,0)</f>
        <v>#N/A</v>
      </c>
      <c r="AG524" t="e">
        <f>VLOOKUP($AC524,'oddspedia-matches'!$A:$AD,AG$2,0)</f>
        <v>#N/A</v>
      </c>
      <c r="AH524" t="e">
        <f>VLOOKUP($AC524,'oddspedia-matches'!$A:$AD,AH$2,0)</f>
        <v>#N/A</v>
      </c>
      <c r="AI524" t="e">
        <f>VLOOKUP($AC524,'oddspedia-matches'!$A:$AD,AI$2,0)</f>
        <v>#N/A</v>
      </c>
      <c r="AJ524" t="e">
        <f>VLOOKUP($AC524,'oddspedia-matches'!$A:$AD,AJ$2,0)</f>
        <v>#N/A</v>
      </c>
      <c r="AK524" t="e">
        <f>VLOOKUP($AC524,'oddspedia-matches'!$A:$AD,AK$2,0)</f>
        <v>#N/A</v>
      </c>
      <c r="AL524" t="e">
        <f>VLOOKUP($AC524,'oddspedia-matches'!$A:$AD,AL$2,0)</f>
        <v>#N/A</v>
      </c>
      <c r="AM524" t="e">
        <f>VLOOKUP($AC524,'oddspedia-matches'!$A:$AD,AM$2,0)</f>
        <v>#N/A</v>
      </c>
      <c r="AN524" t="e">
        <f>VLOOKUP($AC524,'oddspedia-matches'!$A:$AD,AN$2,0)</f>
        <v>#N/A</v>
      </c>
      <c r="AO524" t="e">
        <f>VLOOKUP($AC524,'oddspedia-matches'!$A:$AD,AO$2,0)</f>
        <v>#N/A</v>
      </c>
      <c r="AP524" t="e">
        <f>VLOOKUP($AC524,'oddspedia-matches'!$A:$AD,AP$2,0)</f>
        <v>#N/A</v>
      </c>
      <c r="AQ524" t="e">
        <f>VLOOKUP($AC524,'oddspedia-matches'!$A:$AD,AQ$2,0)</f>
        <v>#N/A</v>
      </c>
      <c r="AR524" t="e">
        <f>VLOOKUP($AC524,'oddspedia-matches'!$A:$AD,AR$2,0)</f>
        <v>#N/A</v>
      </c>
      <c r="AS524" t="e">
        <f>VLOOKUP($AC524,'oddspedia-matches'!$A:$AD,AS$2,0)</f>
        <v>#N/A</v>
      </c>
      <c r="AT524" t="e">
        <f>VLOOKUP($AC524,'oddspedia-matches'!$A:$AD,AT$2,0)</f>
        <v>#N/A</v>
      </c>
    </row>
    <row r="525" spans="2:46" x14ac:dyDescent="0.25">
      <c r="B525" t="s">
        <v>499</v>
      </c>
      <c r="C525" t="s">
        <v>1249</v>
      </c>
      <c r="D525" s="25">
        <v>0.625</v>
      </c>
      <c r="E525" t="s">
        <v>265</v>
      </c>
      <c r="F525" t="s">
        <v>1281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>
        <v>28.6</v>
      </c>
      <c r="Y525">
        <v>14.3</v>
      </c>
      <c r="AA525" t="str">
        <f>VLOOKUP(E525,'Transform table'!A:B,2,0)</f>
        <v>Breidablik</v>
      </c>
      <c r="AB525" t="e">
        <f>VLOOKUP(F525,'Transform table'!A:B,2,0)</f>
        <v>#N/A</v>
      </c>
      <c r="AC525" t="e">
        <f t="shared" si="8"/>
        <v>#N/A</v>
      </c>
      <c r="AD525" t="e">
        <f>VLOOKUP($AC525,'oddspedia-matches'!$A:$AD,AD$2,0)</f>
        <v>#N/A</v>
      </c>
      <c r="AE525" t="e">
        <f>VLOOKUP($AC525,'oddspedia-matches'!$A:$AD,AE$2,0)</f>
        <v>#N/A</v>
      </c>
      <c r="AF525" t="e">
        <f>VLOOKUP($AC525,'oddspedia-matches'!$A:$AD,AF$2,0)</f>
        <v>#N/A</v>
      </c>
      <c r="AG525" t="e">
        <f>VLOOKUP($AC525,'oddspedia-matches'!$A:$AD,AG$2,0)</f>
        <v>#N/A</v>
      </c>
      <c r="AH525" t="e">
        <f>VLOOKUP($AC525,'oddspedia-matches'!$A:$AD,AH$2,0)</f>
        <v>#N/A</v>
      </c>
      <c r="AI525" t="e">
        <f>VLOOKUP($AC525,'oddspedia-matches'!$A:$AD,AI$2,0)</f>
        <v>#N/A</v>
      </c>
      <c r="AJ525" t="e">
        <f>VLOOKUP($AC525,'oddspedia-matches'!$A:$AD,AJ$2,0)</f>
        <v>#N/A</v>
      </c>
      <c r="AK525" t="e">
        <f>VLOOKUP($AC525,'oddspedia-matches'!$A:$AD,AK$2,0)</f>
        <v>#N/A</v>
      </c>
      <c r="AL525" t="e">
        <f>VLOOKUP($AC525,'oddspedia-matches'!$A:$AD,AL$2,0)</f>
        <v>#N/A</v>
      </c>
      <c r="AM525" t="e">
        <f>VLOOKUP($AC525,'oddspedia-matches'!$A:$AD,AM$2,0)</f>
        <v>#N/A</v>
      </c>
      <c r="AN525" t="e">
        <f>VLOOKUP($AC525,'oddspedia-matches'!$A:$AD,AN$2,0)</f>
        <v>#N/A</v>
      </c>
      <c r="AO525" t="e">
        <f>VLOOKUP($AC525,'oddspedia-matches'!$A:$AD,AO$2,0)</f>
        <v>#N/A</v>
      </c>
      <c r="AP525" t="e">
        <f>VLOOKUP($AC525,'oddspedia-matches'!$A:$AD,AP$2,0)</f>
        <v>#N/A</v>
      </c>
      <c r="AQ525" t="e">
        <f>VLOOKUP($AC525,'oddspedia-matches'!$A:$AD,AQ$2,0)</f>
        <v>#N/A</v>
      </c>
      <c r="AR525" t="e">
        <f>VLOOKUP($AC525,'oddspedia-matches'!$A:$AD,AR$2,0)</f>
        <v>#N/A</v>
      </c>
      <c r="AS525" t="e">
        <f>VLOOKUP($AC525,'oddspedia-matches'!$A:$AD,AS$2,0)</f>
        <v>#N/A</v>
      </c>
      <c r="AT525" t="e">
        <f>VLOOKUP($AC525,'oddspedia-matches'!$A:$AD,AT$2,0)</f>
        <v>#N/A</v>
      </c>
    </row>
    <row r="526" spans="2:46" x14ac:dyDescent="0.25">
      <c r="B526" t="s">
        <v>1099</v>
      </c>
      <c r="C526" t="s">
        <v>1249</v>
      </c>
      <c r="D526" s="25">
        <v>0.63541666666666663</v>
      </c>
      <c r="E526" t="s">
        <v>1282</v>
      </c>
      <c r="F526" t="s">
        <v>304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">
        <v>22</v>
      </c>
      <c r="Y526" t="s">
        <v>22</v>
      </c>
      <c r="AA526" t="str">
        <f>VLOOKUP(E526,'Transform table'!A:B,2,0)</f>
        <v>CSKA</v>
      </c>
      <c r="AB526" t="e">
        <f>VLOOKUP(F526,'Transform table'!A:B,2,0)</f>
        <v>#N/A</v>
      </c>
      <c r="AC526" t="e">
        <f t="shared" si="8"/>
        <v>#N/A</v>
      </c>
      <c r="AD526" t="e">
        <f>VLOOKUP($AC526,'oddspedia-matches'!$A:$AD,AD$2,0)</f>
        <v>#N/A</v>
      </c>
      <c r="AE526" t="e">
        <f>VLOOKUP($AC526,'oddspedia-matches'!$A:$AD,AE$2,0)</f>
        <v>#N/A</v>
      </c>
      <c r="AF526" t="e">
        <f>VLOOKUP($AC526,'oddspedia-matches'!$A:$AD,AF$2,0)</f>
        <v>#N/A</v>
      </c>
      <c r="AG526" t="e">
        <f>VLOOKUP($AC526,'oddspedia-matches'!$A:$AD,AG$2,0)</f>
        <v>#N/A</v>
      </c>
      <c r="AH526" t="e">
        <f>VLOOKUP($AC526,'oddspedia-matches'!$A:$AD,AH$2,0)</f>
        <v>#N/A</v>
      </c>
      <c r="AI526" t="e">
        <f>VLOOKUP($AC526,'oddspedia-matches'!$A:$AD,AI$2,0)</f>
        <v>#N/A</v>
      </c>
      <c r="AJ526" t="e">
        <f>VLOOKUP($AC526,'oddspedia-matches'!$A:$AD,AJ$2,0)</f>
        <v>#N/A</v>
      </c>
      <c r="AK526" t="e">
        <f>VLOOKUP($AC526,'oddspedia-matches'!$A:$AD,AK$2,0)</f>
        <v>#N/A</v>
      </c>
      <c r="AL526" t="e">
        <f>VLOOKUP($AC526,'oddspedia-matches'!$A:$AD,AL$2,0)</f>
        <v>#N/A</v>
      </c>
      <c r="AM526" t="e">
        <f>VLOOKUP($AC526,'oddspedia-matches'!$A:$AD,AM$2,0)</f>
        <v>#N/A</v>
      </c>
      <c r="AN526" t="e">
        <f>VLOOKUP($AC526,'oddspedia-matches'!$A:$AD,AN$2,0)</f>
        <v>#N/A</v>
      </c>
      <c r="AO526" t="e">
        <f>VLOOKUP($AC526,'oddspedia-matches'!$A:$AD,AO$2,0)</f>
        <v>#N/A</v>
      </c>
      <c r="AP526" t="e">
        <f>VLOOKUP($AC526,'oddspedia-matches'!$A:$AD,AP$2,0)</f>
        <v>#N/A</v>
      </c>
      <c r="AQ526" t="e">
        <f>VLOOKUP($AC526,'oddspedia-matches'!$A:$AD,AQ$2,0)</f>
        <v>#N/A</v>
      </c>
      <c r="AR526" t="e">
        <f>VLOOKUP($AC526,'oddspedia-matches'!$A:$AD,AR$2,0)</f>
        <v>#N/A</v>
      </c>
      <c r="AS526" t="e">
        <f>VLOOKUP($AC526,'oddspedia-matches'!$A:$AD,AS$2,0)</f>
        <v>#N/A</v>
      </c>
      <c r="AT526" t="e">
        <f>VLOOKUP($AC526,'oddspedia-matches'!$A:$AD,AT$2,0)</f>
        <v>#N/A</v>
      </c>
    </row>
    <row r="527" spans="2:46" x14ac:dyDescent="0.25">
      <c r="B527" t="s">
        <v>1061</v>
      </c>
      <c r="C527" t="s">
        <v>1249</v>
      </c>
      <c r="D527" s="25">
        <v>0.64583333333333337</v>
      </c>
      <c r="E527" t="s">
        <v>1283</v>
      </c>
      <c r="F527" t="s">
        <v>275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">
        <v>22</v>
      </c>
      <c r="Y527" t="s">
        <v>22</v>
      </c>
      <c r="AA527" t="str">
        <f>VLOOKUP(E527,'Transform table'!A:B,2,0)</f>
        <v>Bohemian</v>
      </c>
      <c r="AB527" t="e">
        <f>VLOOKUP(F527,'Transform table'!A:B,2,0)</f>
        <v>#N/A</v>
      </c>
      <c r="AC527" t="e">
        <f t="shared" si="8"/>
        <v>#N/A</v>
      </c>
      <c r="AD527" t="e">
        <f>VLOOKUP($AC527,'oddspedia-matches'!$A:$AD,AD$2,0)</f>
        <v>#N/A</v>
      </c>
      <c r="AE527" t="e">
        <f>VLOOKUP($AC527,'oddspedia-matches'!$A:$AD,AE$2,0)</f>
        <v>#N/A</v>
      </c>
      <c r="AF527" t="e">
        <f>VLOOKUP($AC527,'oddspedia-matches'!$A:$AD,AF$2,0)</f>
        <v>#N/A</v>
      </c>
      <c r="AG527" t="e">
        <f>VLOOKUP($AC527,'oddspedia-matches'!$A:$AD,AG$2,0)</f>
        <v>#N/A</v>
      </c>
      <c r="AH527" t="e">
        <f>VLOOKUP($AC527,'oddspedia-matches'!$A:$AD,AH$2,0)</f>
        <v>#N/A</v>
      </c>
      <c r="AI527" t="e">
        <f>VLOOKUP($AC527,'oddspedia-matches'!$A:$AD,AI$2,0)</f>
        <v>#N/A</v>
      </c>
      <c r="AJ527" t="e">
        <f>VLOOKUP($AC527,'oddspedia-matches'!$A:$AD,AJ$2,0)</f>
        <v>#N/A</v>
      </c>
      <c r="AK527" t="e">
        <f>VLOOKUP($AC527,'oddspedia-matches'!$A:$AD,AK$2,0)</f>
        <v>#N/A</v>
      </c>
      <c r="AL527" t="e">
        <f>VLOOKUP($AC527,'oddspedia-matches'!$A:$AD,AL$2,0)</f>
        <v>#N/A</v>
      </c>
      <c r="AM527" t="e">
        <f>VLOOKUP($AC527,'oddspedia-matches'!$A:$AD,AM$2,0)</f>
        <v>#N/A</v>
      </c>
      <c r="AN527" t="e">
        <f>VLOOKUP($AC527,'oddspedia-matches'!$A:$AD,AN$2,0)</f>
        <v>#N/A</v>
      </c>
      <c r="AO527" t="e">
        <f>VLOOKUP($AC527,'oddspedia-matches'!$A:$AD,AO$2,0)</f>
        <v>#N/A</v>
      </c>
      <c r="AP527" t="e">
        <f>VLOOKUP($AC527,'oddspedia-matches'!$A:$AD,AP$2,0)</f>
        <v>#N/A</v>
      </c>
      <c r="AQ527" t="e">
        <f>VLOOKUP($AC527,'oddspedia-matches'!$A:$AD,AQ$2,0)</f>
        <v>#N/A</v>
      </c>
      <c r="AR527" t="e">
        <f>VLOOKUP($AC527,'oddspedia-matches'!$A:$AD,AR$2,0)</f>
        <v>#N/A</v>
      </c>
      <c r="AS527" t="e">
        <f>VLOOKUP($AC527,'oddspedia-matches'!$A:$AD,AS$2,0)</f>
        <v>#N/A</v>
      </c>
      <c r="AT527" t="e">
        <f>VLOOKUP($AC527,'oddspedia-matches'!$A:$AD,AT$2,0)</f>
        <v>#N/A</v>
      </c>
    </row>
    <row r="528" spans="2:46" x14ac:dyDescent="0.25">
      <c r="B528" t="s">
        <v>475</v>
      </c>
      <c r="C528" t="s">
        <v>1249</v>
      </c>
      <c r="D528" s="25">
        <v>0.66666666666666663</v>
      </c>
      <c r="E528" t="s">
        <v>1284</v>
      </c>
      <c r="F528" t="s">
        <v>1285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>
        <v>0</v>
      </c>
      <c r="Y528">
        <v>0</v>
      </c>
      <c r="AA528" t="str">
        <f>VLOOKUP(E528,'Transform table'!A:B,2,0)</f>
        <v>San Antonio Cotacachi</v>
      </c>
      <c r="AB528" t="e">
        <f>VLOOKUP(F528,'Transform table'!A:B,2,0)</f>
        <v>#N/A</v>
      </c>
      <c r="AC528" t="e">
        <f t="shared" si="8"/>
        <v>#N/A</v>
      </c>
      <c r="AD528" t="e">
        <f>VLOOKUP($AC528,'oddspedia-matches'!$A:$AD,AD$2,0)</f>
        <v>#N/A</v>
      </c>
      <c r="AE528" t="e">
        <f>VLOOKUP($AC528,'oddspedia-matches'!$A:$AD,AE$2,0)</f>
        <v>#N/A</v>
      </c>
      <c r="AF528" t="e">
        <f>VLOOKUP($AC528,'oddspedia-matches'!$A:$AD,AF$2,0)</f>
        <v>#N/A</v>
      </c>
      <c r="AG528" t="e">
        <f>VLOOKUP($AC528,'oddspedia-matches'!$A:$AD,AG$2,0)</f>
        <v>#N/A</v>
      </c>
      <c r="AH528" t="e">
        <f>VLOOKUP($AC528,'oddspedia-matches'!$A:$AD,AH$2,0)</f>
        <v>#N/A</v>
      </c>
      <c r="AI528" t="e">
        <f>VLOOKUP($AC528,'oddspedia-matches'!$A:$AD,AI$2,0)</f>
        <v>#N/A</v>
      </c>
      <c r="AJ528" t="e">
        <f>VLOOKUP($AC528,'oddspedia-matches'!$A:$AD,AJ$2,0)</f>
        <v>#N/A</v>
      </c>
      <c r="AK528" t="e">
        <f>VLOOKUP($AC528,'oddspedia-matches'!$A:$AD,AK$2,0)</f>
        <v>#N/A</v>
      </c>
      <c r="AL528" t="e">
        <f>VLOOKUP($AC528,'oddspedia-matches'!$A:$AD,AL$2,0)</f>
        <v>#N/A</v>
      </c>
      <c r="AM528" t="e">
        <f>VLOOKUP($AC528,'oddspedia-matches'!$A:$AD,AM$2,0)</f>
        <v>#N/A</v>
      </c>
      <c r="AN528" t="e">
        <f>VLOOKUP($AC528,'oddspedia-matches'!$A:$AD,AN$2,0)</f>
        <v>#N/A</v>
      </c>
      <c r="AO528" t="e">
        <f>VLOOKUP($AC528,'oddspedia-matches'!$A:$AD,AO$2,0)</f>
        <v>#N/A</v>
      </c>
      <c r="AP528" t="e">
        <f>VLOOKUP($AC528,'oddspedia-matches'!$A:$AD,AP$2,0)</f>
        <v>#N/A</v>
      </c>
      <c r="AQ528" t="e">
        <f>VLOOKUP($AC528,'oddspedia-matches'!$A:$AD,AQ$2,0)</f>
        <v>#N/A</v>
      </c>
      <c r="AR528" t="e">
        <f>VLOOKUP($AC528,'oddspedia-matches'!$A:$AD,AR$2,0)</f>
        <v>#N/A</v>
      </c>
      <c r="AS528" t="e">
        <f>VLOOKUP($AC528,'oddspedia-matches'!$A:$AD,AS$2,0)</f>
        <v>#N/A</v>
      </c>
      <c r="AT528" t="e">
        <f>VLOOKUP($AC528,'oddspedia-matches'!$A:$AD,AT$2,0)</f>
        <v>#N/A</v>
      </c>
    </row>
    <row r="529" spans="2:46" x14ac:dyDescent="0.25">
      <c r="B529" t="s">
        <v>470</v>
      </c>
      <c r="C529" t="s">
        <v>1249</v>
      </c>
      <c r="D529" s="25">
        <v>0.66666666666666663</v>
      </c>
      <c r="E529" t="s">
        <v>119</v>
      </c>
      <c r="F529" t="s">
        <v>230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>
        <v>18.2</v>
      </c>
      <c r="Y529">
        <v>9.1</v>
      </c>
      <c r="AA529" t="str">
        <f>VLOOKUP(E529,'Transform table'!A:B,2,0)</f>
        <v>Mushuc Runa</v>
      </c>
      <c r="AB529" t="str">
        <f>VLOOKUP(F529,'Transform table'!A:B,2,0)</f>
        <v>Libertad Loja</v>
      </c>
      <c r="AC529" t="str">
        <f t="shared" si="8"/>
        <v>27/07/2026Mushuc RunaLibertad Loja</v>
      </c>
      <c r="AD529" t="e">
        <f>VLOOKUP($AC529,'oddspedia-matches'!$A:$AD,AD$2,0)</f>
        <v>#N/A</v>
      </c>
      <c r="AE529" t="e">
        <f>VLOOKUP($AC529,'oddspedia-matches'!$A:$AD,AE$2,0)</f>
        <v>#N/A</v>
      </c>
      <c r="AF529" t="e">
        <f>VLOOKUP($AC529,'oddspedia-matches'!$A:$AD,AF$2,0)</f>
        <v>#N/A</v>
      </c>
      <c r="AG529" t="e">
        <f>VLOOKUP($AC529,'oddspedia-matches'!$A:$AD,AG$2,0)</f>
        <v>#N/A</v>
      </c>
      <c r="AH529" t="e">
        <f>VLOOKUP($AC529,'oddspedia-matches'!$A:$AD,AH$2,0)</f>
        <v>#N/A</v>
      </c>
      <c r="AI529" t="e">
        <f>VLOOKUP($AC529,'oddspedia-matches'!$A:$AD,AI$2,0)</f>
        <v>#N/A</v>
      </c>
      <c r="AJ529" t="e">
        <f>VLOOKUP($AC529,'oddspedia-matches'!$A:$AD,AJ$2,0)</f>
        <v>#N/A</v>
      </c>
      <c r="AK529" t="e">
        <f>VLOOKUP($AC529,'oddspedia-matches'!$A:$AD,AK$2,0)</f>
        <v>#N/A</v>
      </c>
      <c r="AL529" t="e">
        <f>VLOOKUP($AC529,'oddspedia-matches'!$A:$AD,AL$2,0)</f>
        <v>#N/A</v>
      </c>
      <c r="AM529" t="e">
        <f>VLOOKUP($AC529,'oddspedia-matches'!$A:$AD,AM$2,0)</f>
        <v>#N/A</v>
      </c>
      <c r="AN529" t="e">
        <f>VLOOKUP($AC529,'oddspedia-matches'!$A:$AD,AN$2,0)</f>
        <v>#N/A</v>
      </c>
      <c r="AO529" t="e">
        <f>VLOOKUP($AC529,'oddspedia-matches'!$A:$AD,AO$2,0)</f>
        <v>#N/A</v>
      </c>
      <c r="AP529" t="e">
        <f>VLOOKUP($AC529,'oddspedia-matches'!$A:$AD,AP$2,0)</f>
        <v>#N/A</v>
      </c>
      <c r="AQ529" t="e">
        <f>VLOOKUP($AC529,'oddspedia-matches'!$A:$AD,AQ$2,0)</f>
        <v>#N/A</v>
      </c>
      <c r="AR529" t="e">
        <f>VLOOKUP($AC529,'oddspedia-matches'!$A:$AD,AR$2,0)</f>
        <v>#N/A</v>
      </c>
      <c r="AS529" t="e">
        <f>VLOOKUP($AC529,'oddspedia-matches'!$A:$AD,AS$2,0)</f>
        <v>#N/A</v>
      </c>
      <c r="AT529" t="e">
        <f>VLOOKUP($AC529,'oddspedia-matches'!$A:$AD,AT$2,0)</f>
        <v>#N/A</v>
      </c>
    </row>
    <row r="530" spans="2:46" x14ac:dyDescent="0.25">
      <c r="B530" t="s">
        <v>499</v>
      </c>
      <c r="C530" t="s">
        <v>1249</v>
      </c>
      <c r="D530" s="25">
        <v>0.67708333333333337</v>
      </c>
      <c r="E530" t="s">
        <v>1286</v>
      </c>
      <c r="F530" t="s">
        <v>1287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>
        <v>28.6</v>
      </c>
      <c r="Y530">
        <v>28.6</v>
      </c>
      <c r="AA530" t="str">
        <f>VLOOKUP(E530,'Transform table'!A:B,2,0)</f>
        <v>KA Hafnarfjordur</v>
      </c>
      <c r="AB530" t="e">
        <f>VLOOKUP(F530,'Transform table'!A:B,2,0)</f>
        <v>#N/A</v>
      </c>
      <c r="AC530" t="e">
        <f t="shared" si="8"/>
        <v>#N/A</v>
      </c>
      <c r="AD530" t="e">
        <f>VLOOKUP($AC530,'oddspedia-matches'!$A:$AD,AD$2,0)</f>
        <v>#N/A</v>
      </c>
      <c r="AE530" t="e">
        <f>VLOOKUP($AC530,'oddspedia-matches'!$A:$AD,AE$2,0)</f>
        <v>#N/A</v>
      </c>
      <c r="AF530" t="e">
        <f>VLOOKUP($AC530,'oddspedia-matches'!$A:$AD,AF$2,0)</f>
        <v>#N/A</v>
      </c>
      <c r="AG530" t="e">
        <f>VLOOKUP($AC530,'oddspedia-matches'!$A:$AD,AG$2,0)</f>
        <v>#N/A</v>
      </c>
      <c r="AH530" t="e">
        <f>VLOOKUP($AC530,'oddspedia-matches'!$A:$AD,AH$2,0)</f>
        <v>#N/A</v>
      </c>
      <c r="AI530" t="e">
        <f>VLOOKUP($AC530,'oddspedia-matches'!$A:$AD,AI$2,0)</f>
        <v>#N/A</v>
      </c>
      <c r="AJ530" t="e">
        <f>VLOOKUP($AC530,'oddspedia-matches'!$A:$AD,AJ$2,0)</f>
        <v>#N/A</v>
      </c>
      <c r="AK530" t="e">
        <f>VLOOKUP($AC530,'oddspedia-matches'!$A:$AD,AK$2,0)</f>
        <v>#N/A</v>
      </c>
      <c r="AL530" t="e">
        <f>VLOOKUP($AC530,'oddspedia-matches'!$A:$AD,AL$2,0)</f>
        <v>#N/A</v>
      </c>
      <c r="AM530" t="e">
        <f>VLOOKUP($AC530,'oddspedia-matches'!$A:$AD,AM$2,0)</f>
        <v>#N/A</v>
      </c>
      <c r="AN530" t="e">
        <f>VLOOKUP($AC530,'oddspedia-matches'!$A:$AD,AN$2,0)</f>
        <v>#N/A</v>
      </c>
      <c r="AO530" t="e">
        <f>VLOOKUP($AC530,'oddspedia-matches'!$A:$AD,AO$2,0)</f>
        <v>#N/A</v>
      </c>
      <c r="AP530" t="e">
        <f>VLOOKUP($AC530,'oddspedia-matches'!$A:$AD,AP$2,0)</f>
        <v>#N/A</v>
      </c>
      <c r="AQ530" t="e">
        <f>VLOOKUP($AC530,'oddspedia-matches'!$A:$AD,AQ$2,0)</f>
        <v>#N/A</v>
      </c>
      <c r="AR530" t="e">
        <f>VLOOKUP($AC530,'oddspedia-matches'!$A:$AD,AR$2,0)</f>
        <v>#N/A</v>
      </c>
      <c r="AS530" t="e">
        <f>VLOOKUP($AC530,'oddspedia-matches'!$A:$AD,AS$2,0)</f>
        <v>#N/A</v>
      </c>
      <c r="AT530" t="e">
        <f>VLOOKUP($AC530,'oddspedia-matches'!$A:$AD,AT$2,0)</f>
        <v>#N/A</v>
      </c>
    </row>
    <row r="531" spans="2:46" x14ac:dyDescent="0.25">
      <c r="B531" t="s">
        <v>501</v>
      </c>
      <c r="C531" t="s">
        <v>1249</v>
      </c>
      <c r="D531" s="25">
        <v>0.72916666666666663</v>
      </c>
      <c r="E531" t="s">
        <v>428</v>
      </c>
      <c r="F531" t="s">
        <v>1288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">
        <v>22</v>
      </c>
      <c r="Y531" t="s">
        <v>22</v>
      </c>
      <c r="AA531" t="str">
        <f>VLOOKUP(E531,'Transform table'!A:B,2,0)</f>
        <v>Envigado</v>
      </c>
      <c r="AB531" t="e">
        <f>VLOOKUP(F531,'Transform table'!A:B,2,0)</f>
        <v>#N/A</v>
      </c>
      <c r="AC531" t="e">
        <f t="shared" si="8"/>
        <v>#N/A</v>
      </c>
      <c r="AD531" t="e">
        <f>VLOOKUP($AC531,'oddspedia-matches'!$A:$AD,AD$2,0)</f>
        <v>#N/A</v>
      </c>
      <c r="AE531" t="e">
        <f>VLOOKUP($AC531,'oddspedia-matches'!$A:$AD,AE$2,0)</f>
        <v>#N/A</v>
      </c>
      <c r="AF531" t="e">
        <f>VLOOKUP($AC531,'oddspedia-matches'!$A:$AD,AF$2,0)</f>
        <v>#N/A</v>
      </c>
      <c r="AG531" t="e">
        <f>VLOOKUP($AC531,'oddspedia-matches'!$A:$AD,AG$2,0)</f>
        <v>#N/A</v>
      </c>
      <c r="AH531" t="e">
        <f>VLOOKUP($AC531,'oddspedia-matches'!$A:$AD,AH$2,0)</f>
        <v>#N/A</v>
      </c>
      <c r="AI531" t="e">
        <f>VLOOKUP($AC531,'oddspedia-matches'!$A:$AD,AI$2,0)</f>
        <v>#N/A</v>
      </c>
      <c r="AJ531" t="e">
        <f>VLOOKUP($AC531,'oddspedia-matches'!$A:$AD,AJ$2,0)</f>
        <v>#N/A</v>
      </c>
      <c r="AK531" t="e">
        <f>VLOOKUP($AC531,'oddspedia-matches'!$A:$AD,AK$2,0)</f>
        <v>#N/A</v>
      </c>
      <c r="AL531" t="e">
        <f>VLOOKUP($AC531,'oddspedia-matches'!$A:$AD,AL$2,0)</f>
        <v>#N/A</v>
      </c>
      <c r="AM531" t="e">
        <f>VLOOKUP($AC531,'oddspedia-matches'!$A:$AD,AM$2,0)</f>
        <v>#N/A</v>
      </c>
      <c r="AN531" t="e">
        <f>VLOOKUP($AC531,'oddspedia-matches'!$A:$AD,AN$2,0)</f>
        <v>#N/A</v>
      </c>
      <c r="AO531" t="e">
        <f>VLOOKUP($AC531,'oddspedia-matches'!$A:$AD,AO$2,0)</f>
        <v>#N/A</v>
      </c>
      <c r="AP531" t="e">
        <f>VLOOKUP($AC531,'oddspedia-matches'!$A:$AD,AP$2,0)</f>
        <v>#N/A</v>
      </c>
      <c r="AQ531" t="e">
        <f>VLOOKUP($AC531,'oddspedia-matches'!$A:$AD,AQ$2,0)</f>
        <v>#N/A</v>
      </c>
      <c r="AR531" t="e">
        <f>VLOOKUP($AC531,'oddspedia-matches'!$A:$AD,AR$2,0)</f>
        <v>#N/A</v>
      </c>
      <c r="AS531" t="e">
        <f>VLOOKUP($AC531,'oddspedia-matches'!$A:$AD,AS$2,0)</f>
        <v>#N/A</v>
      </c>
      <c r="AT531" t="e">
        <f>VLOOKUP($AC531,'oddspedia-matches'!$A:$AD,AT$2,0)</f>
        <v>#N/A</v>
      </c>
    </row>
    <row r="532" spans="2:46" x14ac:dyDescent="0.25">
      <c r="B532" t="s">
        <v>470</v>
      </c>
      <c r="C532" t="s">
        <v>1249</v>
      </c>
      <c r="D532" s="25">
        <v>0.77083333333333337</v>
      </c>
      <c r="E532" t="s">
        <v>103</v>
      </c>
      <c r="F532" t="s">
        <v>240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">
        <v>22</v>
      </c>
      <c r="Y532" t="s">
        <v>22</v>
      </c>
      <c r="AA532" t="str">
        <f>VLOOKUP(E532,'Transform table'!A:B,2,0)</f>
        <v>Guayaquil City FC</v>
      </c>
      <c r="AB532" t="str">
        <f>VLOOKUP(F532,'Transform table'!A:B,2,0)</f>
        <v>CD Uni Catolica del Ecuador</v>
      </c>
      <c r="AC532" t="str">
        <f t="shared" si="8"/>
        <v>27/07/2026Guayaquil City FCCD Uni Catolica del Ecuador</v>
      </c>
      <c r="AD532" t="e">
        <f>VLOOKUP($AC532,'oddspedia-matches'!$A:$AD,AD$2,0)</f>
        <v>#N/A</v>
      </c>
      <c r="AE532" t="e">
        <f>VLOOKUP($AC532,'oddspedia-matches'!$A:$AD,AE$2,0)</f>
        <v>#N/A</v>
      </c>
      <c r="AF532" t="e">
        <f>VLOOKUP($AC532,'oddspedia-matches'!$A:$AD,AF$2,0)</f>
        <v>#N/A</v>
      </c>
      <c r="AG532" t="e">
        <f>VLOOKUP($AC532,'oddspedia-matches'!$A:$AD,AG$2,0)</f>
        <v>#N/A</v>
      </c>
      <c r="AH532" t="e">
        <f>VLOOKUP($AC532,'oddspedia-matches'!$A:$AD,AH$2,0)</f>
        <v>#N/A</v>
      </c>
      <c r="AI532" t="e">
        <f>VLOOKUP($AC532,'oddspedia-matches'!$A:$AD,AI$2,0)</f>
        <v>#N/A</v>
      </c>
      <c r="AJ532" t="e">
        <f>VLOOKUP($AC532,'oddspedia-matches'!$A:$AD,AJ$2,0)</f>
        <v>#N/A</v>
      </c>
      <c r="AK532" t="e">
        <f>VLOOKUP($AC532,'oddspedia-matches'!$A:$AD,AK$2,0)</f>
        <v>#N/A</v>
      </c>
      <c r="AL532" t="e">
        <f>VLOOKUP($AC532,'oddspedia-matches'!$A:$AD,AL$2,0)</f>
        <v>#N/A</v>
      </c>
      <c r="AM532" t="e">
        <f>VLOOKUP($AC532,'oddspedia-matches'!$A:$AD,AM$2,0)</f>
        <v>#N/A</v>
      </c>
      <c r="AN532" t="e">
        <f>VLOOKUP($AC532,'oddspedia-matches'!$A:$AD,AN$2,0)</f>
        <v>#N/A</v>
      </c>
      <c r="AO532" t="e">
        <f>VLOOKUP($AC532,'oddspedia-matches'!$A:$AD,AO$2,0)</f>
        <v>#N/A</v>
      </c>
      <c r="AP532" t="e">
        <f>VLOOKUP($AC532,'oddspedia-matches'!$A:$AD,AP$2,0)</f>
        <v>#N/A</v>
      </c>
      <c r="AQ532" t="e">
        <f>VLOOKUP($AC532,'oddspedia-matches'!$A:$AD,AQ$2,0)</f>
        <v>#N/A</v>
      </c>
      <c r="AR532" t="e">
        <f>VLOOKUP($AC532,'oddspedia-matches'!$A:$AD,AR$2,0)</f>
        <v>#N/A</v>
      </c>
      <c r="AS532" t="e">
        <f>VLOOKUP($AC532,'oddspedia-matches'!$A:$AD,AS$2,0)</f>
        <v>#N/A</v>
      </c>
      <c r="AT532" t="e">
        <f>VLOOKUP($AC532,'oddspedia-matches'!$A:$AD,AT$2,0)</f>
        <v>#N/A</v>
      </c>
    </row>
    <row r="533" spans="2:46" x14ac:dyDescent="0.25">
      <c r="B533" t="s">
        <v>1025</v>
      </c>
      <c r="C533" t="s">
        <v>1249</v>
      </c>
      <c r="D533" s="25">
        <v>0.79166666666666663</v>
      </c>
      <c r="E533" t="s">
        <v>1289</v>
      </c>
      <c r="F533" t="s">
        <v>1290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22</v>
      </c>
      <c r="O533" t="s">
        <v>22</v>
      </c>
      <c r="P533" t="s">
        <v>22</v>
      </c>
      <c r="Q533" t="s">
        <v>22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">
        <v>22</v>
      </c>
      <c r="Y533" t="s">
        <v>22</v>
      </c>
      <c r="AA533" t="str">
        <f>VLOOKUP(E533,'Transform table'!A:B,2,0)</f>
        <v>Pau</v>
      </c>
      <c r="AB533" t="e">
        <f>VLOOKUP(F533,'Transform table'!A:B,2,0)</f>
        <v>#N/A</v>
      </c>
      <c r="AC533" t="e">
        <f t="shared" si="8"/>
        <v>#N/A</v>
      </c>
      <c r="AD533" t="e">
        <f>VLOOKUP($AC533,'oddspedia-matches'!$A:$AD,AD$2,0)</f>
        <v>#N/A</v>
      </c>
      <c r="AE533" t="e">
        <f>VLOOKUP($AC533,'oddspedia-matches'!$A:$AD,AE$2,0)</f>
        <v>#N/A</v>
      </c>
      <c r="AF533" t="e">
        <f>VLOOKUP($AC533,'oddspedia-matches'!$A:$AD,AF$2,0)</f>
        <v>#N/A</v>
      </c>
      <c r="AG533" t="e">
        <f>VLOOKUP($AC533,'oddspedia-matches'!$A:$AD,AG$2,0)</f>
        <v>#N/A</v>
      </c>
      <c r="AH533" t="e">
        <f>VLOOKUP($AC533,'oddspedia-matches'!$A:$AD,AH$2,0)</f>
        <v>#N/A</v>
      </c>
      <c r="AI533" t="e">
        <f>VLOOKUP($AC533,'oddspedia-matches'!$A:$AD,AI$2,0)</f>
        <v>#N/A</v>
      </c>
      <c r="AJ533" t="e">
        <f>VLOOKUP($AC533,'oddspedia-matches'!$A:$AD,AJ$2,0)</f>
        <v>#N/A</v>
      </c>
      <c r="AK533" t="e">
        <f>VLOOKUP($AC533,'oddspedia-matches'!$A:$AD,AK$2,0)</f>
        <v>#N/A</v>
      </c>
      <c r="AL533" t="e">
        <f>VLOOKUP($AC533,'oddspedia-matches'!$A:$AD,AL$2,0)</f>
        <v>#N/A</v>
      </c>
      <c r="AM533" t="e">
        <f>VLOOKUP($AC533,'oddspedia-matches'!$A:$AD,AM$2,0)</f>
        <v>#N/A</v>
      </c>
      <c r="AN533" t="e">
        <f>VLOOKUP($AC533,'oddspedia-matches'!$A:$AD,AN$2,0)</f>
        <v>#N/A</v>
      </c>
      <c r="AO533" t="e">
        <f>VLOOKUP($AC533,'oddspedia-matches'!$A:$AD,AO$2,0)</f>
        <v>#N/A</v>
      </c>
      <c r="AP533" t="e">
        <f>VLOOKUP($AC533,'oddspedia-matches'!$A:$AD,AP$2,0)</f>
        <v>#N/A</v>
      </c>
      <c r="AQ533" t="e">
        <f>VLOOKUP($AC533,'oddspedia-matches'!$A:$AD,AQ$2,0)</f>
        <v>#N/A</v>
      </c>
      <c r="AR533" t="e">
        <f>VLOOKUP($AC533,'oddspedia-matches'!$A:$AD,AR$2,0)</f>
        <v>#N/A</v>
      </c>
      <c r="AS533" t="e">
        <f>VLOOKUP($AC533,'oddspedia-matches'!$A:$AD,AS$2,0)</f>
        <v>#N/A</v>
      </c>
      <c r="AT533" t="e">
        <f>VLOOKUP($AC533,'oddspedia-matches'!$A:$AD,AT$2,0)</f>
        <v>#N/A</v>
      </c>
    </row>
    <row r="534" spans="2:46" x14ac:dyDescent="0.25">
      <c r="B534" t="s">
        <v>473</v>
      </c>
      <c r="C534" t="s">
        <v>1249</v>
      </c>
      <c r="D534" s="25">
        <v>0.8125</v>
      </c>
      <c r="E534" t="s">
        <v>117</v>
      </c>
      <c r="F534" t="s">
        <v>45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>
        <v>10</v>
      </c>
      <c r="Y534">
        <v>33.299999999999997</v>
      </c>
      <c r="AA534" t="str">
        <f>VLOOKUP(E534,'Transform table'!A:B,2,0)</f>
        <v>Atletico Goianiense</v>
      </c>
      <c r="AB534" t="str">
        <f>VLOOKUP(F534,'Transform table'!A:B,2,0)</f>
        <v>Operario PR</v>
      </c>
      <c r="AC534" t="str">
        <f t="shared" si="8"/>
        <v>27/07/2026Atletico GoianienseOperario PR</v>
      </c>
      <c r="AD534" t="e">
        <f>VLOOKUP($AC534,'oddspedia-matches'!$A:$AD,AD$2,0)</f>
        <v>#N/A</v>
      </c>
      <c r="AE534" t="e">
        <f>VLOOKUP($AC534,'oddspedia-matches'!$A:$AD,AE$2,0)</f>
        <v>#N/A</v>
      </c>
      <c r="AF534" t="e">
        <f>VLOOKUP($AC534,'oddspedia-matches'!$A:$AD,AF$2,0)</f>
        <v>#N/A</v>
      </c>
      <c r="AG534" t="e">
        <f>VLOOKUP($AC534,'oddspedia-matches'!$A:$AD,AG$2,0)</f>
        <v>#N/A</v>
      </c>
      <c r="AH534" t="e">
        <f>VLOOKUP($AC534,'oddspedia-matches'!$A:$AD,AH$2,0)</f>
        <v>#N/A</v>
      </c>
      <c r="AI534" t="e">
        <f>VLOOKUP($AC534,'oddspedia-matches'!$A:$AD,AI$2,0)</f>
        <v>#N/A</v>
      </c>
      <c r="AJ534" t="e">
        <f>VLOOKUP($AC534,'oddspedia-matches'!$A:$AD,AJ$2,0)</f>
        <v>#N/A</v>
      </c>
      <c r="AK534" t="e">
        <f>VLOOKUP($AC534,'oddspedia-matches'!$A:$AD,AK$2,0)</f>
        <v>#N/A</v>
      </c>
      <c r="AL534" t="e">
        <f>VLOOKUP($AC534,'oddspedia-matches'!$A:$AD,AL$2,0)</f>
        <v>#N/A</v>
      </c>
      <c r="AM534" t="e">
        <f>VLOOKUP($AC534,'oddspedia-matches'!$A:$AD,AM$2,0)</f>
        <v>#N/A</v>
      </c>
      <c r="AN534" t="e">
        <f>VLOOKUP($AC534,'oddspedia-matches'!$A:$AD,AN$2,0)</f>
        <v>#N/A</v>
      </c>
      <c r="AO534" t="e">
        <f>VLOOKUP($AC534,'oddspedia-matches'!$A:$AD,AO$2,0)</f>
        <v>#N/A</v>
      </c>
      <c r="AP534" t="e">
        <f>VLOOKUP($AC534,'oddspedia-matches'!$A:$AD,AP$2,0)</f>
        <v>#N/A</v>
      </c>
      <c r="AQ534" t="e">
        <f>VLOOKUP($AC534,'oddspedia-matches'!$A:$AD,AQ$2,0)</f>
        <v>#N/A</v>
      </c>
      <c r="AR534" t="e">
        <f>VLOOKUP($AC534,'oddspedia-matches'!$A:$AD,AR$2,0)</f>
        <v>#N/A</v>
      </c>
      <c r="AS534" t="e">
        <f>VLOOKUP($AC534,'oddspedia-matches'!$A:$AD,AS$2,0)</f>
        <v>#N/A</v>
      </c>
      <c r="AT534" t="e">
        <f>VLOOKUP($AC534,'oddspedia-matches'!$A:$AD,AT$2,0)</f>
        <v>#N/A</v>
      </c>
    </row>
    <row r="535" spans="2:46" x14ac:dyDescent="0.25">
      <c r="B535" t="s">
        <v>473</v>
      </c>
      <c r="C535" t="s">
        <v>1249</v>
      </c>
      <c r="D535" s="25">
        <v>0.8125</v>
      </c>
      <c r="E535" t="s">
        <v>44</v>
      </c>
      <c r="F535" t="s">
        <v>242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>
        <v>11.1</v>
      </c>
      <c r="Y535">
        <v>20</v>
      </c>
      <c r="AA535" t="str">
        <f>VLOOKUP(E535,'Transform table'!A:B,2,0)</f>
        <v>Clube de Regatas Brasil</v>
      </c>
      <c r="AB535" t="str">
        <f>VLOOKUP(F535,'Transform table'!A:B,2,0)</f>
        <v>Vila Nova GO</v>
      </c>
      <c r="AC535" t="str">
        <f t="shared" si="8"/>
        <v>27/07/2026Clube de Regatas BrasilVila Nova GO</v>
      </c>
      <c r="AD535" t="e">
        <f>VLOOKUP($AC535,'oddspedia-matches'!$A:$AD,AD$2,0)</f>
        <v>#N/A</v>
      </c>
      <c r="AE535" t="e">
        <f>VLOOKUP($AC535,'oddspedia-matches'!$A:$AD,AE$2,0)</f>
        <v>#N/A</v>
      </c>
      <c r="AF535" t="e">
        <f>VLOOKUP($AC535,'oddspedia-matches'!$A:$AD,AF$2,0)</f>
        <v>#N/A</v>
      </c>
      <c r="AG535" t="e">
        <f>VLOOKUP($AC535,'oddspedia-matches'!$A:$AD,AG$2,0)</f>
        <v>#N/A</v>
      </c>
      <c r="AH535" t="e">
        <f>VLOOKUP($AC535,'oddspedia-matches'!$A:$AD,AH$2,0)</f>
        <v>#N/A</v>
      </c>
      <c r="AI535" t="e">
        <f>VLOOKUP($AC535,'oddspedia-matches'!$A:$AD,AI$2,0)</f>
        <v>#N/A</v>
      </c>
      <c r="AJ535" t="e">
        <f>VLOOKUP($AC535,'oddspedia-matches'!$A:$AD,AJ$2,0)</f>
        <v>#N/A</v>
      </c>
      <c r="AK535" t="e">
        <f>VLOOKUP($AC535,'oddspedia-matches'!$A:$AD,AK$2,0)</f>
        <v>#N/A</v>
      </c>
      <c r="AL535" t="e">
        <f>VLOOKUP($AC535,'oddspedia-matches'!$A:$AD,AL$2,0)</f>
        <v>#N/A</v>
      </c>
      <c r="AM535" t="e">
        <f>VLOOKUP($AC535,'oddspedia-matches'!$A:$AD,AM$2,0)</f>
        <v>#N/A</v>
      </c>
      <c r="AN535" t="e">
        <f>VLOOKUP($AC535,'oddspedia-matches'!$A:$AD,AN$2,0)</f>
        <v>#N/A</v>
      </c>
      <c r="AO535" t="e">
        <f>VLOOKUP($AC535,'oddspedia-matches'!$A:$AD,AO$2,0)</f>
        <v>#N/A</v>
      </c>
      <c r="AP535" t="e">
        <f>VLOOKUP($AC535,'oddspedia-matches'!$A:$AD,AP$2,0)</f>
        <v>#N/A</v>
      </c>
      <c r="AQ535" t="e">
        <f>VLOOKUP($AC535,'oddspedia-matches'!$A:$AD,AQ$2,0)</f>
        <v>#N/A</v>
      </c>
      <c r="AR535" t="e">
        <f>VLOOKUP($AC535,'oddspedia-matches'!$A:$AD,AR$2,0)</f>
        <v>#N/A</v>
      </c>
      <c r="AS535" t="e">
        <f>VLOOKUP($AC535,'oddspedia-matches'!$A:$AD,AS$2,0)</f>
        <v>#N/A</v>
      </c>
      <c r="AT535" t="e">
        <f>VLOOKUP($AC535,'oddspedia-matches'!$A:$AD,AT$2,0)</f>
        <v>#N/A</v>
      </c>
    </row>
    <row r="536" spans="2:46" x14ac:dyDescent="0.25">
      <c r="B536" t="s">
        <v>473</v>
      </c>
      <c r="C536" t="s">
        <v>1249</v>
      </c>
      <c r="D536" s="25">
        <v>0.8125</v>
      </c>
      <c r="E536" t="s">
        <v>52</v>
      </c>
      <c r="F536" t="s">
        <v>116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>
        <v>10</v>
      </c>
      <c r="Y536">
        <v>11.1</v>
      </c>
      <c r="AA536" t="str">
        <f>VLOOKUP(E536,'Transform table'!A:B,2,0)</f>
        <v>Sport Recife</v>
      </c>
      <c r="AB536" t="str">
        <f>VLOOKUP(F536,'Transform table'!A:B,2,0)</f>
        <v>Cuiaba</v>
      </c>
      <c r="AC536" t="str">
        <f t="shared" si="8"/>
        <v>27/07/2026Sport RecifeCuiaba</v>
      </c>
      <c r="AD536" t="e">
        <f>VLOOKUP($AC536,'oddspedia-matches'!$A:$AD,AD$2,0)</f>
        <v>#N/A</v>
      </c>
      <c r="AE536" t="e">
        <f>VLOOKUP($AC536,'oddspedia-matches'!$A:$AD,AE$2,0)</f>
        <v>#N/A</v>
      </c>
      <c r="AF536" t="e">
        <f>VLOOKUP($AC536,'oddspedia-matches'!$A:$AD,AF$2,0)</f>
        <v>#N/A</v>
      </c>
      <c r="AG536" t="e">
        <f>VLOOKUP($AC536,'oddspedia-matches'!$A:$AD,AG$2,0)</f>
        <v>#N/A</v>
      </c>
      <c r="AH536" t="e">
        <f>VLOOKUP($AC536,'oddspedia-matches'!$A:$AD,AH$2,0)</f>
        <v>#N/A</v>
      </c>
      <c r="AI536" t="e">
        <f>VLOOKUP($AC536,'oddspedia-matches'!$A:$AD,AI$2,0)</f>
        <v>#N/A</v>
      </c>
      <c r="AJ536" t="e">
        <f>VLOOKUP($AC536,'oddspedia-matches'!$A:$AD,AJ$2,0)</f>
        <v>#N/A</v>
      </c>
      <c r="AK536" t="e">
        <f>VLOOKUP($AC536,'oddspedia-matches'!$A:$AD,AK$2,0)</f>
        <v>#N/A</v>
      </c>
      <c r="AL536" t="e">
        <f>VLOOKUP($AC536,'oddspedia-matches'!$A:$AD,AL$2,0)</f>
        <v>#N/A</v>
      </c>
      <c r="AM536" t="e">
        <f>VLOOKUP($AC536,'oddspedia-matches'!$A:$AD,AM$2,0)</f>
        <v>#N/A</v>
      </c>
      <c r="AN536" t="e">
        <f>VLOOKUP($AC536,'oddspedia-matches'!$A:$AD,AN$2,0)</f>
        <v>#N/A</v>
      </c>
      <c r="AO536" t="e">
        <f>VLOOKUP($AC536,'oddspedia-matches'!$A:$AD,AO$2,0)</f>
        <v>#N/A</v>
      </c>
      <c r="AP536" t="e">
        <f>VLOOKUP($AC536,'oddspedia-matches'!$A:$AD,AP$2,0)</f>
        <v>#N/A</v>
      </c>
      <c r="AQ536" t="e">
        <f>VLOOKUP($AC536,'oddspedia-matches'!$A:$AD,AQ$2,0)</f>
        <v>#N/A</v>
      </c>
      <c r="AR536" t="e">
        <f>VLOOKUP($AC536,'oddspedia-matches'!$A:$AD,AR$2,0)</f>
        <v>#N/A</v>
      </c>
      <c r="AS536" t="e">
        <f>VLOOKUP($AC536,'oddspedia-matches'!$A:$AD,AS$2,0)</f>
        <v>#N/A</v>
      </c>
      <c r="AT536" t="e">
        <f>VLOOKUP($AC536,'oddspedia-matches'!$A:$AD,AT$2,0)</f>
        <v>#N/A</v>
      </c>
    </row>
    <row r="537" spans="2:46" x14ac:dyDescent="0.25">
      <c r="B537" t="s">
        <v>504</v>
      </c>
      <c r="C537" t="s">
        <v>1249</v>
      </c>
      <c r="D537" s="25">
        <v>0.8125</v>
      </c>
      <c r="E537" t="s">
        <v>1291</v>
      </c>
      <c r="F537" t="s">
        <v>1292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>
        <v>33.299999999999997</v>
      </c>
      <c r="Y537">
        <v>40</v>
      </c>
      <c r="AA537" t="str">
        <f>VLOOKUP(E537,'Transform table'!A:B,2,0)</f>
        <v>Liverpool Montevideo</v>
      </c>
      <c r="AB537" t="e">
        <f>VLOOKUP(F537,'Transform table'!A:B,2,0)</f>
        <v>#N/A</v>
      </c>
      <c r="AC537" t="e">
        <f t="shared" si="8"/>
        <v>#N/A</v>
      </c>
      <c r="AD537" t="e">
        <f>VLOOKUP($AC537,'oddspedia-matches'!$A:$AD,AD$2,0)</f>
        <v>#N/A</v>
      </c>
      <c r="AE537" t="e">
        <f>VLOOKUP($AC537,'oddspedia-matches'!$A:$AD,AE$2,0)</f>
        <v>#N/A</v>
      </c>
      <c r="AF537" t="e">
        <f>VLOOKUP($AC537,'oddspedia-matches'!$A:$AD,AF$2,0)</f>
        <v>#N/A</v>
      </c>
      <c r="AG537" t="e">
        <f>VLOOKUP($AC537,'oddspedia-matches'!$A:$AD,AG$2,0)</f>
        <v>#N/A</v>
      </c>
      <c r="AH537" t="e">
        <f>VLOOKUP($AC537,'oddspedia-matches'!$A:$AD,AH$2,0)</f>
        <v>#N/A</v>
      </c>
      <c r="AI537" t="e">
        <f>VLOOKUP($AC537,'oddspedia-matches'!$A:$AD,AI$2,0)</f>
        <v>#N/A</v>
      </c>
      <c r="AJ537" t="e">
        <f>VLOOKUP($AC537,'oddspedia-matches'!$A:$AD,AJ$2,0)</f>
        <v>#N/A</v>
      </c>
      <c r="AK537" t="e">
        <f>VLOOKUP($AC537,'oddspedia-matches'!$A:$AD,AK$2,0)</f>
        <v>#N/A</v>
      </c>
      <c r="AL537" t="e">
        <f>VLOOKUP($AC537,'oddspedia-matches'!$A:$AD,AL$2,0)</f>
        <v>#N/A</v>
      </c>
      <c r="AM537" t="e">
        <f>VLOOKUP($AC537,'oddspedia-matches'!$A:$AD,AM$2,0)</f>
        <v>#N/A</v>
      </c>
      <c r="AN537" t="e">
        <f>VLOOKUP($AC537,'oddspedia-matches'!$A:$AD,AN$2,0)</f>
        <v>#N/A</v>
      </c>
      <c r="AO537" t="e">
        <f>VLOOKUP($AC537,'oddspedia-matches'!$A:$AD,AO$2,0)</f>
        <v>#N/A</v>
      </c>
      <c r="AP537" t="e">
        <f>VLOOKUP($AC537,'oddspedia-matches'!$A:$AD,AP$2,0)</f>
        <v>#N/A</v>
      </c>
      <c r="AQ537" t="e">
        <f>VLOOKUP($AC537,'oddspedia-matches'!$A:$AD,AQ$2,0)</f>
        <v>#N/A</v>
      </c>
      <c r="AR537" t="e">
        <f>VLOOKUP($AC537,'oddspedia-matches'!$A:$AD,AR$2,0)</f>
        <v>#N/A</v>
      </c>
      <c r="AS537" t="e">
        <f>VLOOKUP($AC537,'oddspedia-matches'!$A:$AD,AS$2,0)</f>
        <v>#N/A</v>
      </c>
      <c r="AT537" t="e">
        <f>VLOOKUP($AC537,'oddspedia-matches'!$A:$AD,AT$2,0)</f>
        <v>#N/A</v>
      </c>
    </row>
    <row r="538" spans="2:46" x14ac:dyDescent="0.25">
      <c r="B538" t="s">
        <v>665</v>
      </c>
      <c r="C538" t="s">
        <v>1249</v>
      </c>
      <c r="D538" s="25">
        <v>0.83333333333333337</v>
      </c>
      <c r="E538" t="s">
        <v>720</v>
      </c>
      <c r="F538" t="s">
        <v>718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>
        <v>0</v>
      </c>
      <c r="Y538">
        <v>0</v>
      </c>
      <c r="AA538" t="str">
        <f>VLOOKUP(E538,'Transform table'!A:B,2,0)</f>
        <v>CA Atlanta</v>
      </c>
      <c r="AB538" t="str">
        <f>VLOOKUP(F538,'Transform table'!A:B,2,0)</f>
        <v>Club Almagro</v>
      </c>
      <c r="AC538" t="str">
        <f t="shared" si="8"/>
        <v>27/07/2026CA AtlantaClub Almagro</v>
      </c>
      <c r="AD538" t="e">
        <f>VLOOKUP($AC538,'oddspedia-matches'!$A:$AD,AD$2,0)</f>
        <v>#N/A</v>
      </c>
      <c r="AE538" t="e">
        <f>VLOOKUP($AC538,'oddspedia-matches'!$A:$AD,AE$2,0)</f>
        <v>#N/A</v>
      </c>
      <c r="AF538" t="e">
        <f>VLOOKUP($AC538,'oddspedia-matches'!$A:$AD,AF$2,0)</f>
        <v>#N/A</v>
      </c>
      <c r="AG538" t="e">
        <f>VLOOKUP($AC538,'oddspedia-matches'!$A:$AD,AG$2,0)</f>
        <v>#N/A</v>
      </c>
      <c r="AH538" t="e">
        <f>VLOOKUP($AC538,'oddspedia-matches'!$A:$AD,AH$2,0)</f>
        <v>#N/A</v>
      </c>
      <c r="AI538" t="e">
        <f>VLOOKUP($AC538,'oddspedia-matches'!$A:$AD,AI$2,0)</f>
        <v>#N/A</v>
      </c>
      <c r="AJ538" t="e">
        <f>VLOOKUP($AC538,'oddspedia-matches'!$A:$AD,AJ$2,0)</f>
        <v>#N/A</v>
      </c>
      <c r="AK538" t="e">
        <f>VLOOKUP($AC538,'oddspedia-matches'!$A:$AD,AK$2,0)</f>
        <v>#N/A</v>
      </c>
      <c r="AL538" t="e">
        <f>VLOOKUP($AC538,'oddspedia-matches'!$A:$AD,AL$2,0)</f>
        <v>#N/A</v>
      </c>
      <c r="AM538" t="e">
        <f>VLOOKUP($AC538,'oddspedia-matches'!$A:$AD,AM$2,0)</f>
        <v>#N/A</v>
      </c>
      <c r="AN538" t="e">
        <f>VLOOKUP($AC538,'oddspedia-matches'!$A:$AD,AN$2,0)</f>
        <v>#N/A</v>
      </c>
      <c r="AO538" t="e">
        <f>VLOOKUP($AC538,'oddspedia-matches'!$A:$AD,AO$2,0)</f>
        <v>#N/A</v>
      </c>
      <c r="AP538" t="e">
        <f>VLOOKUP($AC538,'oddspedia-matches'!$A:$AD,AP$2,0)</f>
        <v>#N/A</v>
      </c>
      <c r="AQ538" t="e">
        <f>VLOOKUP($AC538,'oddspedia-matches'!$A:$AD,AQ$2,0)</f>
        <v>#N/A</v>
      </c>
      <c r="AR538" t="e">
        <f>VLOOKUP($AC538,'oddspedia-matches'!$A:$AD,AR$2,0)</f>
        <v>#N/A</v>
      </c>
      <c r="AS538" t="e">
        <f>VLOOKUP($AC538,'oddspedia-matches'!$A:$AD,AS$2,0)</f>
        <v>#N/A</v>
      </c>
      <c r="AT538" t="e">
        <f>VLOOKUP($AC538,'oddspedia-matches'!$A:$AD,AT$2,0)</f>
        <v>#N/A</v>
      </c>
    </row>
    <row r="539" spans="2:46" x14ac:dyDescent="0.25">
      <c r="B539" t="s">
        <v>746</v>
      </c>
      <c r="C539" t="s">
        <v>1249</v>
      </c>
      <c r="D539" s="25">
        <v>0.83333333333333337</v>
      </c>
      <c r="E539" t="s">
        <v>1293</v>
      </c>
      <c r="F539" t="s">
        <v>1294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">
        <v>22</v>
      </c>
      <c r="Y539" t="s">
        <v>22</v>
      </c>
      <c r="AA539" t="str">
        <f>VLOOKUP(E539,'Transform table'!A:B,2,0)</f>
        <v>Floriana</v>
      </c>
      <c r="AB539" t="e">
        <f>VLOOKUP(F539,'Transform table'!A:B,2,0)</f>
        <v>#N/A</v>
      </c>
      <c r="AC539" t="e">
        <f t="shared" si="8"/>
        <v>#N/A</v>
      </c>
      <c r="AD539" t="e">
        <f>VLOOKUP($AC539,'oddspedia-matches'!$A:$AD,AD$2,0)</f>
        <v>#N/A</v>
      </c>
      <c r="AE539" t="e">
        <f>VLOOKUP($AC539,'oddspedia-matches'!$A:$AD,AE$2,0)</f>
        <v>#N/A</v>
      </c>
      <c r="AF539" t="e">
        <f>VLOOKUP($AC539,'oddspedia-matches'!$A:$AD,AF$2,0)</f>
        <v>#N/A</v>
      </c>
      <c r="AG539" t="e">
        <f>VLOOKUP($AC539,'oddspedia-matches'!$A:$AD,AG$2,0)</f>
        <v>#N/A</v>
      </c>
      <c r="AH539" t="e">
        <f>VLOOKUP($AC539,'oddspedia-matches'!$A:$AD,AH$2,0)</f>
        <v>#N/A</v>
      </c>
      <c r="AI539" t="e">
        <f>VLOOKUP($AC539,'oddspedia-matches'!$A:$AD,AI$2,0)</f>
        <v>#N/A</v>
      </c>
      <c r="AJ539" t="e">
        <f>VLOOKUP($AC539,'oddspedia-matches'!$A:$AD,AJ$2,0)</f>
        <v>#N/A</v>
      </c>
      <c r="AK539" t="e">
        <f>VLOOKUP($AC539,'oddspedia-matches'!$A:$AD,AK$2,0)</f>
        <v>#N/A</v>
      </c>
      <c r="AL539" t="e">
        <f>VLOOKUP($AC539,'oddspedia-matches'!$A:$AD,AL$2,0)</f>
        <v>#N/A</v>
      </c>
      <c r="AM539" t="e">
        <f>VLOOKUP($AC539,'oddspedia-matches'!$A:$AD,AM$2,0)</f>
        <v>#N/A</v>
      </c>
      <c r="AN539" t="e">
        <f>VLOOKUP($AC539,'oddspedia-matches'!$A:$AD,AN$2,0)</f>
        <v>#N/A</v>
      </c>
      <c r="AO539" t="e">
        <f>VLOOKUP($AC539,'oddspedia-matches'!$A:$AD,AO$2,0)</f>
        <v>#N/A</v>
      </c>
      <c r="AP539" t="e">
        <f>VLOOKUP($AC539,'oddspedia-matches'!$A:$AD,AP$2,0)</f>
        <v>#N/A</v>
      </c>
      <c r="AQ539" t="e">
        <f>VLOOKUP($AC539,'oddspedia-matches'!$A:$AD,AQ$2,0)</f>
        <v>#N/A</v>
      </c>
      <c r="AR539" t="e">
        <f>VLOOKUP($AC539,'oddspedia-matches'!$A:$AD,AR$2,0)</f>
        <v>#N/A</v>
      </c>
      <c r="AS539" t="e">
        <f>VLOOKUP($AC539,'oddspedia-matches'!$A:$AD,AS$2,0)</f>
        <v>#N/A</v>
      </c>
      <c r="AT539" t="e">
        <f>VLOOKUP($AC539,'oddspedia-matches'!$A:$AD,AT$2,0)</f>
        <v>#N/A</v>
      </c>
    </row>
    <row r="540" spans="2:46" x14ac:dyDescent="0.25">
      <c r="B540" t="s">
        <v>746</v>
      </c>
      <c r="C540" t="s">
        <v>1249</v>
      </c>
      <c r="D540" s="25">
        <v>0.83333333333333337</v>
      </c>
      <c r="E540" t="s">
        <v>1295</v>
      </c>
      <c r="F540" t="s">
        <v>1296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>
        <v>14.3</v>
      </c>
      <c r="Y540">
        <v>14.3</v>
      </c>
      <c r="AA540" t="str">
        <f>VLOOKUP(E540,'Transform table'!A:B,2,0)</f>
        <v>Guarani SC</v>
      </c>
      <c r="AB540" t="e">
        <f>VLOOKUP(F540,'Transform table'!A:B,2,0)</f>
        <v>#N/A</v>
      </c>
      <c r="AC540" t="e">
        <f t="shared" si="8"/>
        <v>#N/A</v>
      </c>
      <c r="AD540" t="e">
        <f>VLOOKUP($AC540,'oddspedia-matches'!$A:$AD,AD$2,0)</f>
        <v>#N/A</v>
      </c>
      <c r="AE540" t="e">
        <f>VLOOKUP($AC540,'oddspedia-matches'!$A:$AD,AE$2,0)</f>
        <v>#N/A</v>
      </c>
      <c r="AF540" t="e">
        <f>VLOOKUP($AC540,'oddspedia-matches'!$A:$AD,AF$2,0)</f>
        <v>#N/A</v>
      </c>
      <c r="AG540" t="e">
        <f>VLOOKUP($AC540,'oddspedia-matches'!$A:$AD,AG$2,0)</f>
        <v>#N/A</v>
      </c>
      <c r="AH540" t="e">
        <f>VLOOKUP($AC540,'oddspedia-matches'!$A:$AD,AH$2,0)</f>
        <v>#N/A</v>
      </c>
      <c r="AI540" t="e">
        <f>VLOOKUP($AC540,'oddspedia-matches'!$A:$AD,AI$2,0)</f>
        <v>#N/A</v>
      </c>
      <c r="AJ540" t="e">
        <f>VLOOKUP($AC540,'oddspedia-matches'!$A:$AD,AJ$2,0)</f>
        <v>#N/A</v>
      </c>
      <c r="AK540" t="e">
        <f>VLOOKUP($AC540,'oddspedia-matches'!$A:$AD,AK$2,0)</f>
        <v>#N/A</v>
      </c>
      <c r="AL540" t="e">
        <f>VLOOKUP($AC540,'oddspedia-matches'!$A:$AD,AL$2,0)</f>
        <v>#N/A</v>
      </c>
      <c r="AM540" t="e">
        <f>VLOOKUP($AC540,'oddspedia-matches'!$A:$AD,AM$2,0)</f>
        <v>#N/A</v>
      </c>
      <c r="AN540" t="e">
        <f>VLOOKUP($AC540,'oddspedia-matches'!$A:$AD,AN$2,0)</f>
        <v>#N/A</v>
      </c>
      <c r="AO540" t="e">
        <f>VLOOKUP($AC540,'oddspedia-matches'!$A:$AD,AO$2,0)</f>
        <v>#N/A</v>
      </c>
      <c r="AP540" t="e">
        <f>VLOOKUP($AC540,'oddspedia-matches'!$A:$AD,AP$2,0)</f>
        <v>#N/A</v>
      </c>
      <c r="AQ540" t="e">
        <f>VLOOKUP($AC540,'oddspedia-matches'!$A:$AD,AQ$2,0)</f>
        <v>#N/A</v>
      </c>
      <c r="AR540" t="e">
        <f>VLOOKUP($AC540,'oddspedia-matches'!$A:$AD,AR$2,0)</f>
        <v>#N/A</v>
      </c>
      <c r="AS540" t="e">
        <f>VLOOKUP($AC540,'oddspedia-matches'!$A:$AD,AS$2,0)</f>
        <v>#N/A</v>
      </c>
      <c r="AT540" t="e">
        <f>VLOOKUP($AC540,'oddspedia-matches'!$A:$AD,AT$2,0)</f>
        <v>#N/A</v>
      </c>
    </row>
    <row r="541" spans="2:46" x14ac:dyDescent="0.25">
      <c r="B541" t="s">
        <v>503</v>
      </c>
      <c r="C541" t="s">
        <v>1249</v>
      </c>
      <c r="D541" s="25">
        <v>0.83333333333333337</v>
      </c>
      <c r="E541" t="s">
        <v>185</v>
      </c>
      <c r="F541" t="s">
        <v>186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>
        <v>50</v>
      </c>
      <c r="Y541">
        <v>42.9</v>
      </c>
      <c r="AA541">
        <f>VLOOKUP(E541,'Transform table'!A:B,2,0)</f>
        <v>0</v>
      </c>
      <c r="AB541" t="e">
        <f>VLOOKUP(F541,'Transform table'!A:B,2,0)</f>
        <v>#N/A</v>
      </c>
      <c r="AC541" t="e">
        <f t="shared" si="8"/>
        <v>#N/A</v>
      </c>
      <c r="AD541" t="e">
        <f>VLOOKUP($AC541,'oddspedia-matches'!$A:$AD,AD$2,0)</f>
        <v>#N/A</v>
      </c>
      <c r="AE541" t="e">
        <f>VLOOKUP($AC541,'oddspedia-matches'!$A:$AD,AE$2,0)</f>
        <v>#N/A</v>
      </c>
      <c r="AF541" t="e">
        <f>VLOOKUP($AC541,'oddspedia-matches'!$A:$AD,AF$2,0)</f>
        <v>#N/A</v>
      </c>
      <c r="AG541" t="e">
        <f>VLOOKUP($AC541,'oddspedia-matches'!$A:$AD,AG$2,0)</f>
        <v>#N/A</v>
      </c>
      <c r="AH541" t="e">
        <f>VLOOKUP($AC541,'oddspedia-matches'!$A:$AD,AH$2,0)</f>
        <v>#N/A</v>
      </c>
      <c r="AI541" t="e">
        <f>VLOOKUP($AC541,'oddspedia-matches'!$A:$AD,AI$2,0)</f>
        <v>#N/A</v>
      </c>
      <c r="AJ541" t="e">
        <f>VLOOKUP($AC541,'oddspedia-matches'!$A:$AD,AJ$2,0)</f>
        <v>#N/A</v>
      </c>
      <c r="AK541" t="e">
        <f>VLOOKUP($AC541,'oddspedia-matches'!$A:$AD,AK$2,0)</f>
        <v>#N/A</v>
      </c>
      <c r="AL541" t="e">
        <f>VLOOKUP($AC541,'oddspedia-matches'!$A:$AD,AL$2,0)</f>
        <v>#N/A</v>
      </c>
      <c r="AM541" t="e">
        <f>VLOOKUP($AC541,'oddspedia-matches'!$A:$AD,AM$2,0)</f>
        <v>#N/A</v>
      </c>
      <c r="AN541" t="e">
        <f>VLOOKUP($AC541,'oddspedia-matches'!$A:$AD,AN$2,0)</f>
        <v>#N/A</v>
      </c>
      <c r="AO541" t="e">
        <f>VLOOKUP($AC541,'oddspedia-matches'!$A:$AD,AO$2,0)</f>
        <v>#N/A</v>
      </c>
      <c r="AP541" t="e">
        <f>VLOOKUP($AC541,'oddspedia-matches'!$A:$AD,AP$2,0)</f>
        <v>#N/A</v>
      </c>
      <c r="AQ541" t="e">
        <f>VLOOKUP($AC541,'oddspedia-matches'!$A:$AD,AQ$2,0)</f>
        <v>#N/A</v>
      </c>
      <c r="AR541" t="e">
        <f>VLOOKUP($AC541,'oddspedia-matches'!$A:$AD,AR$2,0)</f>
        <v>#N/A</v>
      </c>
      <c r="AS541" t="e">
        <f>VLOOKUP($AC541,'oddspedia-matches'!$A:$AD,AS$2,0)</f>
        <v>#N/A</v>
      </c>
      <c r="AT541" t="e">
        <f>VLOOKUP($AC541,'oddspedia-matches'!$A:$AD,AT$2,0)</f>
        <v>#N/A</v>
      </c>
    </row>
    <row r="542" spans="2:46" x14ac:dyDescent="0.25">
      <c r="B542" t="s">
        <v>506</v>
      </c>
      <c r="C542" t="s">
        <v>1249</v>
      </c>
      <c r="D542" s="25">
        <v>0.83333333333333337</v>
      </c>
      <c r="E542" t="s">
        <v>1297</v>
      </c>
      <c r="F542" t="s">
        <v>1298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>
        <v>12.5</v>
      </c>
      <c r="Y542">
        <v>42.9</v>
      </c>
      <c r="AA542" t="str">
        <f>VLOOKUP(E542,'Transform table'!A:B,2,0)</f>
        <v>Union de Touarga</v>
      </c>
      <c r="AB542" t="e">
        <f>VLOOKUP(F542,'Transform table'!A:B,2,0)</f>
        <v>#N/A</v>
      </c>
      <c r="AC542" t="e">
        <f t="shared" si="8"/>
        <v>#N/A</v>
      </c>
      <c r="AD542" t="e">
        <f>VLOOKUP($AC542,'oddspedia-matches'!$A:$AD,AD$2,0)</f>
        <v>#N/A</v>
      </c>
      <c r="AE542" t="e">
        <f>VLOOKUP($AC542,'oddspedia-matches'!$A:$AD,AE$2,0)</f>
        <v>#N/A</v>
      </c>
      <c r="AF542" t="e">
        <f>VLOOKUP($AC542,'oddspedia-matches'!$A:$AD,AF$2,0)</f>
        <v>#N/A</v>
      </c>
      <c r="AG542" t="e">
        <f>VLOOKUP($AC542,'oddspedia-matches'!$A:$AD,AG$2,0)</f>
        <v>#N/A</v>
      </c>
      <c r="AH542" t="e">
        <f>VLOOKUP($AC542,'oddspedia-matches'!$A:$AD,AH$2,0)</f>
        <v>#N/A</v>
      </c>
      <c r="AI542" t="e">
        <f>VLOOKUP($AC542,'oddspedia-matches'!$A:$AD,AI$2,0)</f>
        <v>#N/A</v>
      </c>
      <c r="AJ542" t="e">
        <f>VLOOKUP($AC542,'oddspedia-matches'!$A:$AD,AJ$2,0)</f>
        <v>#N/A</v>
      </c>
      <c r="AK542" t="e">
        <f>VLOOKUP($AC542,'oddspedia-matches'!$A:$AD,AK$2,0)</f>
        <v>#N/A</v>
      </c>
      <c r="AL542" t="e">
        <f>VLOOKUP($AC542,'oddspedia-matches'!$A:$AD,AL$2,0)</f>
        <v>#N/A</v>
      </c>
      <c r="AM542" t="e">
        <f>VLOOKUP($AC542,'oddspedia-matches'!$A:$AD,AM$2,0)</f>
        <v>#N/A</v>
      </c>
      <c r="AN542" t="e">
        <f>VLOOKUP($AC542,'oddspedia-matches'!$A:$AD,AN$2,0)</f>
        <v>#N/A</v>
      </c>
      <c r="AO542" t="e">
        <f>VLOOKUP($AC542,'oddspedia-matches'!$A:$AD,AO$2,0)</f>
        <v>#N/A</v>
      </c>
      <c r="AP542" t="e">
        <f>VLOOKUP($AC542,'oddspedia-matches'!$A:$AD,AP$2,0)</f>
        <v>#N/A</v>
      </c>
      <c r="AQ542" t="e">
        <f>VLOOKUP($AC542,'oddspedia-matches'!$A:$AD,AQ$2,0)</f>
        <v>#N/A</v>
      </c>
      <c r="AR542" t="e">
        <f>VLOOKUP($AC542,'oddspedia-matches'!$A:$AD,AR$2,0)</f>
        <v>#N/A</v>
      </c>
      <c r="AS542" t="e">
        <f>VLOOKUP($AC542,'oddspedia-matches'!$A:$AD,AS$2,0)</f>
        <v>#N/A</v>
      </c>
      <c r="AT542" t="e">
        <f>VLOOKUP($AC542,'oddspedia-matches'!$A:$AD,AT$2,0)</f>
        <v>#N/A</v>
      </c>
    </row>
    <row r="543" spans="2:46" x14ac:dyDescent="0.25">
      <c r="B543" t="s">
        <v>470</v>
      </c>
      <c r="C543" t="s">
        <v>1249</v>
      </c>
      <c r="D543" s="25">
        <v>0.875</v>
      </c>
      <c r="E543" t="s">
        <v>38</v>
      </c>
      <c r="F543" t="s">
        <v>118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>
        <v>20</v>
      </c>
      <c r="Y543">
        <v>0</v>
      </c>
      <c r="AA543" t="str">
        <f>VLOOKUP(E543,'Transform table'!A:B,2,0)</f>
        <v>Deportivo Cuenca</v>
      </c>
      <c r="AB543" t="str">
        <f>VLOOKUP(F543,'Transform table'!A:B,2,0)</f>
        <v>Emelec</v>
      </c>
      <c r="AC543" t="str">
        <f t="shared" si="8"/>
        <v>27/07/2026Deportivo CuencaEmelec</v>
      </c>
      <c r="AD543" t="e">
        <f>VLOOKUP($AC543,'oddspedia-matches'!$A:$AD,AD$2,0)</f>
        <v>#N/A</v>
      </c>
      <c r="AE543" t="e">
        <f>VLOOKUP($AC543,'oddspedia-matches'!$A:$AD,AE$2,0)</f>
        <v>#N/A</v>
      </c>
      <c r="AF543" t="e">
        <f>VLOOKUP($AC543,'oddspedia-matches'!$A:$AD,AF$2,0)</f>
        <v>#N/A</v>
      </c>
      <c r="AG543" t="e">
        <f>VLOOKUP($AC543,'oddspedia-matches'!$A:$AD,AG$2,0)</f>
        <v>#N/A</v>
      </c>
      <c r="AH543" t="e">
        <f>VLOOKUP($AC543,'oddspedia-matches'!$A:$AD,AH$2,0)</f>
        <v>#N/A</v>
      </c>
      <c r="AI543" t="e">
        <f>VLOOKUP($AC543,'oddspedia-matches'!$A:$AD,AI$2,0)</f>
        <v>#N/A</v>
      </c>
      <c r="AJ543" t="e">
        <f>VLOOKUP($AC543,'oddspedia-matches'!$A:$AD,AJ$2,0)</f>
        <v>#N/A</v>
      </c>
      <c r="AK543" t="e">
        <f>VLOOKUP($AC543,'oddspedia-matches'!$A:$AD,AK$2,0)</f>
        <v>#N/A</v>
      </c>
      <c r="AL543" t="e">
        <f>VLOOKUP($AC543,'oddspedia-matches'!$A:$AD,AL$2,0)</f>
        <v>#N/A</v>
      </c>
      <c r="AM543" t="e">
        <f>VLOOKUP($AC543,'oddspedia-matches'!$A:$AD,AM$2,0)</f>
        <v>#N/A</v>
      </c>
      <c r="AN543" t="e">
        <f>VLOOKUP($AC543,'oddspedia-matches'!$A:$AD,AN$2,0)</f>
        <v>#N/A</v>
      </c>
      <c r="AO543" t="e">
        <f>VLOOKUP($AC543,'oddspedia-matches'!$A:$AD,AO$2,0)</f>
        <v>#N/A</v>
      </c>
      <c r="AP543" t="e">
        <f>VLOOKUP($AC543,'oddspedia-matches'!$A:$AD,AP$2,0)</f>
        <v>#N/A</v>
      </c>
      <c r="AQ543" t="e">
        <f>VLOOKUP($AC543,'oddspedia-matches'!$A:$AD,AQ$2,0)</f>
        <v>#N/A</v>
      </c>
      <c r="AR543" t="e">
        <f>VLOOKUP($AC543,'oddspedia-matches'!$A:$AD,AR$2,0)</f>
        <v>#N/A</v>
      </c>
      <c r="AS543" t="e">
        <f>VLOOKUP($AC543,'oddspedia-matches'!$A:$AD,AS$2,0)</f>
        <v>#N/A</v>
      </c>
      <c r="AT543" t="e">
        <f>VLOOKUP($AC543,'oddspedia-matches'!$A:$AD,AT$2,0)</f>
        <v>#N/A</v>
      </c>
    </row>
    <row r="544" spans="2:46" x14ac:dyDescent="0.25">
      <c r="B544" t="s">
        <v>501</v>
      </c>
      <c r="C544" t="s">
        <v>1249</v>
      </c>
      <c r="D544" s="25">
        <v>0.89583333333333337</v>
      </c>
      <c r="E544" t="s">
        <v>1299</v>
      </c>
      <c r="F544" t="s">
        <v>1300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">
        <v>22</v>
      </c>
      <c r="Y544" t="s">
        <v>22</v>
      </c>
      <c r="AA544" t="str">
        <f>VLOOKUP(E544,'Transform table'!A:B,2,0)</f>
        <v>Atletico Argentino</v>
      </c>
      <c r="AB544" t="e">
        <f>VLOOKUP(F544,'Transform table'!A:B,2,0)</f>
        <v>#N/A</v>
      </c>
      <c r="AC544" t="e">
        <f t="shared" si="8"/>
        <v>#N/A</v>
      </c>
      <c r="AD544" t="e">
        <f>VLOOKUP($AC544,'oddspedia-matches'!$A:$AD,AD$2,0)</f>
        <v>#N/A</v>
      </c>
      <c r="AE544" t="e">
        <f>VLOOKUP($AC544,'oddspedia-matches'!$A:$AD,AE$2,0)</f>
        <v>#N/A</v>
      </c>
      <c r="AF544" t="e">
        <f>VLOOKUP($AC544,'oddspedia-matches'!$A:$AD,AF$2,0)</f>
        <v>#N/A</v>
      </c>
      <c r="AG544" t="e">
        <f>VLOOKUP($AC544,'oddspedia-matches'!$A:$AD,AG$2,0)</f>
        <v>#N/A</v>
      </c>
      <c r="AH544" t="e">
        <f>VLOOKUP($AC544,'oddspedia-matches'!$A:$AD,AH$2,0)</f>
        <v>#N/A</v>
      </c>
      <c r="AI544" t="e">
        <f>VLOOKUP($AC544,'oddspedia-matches'!$A:$AD,AI$2,0)</f>
        <v>#N/A</v>
      </c>
      <c r="AJ544" t="e">
        <f>VLOOKUP($AC544,'oddspedia-matches'!$A:$AD,AJ$2,0)</f>
        <v>#N/A</v>
      </c>
      <c r="AK544" t="e">
        <f>VLOOKUP($AC544,'oddspedia-matches'!$A:$AD,AK$2,0)</f>
        <v>#N/A</v>
      </c>
      <c r="AL544" t="e">
        <f>VLOOKUP($AC544,'oddspedia-matches'!$A:$AD,AL$2,0)</f>
        <v>#N/A</v>
      </c>
      <c r="AM544" t="e">
        <f>VLOOKUP($AC544,'oddspedia-matches'!$A:$AD,AM$2,0)</f>
        <v>#N/A</v>
      </c>
      <c r="AN544" t="e">
        <f>VLOOKUP($AC544,'oddspedia-matches'!$A:$AD,AN$2,0)</f>
        <v>#N/A</v>
      </c>
      <c r="AO544" t="e">
        <f>VLOOKUP($AC544,'oddspedia-matches'!$A:$AD,AO$2,0)</f>
        <v>#N/A</v>
      </c>
      <c r="AP544" t="e">
        <f>VLOOKUP($AC544,'oddspedia-matches'!$A:$AD,AP$2,0)</f>
        <v>#N/A</v>
      </c>
      <c r="AQ544" t="e">
        <f>VLOOKUP($AC544,'oddspedia-matches'!$A:$AD,AQ$2,0)</f>
        <v>#N/A</v>
      </c>
      <c r="AR544" t="e">
        <f>VLOOKUP($AC544,'oddspedia-matches'!$A:$AD,AR$2,0)</f>
        <v>#N/A</v>
      </c>
      <c r="AS544" t="e">
        <f>VLOOKUP($AC544,'oddspedia-matches'!$A:$AD,AS$2,0)</f>
        <v>#N/A</v>
      </c>
      <c r="AT544" t="e">
        <f>VLOOKUP($AC544,'oddspedia-matches'!$A:$AD,AT$2,0)</f>
        <v>#N/A</v>
      </c>
    </row>
    <row r="545" spans="2:46" x14ac:dyDescent="0.25">
      <c r="B545" t="s">
        <v>507</v>
      </c>
      <c r="C545" t="s">
        <v>1249</v>
      </c>
      <c r="D545" s="25">
        <v>0.9375</v>
      </c>
      <c r="E545" t="s">
        <v>1301</v>
      </c>
      <c r="F545" t="s">
        <v>1302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>
        <v>0</v>
      </c>
      <c r="Y545">
        <v>12.5</v>
      </c>
      <c r="AA545" t="str">
        <f>VLOOKUP(E545,'Transform table'!A:B,2,0)</f>
        <v>Torque</v>
      </c>
      <c r="AB545" t="e">
        <f>VLOOKUP(F545,'Transform table'!A:B,2,0)</f>
        <v>#N/A</v>
      </c>
      <c r="AC545" t="e">
        <f t="shared" si="8"/>
        <v>#N/A</v>
      </c>
      <c r="AD545" t="e">
        <f>VLOOKUP($AC545,'oddspedia-matches'!$A:$AD,AD$2,0)</f>
        <v>#N/A</v>
      </c>
      <c r="AE545" t="e">
        <f>VLOOKUP($AC545,'oddspedia-matches'!$A:$AD,AE$2,0)</f>
        <v>#N/A</v>
      </c>
      <c r="AF545" t="e">
        <f>VLOOKUP($AC545,'oddspedia-matches'!$A:$AD,AF$2,0)</f>
        <v>#N/A</v>
      </c>
      <c r="AG545" t="e">
        <f>VLOOKUP($AC545,'oddspedia-matches'!$A:$AD,AG$2,0)</f>
        <v>#N/A</v>
      </c>
      <c r="AH545" t="e">
        <f>VLOOKUP($AC545,'oddspedia-matches'!$A:$AD,AH$2,0)</f>
        <v>#N/A</v>
      </c>
      <c r="AI545" t="e">
        <f>VLOOKUP($AC545,'oddspedia-matches'!$A:$AD,AI$2,0)</f>
        <v>#N/A</v>
      </c>
      <c r="AJ545" t="e">
        <f>VLOOKUP($AC545,'oddspedia-matches'!$A:$AD,AJ$2,0)</f>
        <v>#N/A</v>
      </c>
      <c r="AK545" t="e">
        <f>VLOOKUP($AC545,'oddspedia-matches'!$A:$AD,AK$2,0)</f>
        <v>#N/A</v>
      </c>
      <c r="AL545" t="e">
        <f>VLOOKUP($AC545,'oddspedia-matches'!$A:$AD,AL$2,0)</f>
        <v>#N/A</v>
      </c>
      <c r="AM545" t="e">
        <f>VLOOKUP($AC545,'oddspedia-matches'!$A:$AD,AM$2,0)</f>
        <v>#N/A</v>
      </c>
      <c r="AN545" t="e">
        <f>VLOOKUP($AC545,'oddspedia-matches'!$A:$AD,AN$2,0)</f>
        <v>#N/A</v>
      </c>
      <c r="AO545" t="e">
        <f>VLOOKUP($AC545,'oddspedia-matches'!$A:$AD,AO$2,0)</f>
        <v>#N/A</v>
      </c>
      <c r="AP545" t="e">
        <f>VLOOKUP($AC545,'oddspedia-matches'!$A:$AD,AP$2,0)</f>
        <v>#N/A</v>
      </c>
      <c r="AQ545" t="e">
        <f>VLOOKUP($AC545,'oddspedia-matches'!$A:$AD,AQ$2,0)</f>
        <v>#N/A</v>
      </c>
      <c r="AR545" t="e">
        <f>VLOOKUP($AC545,'oddspedia-matches'!$A:$AD,AR$2,0)</f>
        <v>#N/A</v>
      </c>
      <c r="AS545" t="e">
        <f>VLOOKUP($AC545,'oddspedia-matches'!$A:$AD,AS$2,0)</f>
        <v>#N/A</v>
      </c>
      <c r="AT545" t="e">
        <f>VLOOKUP($AC545,'oddspedia-matches'!$A:$AD,AT$2,0)</f>
        <v>#N/A</v>
      </c>
    </row>
  </sheetData>
  <autoFilter ref="A3:AT545" xr:uid="{00000000-0001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5546875" defaultRowHeight="15" x14ac:dyDescent="0.25"/>
  <cols>
    <col min="1" max="1" width="8.85546875" style="1"/>
    <col min="2" max="2" width="26" style="1" bestFit="1" customWidth="1"/>
    <col min="3" max="3" width="10.28515625" style="1" bestFit="1" customWidth="1"/>
    <col min="4" max="4" width="8.140625" style="1" bestFit="1" customWidth="1"/>
    <col min="5" max="5" width="20.28515625" style="1" bestFit="1" customWidth="1"/>
    <col min="6" max="6" width="24.28515625" style="1" bestFit="1" customWidth="1"/>
    <col min="7" max="7" width="16.7109375" style="1" customWidth="1"/>
    <col min="8" max="8" width="16" style="1" customWidth="1"/>
    <col min="9" max="9" width="12.5703125" style="1" customWidth="1"/>
    <col min="10" max="10" width="11.85546875" style="1" customWidth="1"/>
    <col min="11" max="11" width="10.28515625" style="1" bestFit="1" customWidth="1"/>
    <col min="12" max="12" width="8.140625" style="1" bestFit="1" customWidth="1"/>
    <col min="13" max="13" width="22.5703125" style="1" bestFit="1" customWidth="1"/>
    <col min="14" max="16384" width="8.85546875" style="1"/>
  </cols>
  <sheetData>
    <row r="1" spans="1:13" x14ac:dyDescent="0.25">
      <c r="A1" s="5" t="s">
        <v>818</v>
      </c>
      <c r="B1" s="5" t="s">
        <v>819</v>
      </c>
      <c r="C1" s="5" t="s">
        <v>351</v>
      </c>
      <c r="D1" s="6" t="s">
        <v>350</v>
      </c>
      <c r="E1" s="6" t="s">
        <v>349</v>
      </c>
      <c r="F1" s="6" t="s">
        <v>348</v>
      </c>
      <c r="G1" s="6" t="s">
        <v>347</v>
      </c>
      <c r="H1" s="6" t="s">
        <v>346</v>
      </c>
      <c r="I1" s="6" t="s">
        <v>345</v>
      </c>
      <c r="J1" s="6" t="s">
        <v>344</v>
      </c>
      <c r="K1" s="6" t="s">
        <v>874</v>
      </c>
      <c r="L1" s="6" t="s">
        <v>352</v>
      </c>
      <c r="M1" s="24"/>
    </row>
    <row r="2" spans="1:13" x14ac:dyDescent="0.25">
      <c r="A2" t="s">
        <v>843</v>
      </c>
      <c r="B2" t="s">
        <v>851</v>
      </c>
      <c r="C2" s="2">
        <v>46223</v>
      </c>
      <c r="D2" s="3">
        <v>0.58333333333333337</v>
      </c>
      <c r="E2" t="s">
        <v>301</v>
      </c>
      <c r="F2" t="s">
        <v>300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25">
      <c r="A3" t="s">
        <v>861</v>
      </c>
      <c r="B3" t="s">
        <v>856</v>
      </c>
      <c r="C3" s="2">
        <v>46223</v>
      </c>
      <c r="D3" s="3">
        <v>0.60416666666666663</v>
      </c>
      <c r="E3" t="s">
        <v>289</v>
      </c>
      <c r="F3" t="s">
        <v>288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25">
      <c r="A4" t="s">
        <v>852</v>
      </c>
      <c r="B4" t="s">
        <v>853</v>
      </c>
      <c r="C4" s="2">
        <v>46223</v>
      </c>
      <c r="D4" s="3">
        <v>0.625</v>
      </c>
      <c r="E4" t="s">
        <v>299</v>
      </c>
      <c r="F4" t="s">
        <v>298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25">
      <c r="A5" t="s">
        <v>858</v>
      </c>
      <c r="B5" t="s">
        <v>859</v>
      </c>
      <c r="C5" s="2">
        <v>46223</v>
      </c>
      <c r="D5" s="3">
        <v>0.625</v>
      </c>
      <c r="E5" t="s">
        <v>293</v>
      </c>
      <c r="F5" t="s">
        <v>292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25">
      <c r="A6" t="s">
        <v>862</v>
      </c>
      <c r="B6" t="s">
        <v>864</v>
      </c>
      <c r="C6" s="2">
        <v>46223</v>
      </c>
      <c r="D6" s="3">
        <v>0.625</v>
      </c>
      <c r="E6" t="s">
        <v>249</v>
      </c>
      <c r="F6" t="s">
        <v>284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25">
      <c r="A7" t="s">
        <v>852</v>
      </c>
      <c r="B7" t="s">
        <v>854</v>
      </c>
      <c r="C7" s="2">
        <v>46223</v>
      </c>
      <c r="D7" s="3">
        <v>0.64583333333333337</v>
      </c>
      <c r="E7" t="s">
        <v>297</v>
      </c>
      <c r="F7" t="s">
        <v>296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25">
      <c r="A8" t="s">
        <v>869</v>
      </c>
      <c r="B8" t="s">
        <v>870</v>
      </c>
      <c r="C8" s="2">
        <v>46223</v>
      </c>
      <c r="D8" s="3">
        <v>0.64583333333333337</v>
      </c>
      <c r="E8" t="s">
        <v>277</v>
      </c>
      <c r="F8" t="s">
        <v>276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25">
      <c r="A9" t="s">
        <v>862</v>
      </c>
      <c r="B9" t="s">
        <v>863</v>
      </c>
      <c r="C9" s="2">
        <v>46223</v>
      </c>
      <c r="D9" s="3">
        <v>0.65625</v>
      </c>
      <c r="E9" t="s">
        <v>285</v>
      </c>
      <c r="F9" t="s">
        <v>146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25">
      <c r="A10" t="s">
        <v>852</v>
      </c>
      <c r="B10" t="s">
        <v>853</v>
      </c>
      <c r="C10" s="2">
        <v>46223</v>
      </c>
      <c r="D10" s="3">
        <v>0.66666666666666663</v>
      </c>
      <c r="E10" t="s">
        <v>252</v>
      </c>
      <c r="F10" t="s">
        <v>253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25">
      <c r="A11" t="s">
        <v>858</v>
      </c>
      <c r="B11" t="s">
        <v>859</v>
      </c>
      <c r="C11" s="2">
        <v>46223</v>
      </c>
      <c r="D11" s="3">
        <v>0.66666666666666663</v>
      </c>
      <c r="E11" t="s">
        <v>254</v>
      </c>
      <c r="F11" t="s">
        <v>255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25">
      <c r="A12" t="s">
        <v>858</v>
      </c>
      <c r="B12" t="s">
        <v>860</v>
      </c>
      <c r="C12" s="2">
        <v>46223</v>
      </c>
      <c r="D12" s="3">
        <v>0.66666666666666663</v>
      </c>
      <c r="E12" t="s">
        <v>291</v>
      </c>
      <c r="F12" t="s">
        <v>290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25">
      <c r="A13" t="s">
        <v>867</v>
      </c>
      <c r="B13" t="s">
        <v>868</v>
      </c>
      <c r="C13" s="2">
        <v>46223</v>
      </c>
      <c r="D13" s="3">
        <v>0.66666666666666663</v>
      </c>
      <c r="E13" t="s">
        <v>279</v>
      </c>
      <c r="F13" t="s">
        <v>278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25">
      <c r="A14" t="s">
        <v>849</v>
      </c>
      <c r="B14" t="s">
        <v>850</v>
      </c>
      <c r="C14" s="2">
        <v>46223</v>
      </c>
      <c r="D14" s="3">
        <v>0.67708333333333337</v>
      </c>
      <c r="E14" t="s">
        <v>306</v>
      </c>
      <c r="F14" t="s">
        <v>305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25">
      <c r="A15" t="s">
        <v>871</v>
      </c>
      <c r="B15" t="s">
        <v>872</v>
      </c>
      <c r="C15" s="2">
        <v>46223</v>
      </c>
      <c r="D15" s="3">
        <v>0.6875</v>
      </c>
      <c r="E15" t="s">
        <v>273</v>
      </c>
      <c r="F15" t="s">
        <v>272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25">
      <c r="A16" t="s">
        <v>845</v>
      </c>
      <c r="B16" t="s">
        <v>846</v>
      </c>
      <c r="C16" s="2">
        <v>46223</v>
      </c>
      <c r="D16" s="3">
        <v>0.70833333333333337</v>
      </c>
      <c r="E16" t="s">
        <v>343</v>
      </c>
      <c r="F16" t="s">
        <v>342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25">
      <c r="A17" t="s">
        <v>845</v>
      </c>
      <c r="B17" t="s">
        <v>846</v>
      </c>
      <c r="C17" s="2">
        <v>46223</v>
      </c>
      <c r="D17" s="3">
        <v>0.70833333333333337</v>
      </c>
      <c r="E17" t="s">
        <v>148</v>
      </c>
      <c r="F17" t="s">
        <v>260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25">
      <c r="A18" t="s">
        <v>845</v>
      </c>
      <c r="B18" t="s">
        <v>873</v>
      </c>
      <c r="C18" s="2">
        <v>46223</v>
      </c>
      <c r="D18" s="3">
        <v>0.70833333333333337</v>
      </c>
      <c r="E18" t="s">
        <v>271</v>
      </c>
      <c r="F18" t="s">
        <v>270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25">
      <c r="A19" t="s">
        <v>824</v>
      </c>
      <c r="B19" t="s">
        <v>825</v>
      </c>
      <c r="C19" s="2">
        <v>46223</v>
      </c>
      <c r="D19" s="3">
        <v>0.75</v>
      </c>
      <c r="E19" t="s">
        <v>341</v>
      </c>
      <c r="F19" t="s">
        <v>340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25">
      <c r="A20" t="s">
        <v>824</v>
      </c>
      <c r="B20" t="s">
        <v>825</v>
      </c>
      <c r="C20" s="2">
        <v>46223</v>
      </c>
      <c r="D20" s="3">
        <v>0.75</v>
      </c>
      <c r="E20" t="s">
        <v>339</v>
      </c>
      <c r="F20" t="s">
        <v>338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25">
      <c r="A21" t="s">
        <v>824</v>
      </c>
      <c r="B21" t="s">
        <v>825</v>
      </c>
      <c r="C21" s="2">
        <v>46223</v>
      </c>
      <c r="D21" s="3">
        <v>0.75</v>
      </c>
      <c r="E21" t="s">
        <v>337</v>
      </c>
      <c r="F21" t="s">
        <v>336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25">
      <c r="A22" t="s">
        <v>824</v>
      </c>
      <c r="B22" t="s">
        <v>825</v>
      </c>
      <c r="C22" s="2">
        <v>46223</v>
      </c>
      <c r="D22" s="3">
        <v>0.75</v>
      </c>
      <c r="E22" t="s">
        <v>335</v>
      </c>
      <c r="F22" t="s">
        <v>334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25">
      <c r="A23" t="s">
        <v>824</v>
      </c>
      <c r="B23" t="s">
        <v>826</v>
      </c>
      <c r="C23" s="2">
        <v>46223</v>
      </c>
      <c r="D23" s="3">
        <v>0.75</v>
      </c>
      <c r="E23" t="s">
        <v>323</v>
      </c>
      <c r="F23" t="s">
        <v>322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25">
      <c r="A24" t="s">
        <v>824</v>
      </c>
      <c r="B24" t="s">
        <v>826</v>
      </c>
      <c r="C24" s="2">
        <v>46223</v>
      </c>
      <c r="D24" s="3">
        <v>0.75</v>
      </c>
      <c r="E24" t="s">
        <v>321</v>
      </c>
      <c r="F24" t="s">
        <v>320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25">
      <c r="A25" t="s">
        <v>824</v>
      </c>
      <c r="B25" t="s">
        <v>826</v>
      </c>
      <c r="C25" s="2">
        <v>46223</v>
      </c>
      <c r="D25" s="3">
        <v>0.75</v>
      </c>
      <c r="E25" t="s">
        <v>319</v>
      </c>
      <c r="F25" t="s">
        <v>318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25">
      <c r="A26" t="s">
        <v>824</v>
      </c>
      <c r="B26" t="s">
        <v>826</v>
      </c>
      <c r="C26" s="2">
        <v>46223</v>
      </c>
      <c r="D26" s="3">
        <v>0.75</v>
      </c>
      <c r="E26" t="s">
        <v>317</v>
      </c>
      <c r="F26" t="s">
        <v>316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25">
      <c r="A27" t="s">
        <v>824</v>
      </c>
      <c r="B27" t="s">
        <v>826</v>
      </c>
      <c r="C27" s="2">
        <v>46223</v>
      </c>
      <c r="D27" s="3">
        <v>0.75</v>
      </c>
      <c r="E27" t="s">
        <v>315</v>
      </c>
      <c r="F27" t="s">
        <v>314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25">
      <c r="A28" t="s">
        <v>822</v>
      </c>
      <c r="B28" t="s">
        <v>848</v>
      </c>
      <c r="C28" s="2">
        <v>46223</v>
      </c>
      <c r="D28" s="3">
        <v>0.75</v>
      </c>
      <c r="E28" t="s">
        <v>308</v>
      </c>
      <c r="F28" t="s">
        <v>307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25">
      <c r="A29" t="s">
        <v>849</v>
      </c>
      <c r="B29" t="s">
        <v>850</v>
      </c>
      <c r="C29" s="2">
        <v>46223</v>
      </c>
      <c r="D29" s="3">
        <v>0.77083333333333337</v>
      </c>
      <c r="E29" t="s">
        <v>304</v>
      </c>
      <c r="F29" t="s">
        <v>303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25">
      <c r="A30" t="s">
        <v>861</v>
      </c>
      <c r="B30" t="s">
        <v>856</v>
      </c>
      <c r="C30" s="2">
        <v>46223</v>
      </c>
      <c r="D30" s="3">
        <v>0.77083333333333337</v>
      </c>
      <c r="E30" t="s">
        <v>287</v>
      </c>
      <c r="F30" t="s">
        <v>286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25">
      <c r="A31" t="s">
        <v>869</v>
      </c>
      <c r="B31" t="s">
        <v>870</v>
      </c>
      <c r="C31" s="2">
        <v>46223</v>
      </c>
      <c r="D31" s="3">
        <v>0.77083333333333337</v>
      </c>
      <c r="E31" t="s">
        <v>275</v>
      </c>
      <c r="F31" t="s">
        <v>274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25">
      <c r="A32" t="s">
        <v>833</v>
      </c>
      <c r="B32" t="s">
        <v>834</v>
      </c>
      <c r="C32" s="2">
        <v>46223</v>
      </c>
      <c r="D32" s="3">
        <v>0.79166666666666663</v>
      </c>
      <c r="E32" t="s">
        <v>313</v>
      </c>
      <c r="F32" t="s">
        <v>312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25">
      <c r="A33" t="s">
        <v>841</v>
      </c>
      <c r="B33" t="s">
        <v>842</v>
      </c>
      <c r="C33" s="2">
        <v>46223</v>
      </c>
      <c r="D33" s="3">
        <v>0.79166666666666663</v>
      </c>
      <c r="E33" t="s">
        <v>119</v>
      </c>
      <c r="F33" t="s">
        <v>302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25">
      <c r="A34" t="s">
        <v>855</v>
      </c>
      <c r="B34" t="s">
        <v>856</v>
      </c>
      <c r="C34" s="2">
        <v>46223</v>
      </c>
      <c r="D34" s="3">
        <v>0.80208333333333337</v>
      </c>
      <c r="E34" t="s">
        <v>295</v>
      </c>
      <c r="F34" t="s">
        <v>265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25">
      <c r="A35" t="s">
        <v>855</v>
      </c>
      <c r="B35" t="s">
        <v>856</v>
      </c>
      <c r="C35" s="2">
        <v>46223</v>
      </c>
      <c r="D35" s="3">
        <v>0.80208333333333337</v>
      </c>
      <c r="E35" t="s">
        <v>170</v>
      </c>
      <c r="F35" t="s">
        <v>266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25">
      <c r="A36" t="s">
        <v>855</v>
      </c>
      <c r="B36" t="s">
        <v>857</v>
      </c>
      <c r="C36" s="2">
        <v>46223</v>
      </c>
      <c r="D36" s="3">
        <v>0.80208333333333337</v>
      </c>
      <c r="E36" t="s">
        <v>294</v>
      </c>
      <c r="F36" t="s">
        <v>267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25">
      <c r="A37" t="s">
        <v>865</v>
      </c>
      <c r="B37" t="s">
        <v>866</v>
      </c>
      <c r="C37" s="2">
        <v>46223</v>
      </c>
      <c r="D37" s="3">
        <v>0.83333333333333337</v>
      </c>
      <c r="E37" t="s">
        <v>283</v>
      </c>
      <c r="F37" t="s">
        <v>282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25">
      <c r="A38" t="s">
        <v>822</v>
      </c>
      <c r="B38" t="s">
        <v>847</v>
      </c>
      <c r="C38" s="2">
        <v>46223</v>
      </c>
      <c r="D38" s="3">
        <v>0.91666666666666663</v>
      </c>
      <c r="E38" t="s">
        <v>310</v>
      </c>
      <c r="F38" t="s">
        <v>309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25">
      <c r="A39" t="s">
        <v>824</v>
      </c>
      <c r="B39" t="s">
        <v>825</v>
      </c>
      <c r="C39" s="2">
        <v>46223</v>
      </c>
      <c r="D39" s="3">
        <v>0.95833333333333337</v>
      </c>
      <c r="E39" t="s">
        <v>333</v>
      </c>
      <c r="F39" t="s">
        <v>332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25">
      <c r="A40" t="s">
        <v>824</v>
      </c>
      <c r="B40" t="s">
        <v>825</v>
      </c>
      <c r="C40" s="2">
        <v>46223</v>
      </c>
      <c r="D40" s="3">
        <v>0.95833333333333337</v>
      </c>
      <c r="E40" t="s">
        <v>331</v>
      </c>
      <c r="F40" t="s">
        <v>330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25">
      <c r="A41" t="s">
        <v>824</v>
      </c>
      <c r="B41" t="s">
        <v>825</v>
      </c>
      <c r="C41" s="2">
        <v>46223</v>
      </c>
      <c r="D41" s="3">
        <v>0.95833333333333337</v>
      </c>
      <c r="E41" t="s">
        <v>329</v>
      </c>
      <c r="F41" t="s">
        <v>328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25">
      <c r="A42" t="s">
        <v>833</v>
      </c>
      <c r="B42" t="s">
        <v>834</v>
      </c>
      <c r="C42" s="2">
        <v>46223</v>
      </c>
      <c r="D42" s="3">
        <v>0.95833333333333337</v>
      </c>
      <c r="E42" t="s">
        <v>311</v>
      </c>
      <c r="F42" t="s">
        <v>269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25">
      <c r="A43" t="s">
        <v>824</v>
      </c>
      <c r="B43" t="s">
        <v>825</v>
      </c>
      <c r="C43" s="2">
        <v>46224</v>
      </c>
      <c r="D43" s="3">
        <v>0</v>
      </c>
      <c r="E43" t="s">
        <v>327</v>
      </c>
      <c r="F43" t="s">
        <v>326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25">
      <c r="A44" t="s">
        <v>865</v>
      </c>
      <c r="B44" t="s">
        <v>866</v>
      </c>
      <c r="C44" s="2">
        <v>46224</v>
      </c>
      <c r="D44" s="3">
        <v>0</v>
      </c>
      <c r="E44" t="s">
        <v>281</v>
      </c>
      <c r="F44" t="s">
        <v>280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25">
      <c r="A45" t="s">
        <v>824</v>
      </c>
      <c r="B45" t="s">
        <v>825</v>
      </c>
      <c r="C45" s="2">
        <v>46224</v>
      </c>
      <c r="D45" s="3">
        <v>2.0833333333333332E-2</v>
      </c>
      <c r="E45" t="s">
        <v>325</v>
      </c>
      <c r="F45" t="s">
        <v>324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25">
      <c r="A46" t="s">
        <v>837</v>
      </c>
      <c r="B46" t="s">
        <v>838</v>
      </c>
      <c r="C46" s="2">
        <v>46224</v>
      </c>
      <c r="D46" s="3">
        <v>0.33333333333333331</v>
      </c>
      <c r="E46" t="s">
        <v>404</v>
      </c>
      <c r="F46" t="s">
        <v>405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25">
      <c r="A47" t="s">
        <v>828</v>
      </c>
      <c r="B47" t="s">
        <v>831</v>
      </c>
      <c r="C47" s="2">
        <v>46224</v>
      </c>
      <c r="D47" s="3">
        <v>0.34375</v>
      </c>
      <c r="E47" t="s">
        <v>388</v>
      </c>
      <c r="F47" t="s">
        <v>389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25">
      <c r="A48" t="s">
        <v>828</v>
      </c>
      <c r="B48" t="s">
        <v>829</v>
      </c>
      <c r="C48" s="2">
        <v>46224</v>
      </c>
      <c r="D48" s="3">
        <v>0.39583333333333331</v>
      </c>
      <c r="E48" t="s">
        <v>384</v>
      </c>
      <c r="F48" t="s">
        <v>385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25">
      <c r="A49" t="s">
        <v>828</v>
      </c>
      <c r="B49" t="s">
        <v>832</v>
      </c>
      <c r="C49" s="2">
        <v>46224</v>
      </c>
      <c r="D49" s="3">
        <v>0.39583333333333331</v>
      </c>
      <c r="E49" t="s">
        <v>135</v>
      </c>
      <c r="F49" t="s">
        <v>390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25">
      <c r="A50" t="s">
        <v>828</v>
      </c>
      <c r="B50" t="s">
        <v>832</v>
      </c>
      <c r="C50" s="2">
        <v>46224</v>
      </c>
      <c r="D50" s="3">
        <v>0.39583333333333331</v>
      </c>
      <c r="E50" t="s">
        <v>391</v>
      </c>
      <c r="F50" t="s">
        <v>392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25">
      <c r="A51" t="s">
        <v>828</v>
      </c>
      <c r="B51" t="s">
        <v>830</v>
      </c>
      <c r="C51" s="2">
        <v>46224</v>
      </c>
      <c r="D51" s="3">
        <v>0.41666666666666669</v>
      </c>
      <c r="E51" t="s">
        <v>386</v>
      </c>
      <c r="F51" t="s">
        <v>387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25">
      <c r="A52" t="s">
        <v>828</v>
      </c>
      <c r="B52" t="s">
        <v>832</v>
      </c>
      <c r="C52" s="2">
        <v>46224</v>
      </c>
      <c r="D52" s="3">
        <v>0.41666666666666669</v>
      </c>
      <c r="E52" t="s">
        <v>393</v>
      </c>
      <c r="F52" t="s">
        <v>394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25">
      <c r="A53" t="s">
        <v>828</v>
      </c>
      <c r="B53" t="s">
        <v>832</v>
      </c>
      <c r="C53" s="2">
        <v>46224</v>
      </c>
      <c r="D53" s="3">
        <v>0.4375</v>
      </c>
      <c r="E53" t="s">
        <v>395</v>
      </c>
      <c r="F53" t="s">
        <v>396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25">
      <c r="A54" t="s">
        <v>837</v>
      </c>
      <c r="B54" t="s">
        <v>838</v>
      </c>
      <c r="C54" s="2">
        <v>46224</v>
      </c>
      <c r="D54" s="3">
        <v>0.45833333333333331</v>
      </c>
      <c r="E54" t="s">
        <v>406</v>
      </c>
      <c r="F54" t="s">
        <v>407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25">
      <c r="A55" t="s">
        <v>837</v>
      </c>
      <c r="B55" t="s">
        <v>838</v>
      </c>
      <c r="C55" s="2">
        <v>46224</v>
      </c>
      <c r="D55" s="3">
        <v>0.4826388888888889</v>
      </c>
      <c r="E55" t="s">
        <v>408</v>
      </c>
      <c r="F55" t="s">
        <v>409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25">
      <c r="A56" t="s">
        <v>837</v>
      </c>
      <c r="B56" t="s">
        <v>838</v>
      </c>
      <c r="C56" s="2">
        <v>46224</v>
      </c>
      <c r="D56" s="3">
        <v>0.4826388888888889</v>
      </c>
      <c r="E56" t="s">
        <v>410</v>
      </c>
      <c r="F56" t="s">
        <v>411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25">
      <c r="A57" t="s">
        <v>837</v>
      </c>
      <c r="B57" t="s">
        <v>838</v>
      </c>
      <c r="C57" s="2">
        <v>46224</v>
      </c>
      <c r="D57" s="3">
        <v>0.4826388888888889</v>
      </c>
      <c r="E57" t="s">
        <v>412</v>
      </c>
      <c r="F57" t="s">
        <v>413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25">
      <c r="A58" t="s">
        <v>837</v>
      </c>
      <c r="B58" t="s">
        <v>838</v>
      </c>
      <c r="C58" s="2">
        <v>46224</v>
      </c>
      <c r="D58" s="3">
        <v>0.5</v>
      </c>
      <c r="E58" t="s">
        <v>414</v>
      </c>
      <c r="F58" t="s">
        <v>415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25">
      <c r="A59" t="s">
        <v>837</v>
      </c>
      <c r="B59" t="s">
        <v>838</v>
      </c>
      <c r="C59" s="2">
        <v>46224</v>
      </c>
      <c r="D59" s="3">
        <v>0.5</v>
      </c>
      <c r="E59" t="s">
        <v>416</v>
      </c>
      <c r="F59" t="s">
        <v>417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25">
      <c r="A60" t="s">
        <v>820</v>
      </c>
      <c r="B60" t="s">
        <v>821</v>
      </c>
      <c r="C60" s="2">
        <v>46224</v>
      </c>
      <c r="D60" s="3">
        <v>0.54166666666666663</v>
      </c>
      <c r="E60" t="s">
        <v>353</v>
      </c>
      <c r="F60" t="s">
        <v>354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25">
      <c r="A61" t="s">
        <v>820</v>
      </c>
      <c r="B61" t="s">
        <v>821</v>
      </c>
      <c r="C61" s="2">
        <v>46224</v>
      </c>
      <c r="D61" s="3">
        <v>0.66666666666666663</v>
      </c>
      <c r="E61" t="s">
        <v>355</v>
      </c>
      <c r="F61" t="s">
        <v>356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25">
      <c r="A62" t="s">
        <v>820</v>
      </c>
      <c r="B62" t="s">
        <v>821</v>
      </c>
      <c r="C62" s="2">
        <v>46224</v>
      </c>
      <c r="D62" s="3">
        <v>0.66666666666666663</v>
      </c>
      <c r="E62" t="s">
        <v>357</v>
      </c>
      <c r="F62" t="s">
        <v>358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25">
      <c r="A63" t="s">
        <v>820</v>
      </c>
      <c r="B63" t="s">
        <v>821</v>
      </c>
      <c r="C63" s="2">
        <v>46224</v>
      </c>
      <c r="D63" s="3">
        <v>0.66666666666666663</v>
      </c>
      <c r="E63" t="s">
        <v>353</v>
      </c>
      <c r="F63" t="s">
        <v>359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25">
      <c r="A64" t="s">
        <v>820</v>
      </c>
      <c r="B64" t="s">
        <v>821</v>
      </c>
      <c r="C64" s="2">
        <v>46224</v>
      </c>
      <c r="D64" s="3">
        <v>0.66666666666666663</v>
      </c>
      <c r="E64" t="s">
        <v>360</v>
      </c>
      <c r="F64" t="s">
        <v>361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25">
      <c r="A65" t="s">
        <v>820</v>
      </c>
      <c r="B65" t="s">
        <v>821</v>
      </c>
      <c r="C65" s="2">
        <v>46224</v>
      </c>
      <c r="D65" s="3">
        <v>0.70833333333333337</v>
      </c>
      <c r="E65" t="s">
        <v>362</v>
      </c>
      <c r="F65" t="s">
        <v>363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25">
      <c r="A66" t="s">
        <v>843</v>
      </c>
      <c r="B66" t="s">
        <v>844</v>
      </c>
      <c r="C66" s="2">
        <v>46224</v>
      </c>
      <c r="D66" s="3">
        <v>0.70833333333333337</v>
      </c>
      <c r="E66" t="s">
        <v>435</v>
      </c>
      <c r="F66" t="s">
        <v>436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25">
      <c r="A67" t="s">
        <v>843</v>
      </c>
      <c r="B67" t="s">
        <v>844</v>
      </c>
      <c r="C67" s="2">
        <v>46224</v>
      </c>
      <c r="D67" s="3">
        <v>0.72916666666666663</v>
      </c>
      <c r="E67" t="s">
        <v>437</v>
      </c>
      <c r="F67" t="s">
        <v>438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25">
      <c r="A68" t="s">
        <v>820</v>
      </c>
      <c r="B68" t="s">
        <v>821</v>
      </c>
      <c r="C68" s="2">
        <v>46224</v>
      </c>
      <c r="D68" s="3">
        <v>0.75</v>
      </c>
      <c r="E68" t="s">
        <v>364</v>
      </c>
      <c r="F68" t="s">
        <v>365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25">
      <c r="A69" t="s">
        <v>820</v>
      </c>
      <c r="B69" t="s">
        <v>821</v>
      </c>
      <c r="C69" s="2">
        <v>46224</v>
      </c>
      <c r="D69" s="3">
        <v>0.75</v>
      </c>
      <c r="E69" t="s">
        <v>366</v>
      </c>
      <c r="F69" t="s">
        <v>367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25">
      <c r="A70" t="s">
        <v>824</v>
      </c>
      <c r="B70" t="s">
        <v>825</v>
      </c>
      <c r="C70" s="2">
        <v>46224</v>
      </c>
      <c r="D70" s="3">
        <v>0.75</v>
      </c>
      <c r="E70" t="s">
        <v>376</v>
      </c>
      <c r="F70" t="s">
        <v>377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25">
      <c r="A71" t="s">
        <v>824</v>
      </c>
      <c r="B71" t="s">
        <v>826</v>
      </c>
      <c r="C71" s="2">
        <v>46224</v>
      </c>
      <c r="D71" s="3">
        <v>0.75</v>
      </c>
      <c r="E71" t="s">
        <v>380</v>
      </c>
      <c r="F71" t="s">
        <v>381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25">
      <c r="A72" t="s">
        <v>822</v>
      </c>
      <c r="B72" t="s">
        <v>836</v>
      </c>
      <c r="C72" s="2">
        <v>46224</v>
      </c>
      <c r="D72" s="3">
        <v>0.75</v>
      </c>
      <c r="E72" t="s">
        <v>439</v>
      </c>
      <c r="F72" t="s">
        <v>440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25">
      <c r="A73" t="s">
        <v>820</v>
      </c>
      <c r="B73" t="s">
        <v>821</v>
      </c>
      <c r="C73" s="2">
        <v>46224</v>
      </c>
      <c r="D73" s="3">
        <v>0.77083333333333337</v>
      </c>
      <c r="E73" t="s">
        <v>368</v>
      </c>
      <c r="F73" t="s">
        <v>369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25">
      <c r="A74" t="s">
        <v>820</v>
      </c>
      <c r="B74" t="s">
        <v>821</v>
      </c>
      <c r="C74" s="2">
        <v>46224</v>
      </c>
      <c r="D74" s="3">
        <v>0.78125</v>
      </c>
      <c r="E74" t="s">
        <v>370</v>
      </c>
      <c r="F74" t="s">
        <v>371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25">
      <c r="A75" t="s">
        <v>820</v>
      </c>
      <c r="B75" t="s">
        <v>821</v>
      </c>
      <c r="C75" s="2">
        <v>46224</v>
      </c>
      <c r="D75" s="3">
        <v>0.79166666666666663</v>
      </c>
      <c r="E75" t="s">
        <v>372</v>
      </c>
      <c r="F75" t="s">
        <v>373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25">
      <c r="A76" t="s">
        <v>820</v>
      </c>
      <c r="B76" t="s">
        <v>821</v>
      </c>
      <c r="C76" s="2">
        <v>46224</v>
      </c>
      <c r="D76" s="3">
        <v>0.79166666666666663</v>
      </c>
      <c r="E76" t="s">
        <v>169</v>
      </c>
      <c r="F76" t="s">
        <v>374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25">
      <c r="A77" t="s">
        <v>824</v>
      </c>
      <c r="B77" t="s">
        <v>827</v>
      </c>
      <c r="C77" s="2">
        <v>46224</v>
      </c>
      <c r="D77" s="3">
        <v>0.875</v>
      </c>
      <c r="E77" t="s">
        <v>382</v>
      </c>
      <c r="F77" t="s">
        <v>383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25">
      <c r="A78" t="s">
        <v>839</v>
      </c>
      <c r="B78" t="s">
        <v>840</v>
      </c>
      <c r="C78" s="2">
        <v>46224</v>
      </c>
      <c r="D78" s="3">
        <v>0.875</v>
      </c>
      <c r="E78" t="s">
        <v>418</v>
      </c>
      <c r="F78" t="s">
        <v>191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25">
      <c r="A79" t="s">
        <v>841</v>
      </c>
      <c r="B79" t="s">
        <v>842</v>
      </c>
      <c r="C79" s="2">
        <v>46224</v>
      </c>
      <c r="D79" s="3">
        <v>0.89583333333333337</v>
      </c>
      <c r="E79" t="s">
        <v>431</v>
      </c>
      <c r="F79" t="s">
        <v>432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25">
      <c r="A80" t="s">
        <v>824</v>
      </c>
      <c r="B80" t="s">
        <v>825</v>
      </c>
      <c r="C80" s="2">
        <v>46224</v>
      </c>
      <c r="D80" s="3">
        <v>0.91666666666666663</v>
      </c>
      <c r="E80" t="s">
        <v>378</v>
      </c>
      <c r="F80" t="s">
        <v>379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25">
      <c r="A81" t="s">
        <v>839</v>
      </c>
      <c r="B81" t="s">
        <v>840</v>
      </c>
      <c r="C81" s="2">
        <v>46224</v>
      </c>
      <c r="D81" s="3">
        <v>0.91666666666666663</v>
      </c>
      <c r="E81" t="s">
        <v>419</v>
      </c>
      <c r="F81" t="s">
        <v>420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25">
      <c r="A82" t="s">
        <v>822</v>
      </c>
      <c r="B82" t="s">
        <v>823</v>
      </c>
      <c r="C82" s="2">
        <v>46224</v>
      </c>
      <c r="D82" s="3">
        <v>0.9375</v>
      </c>
      <c r="E82" t="s">
        <v>375</v>
      </c>
      <c r="F82" t="s">
        <v>233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25">
      <c r="A83" t="s">
        <v>822</v>
      </c>
      <c r="B83" t="s">
        <v>835</v>
      </c>
      <c r="C83" s="2">
        <v>46224</v>
      </c>
      <c r="D83" s="3">
        <v>0.9375</v>
      </c>
      <c r="E83" t="s">
        <v>398</v>
      </c>
      <c r="F83" t="s">
        <v>399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25">
      <c r="A84" t="s">
        <v>822</v>
      </c>
      <c r="B84" t="s">
        <v>835</v>
      </c>
      <c r="C84" s="2">
        <v>46224</v>
      </c>
      <c r="D84" s="3">
        <v>0.9375</v>
      </c>
      <c r="E84" t="s">
        <v>400</v>
      </c>
      <c r="F84" t="s">
        <v>401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25">
      <c r="A85" t="s">
        <v>833</v>
      </c>
      <c r="B85" t="s">
        <v>834</v>
      </c>
      <c r="C85" s="2">
        <v>46224</v>
      </c>
      <c r="D85" s="3">
        <v>0.95833333333333337</v>
      </c>
      <c r="E85" t="s">
        <v>238</v>
      </c>
      <c r="F85" t="s">
        <v>397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25">
      <c r="A86" t="s">
        <v>839</v>
      </c>
      <c r="B86" t="s">
        <v>840</v>
      </c>
      <c r="C86" s="2">
        <v>46224</v>
      </c>
      <c r="D86" s="3">
        <v>0.95833333333333337</v>
      </c>
      <c r="E86" t="s">
        <v>421</v>
      </c>
      <c r="F86" t="s">
        <v>422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25">
      <c r="A87" t="s">
        <v>839</v>
      </c>
      <c r="B87" t="s">
        <v>840</v>
      </c>
      <c r="C87" s="2">
        <v>46224</v>
      </c>
      <c r="D87" s="3">
        <v>0.95833333333333337</v>
      </c>
      <c r="E87" t="s">
        <v>423</v>
      </c>
      <c r="F87" t="s">
        <v>424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25">
      <c r="A88" t="s">
        <v>839</v>
      </c>
      <c r="B88" t="s">
        <v>840</v>
      </c>
      <c r="C88" s="2">
        <v>46225</v>
      </c>
      <c r="D88" s="3">
        <v>0</v>
      </c>
      <c r="E88" t="s">
        <v>425</v>
      </c>
      <c r="F88" t="s">
        <v>426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25">
      <c r="A89" t="s">
        <v>839</v>
      </c>
      <c r="B89" t="s">
        <v>840</v>
      </c>
      <c r="C89" s="2">
        <v>46225</v>
      </c>
      <c r="D89" s="3">
        <v>0</v>
      </c>
      <c r="E89" t="s">
        <v>427</v>
      </c>
      <c r="F89" t="s">
        <v>428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25">
      <c r="A90" t="s">
        <v>841</v>
      </c>
      <c r="B90" t="s">
        <v>842</v>
      </c>
      <c r="C90" s="2">
        <v>46225</v>
      </c>
      <c r="D90" s="3">
        <v>0</v>
      </c>
      <c r="E90" t="s">
        <v>433</v>
      </c>
      <c r="F90" t="s">
        <v>434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25">
      <c r="A91" t="s">
        <v>839</v>
      </c>
      <c r="B91" t="s">
        <v>840</v>
      </c>
      <c r="C91" s="2">
        <v>46225</v>
      </c>
      <c r="D91" s="3">
        <v>2.0833333333333332E-2</v>
      </c>
      <c r="E91" t="s">
        <v>429</v>
      </c>
      <c r="F91" t="s">
        <v>430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25">
      <c r="A92" t="s">
        <v>822</v>
      </c>
      <c r="B92" t="s">
        <v>835</v>
      </c>
      <c r="C92" s="2">
        <v>46225</v>
      </c>
      <c r="D92" s="3">
        <v>2.4305555555555556E-2</v>
      </c>
      <c r="E92" t="s">
        <v>402</v>
      </c>
      <c r="F92" t="s">
        <v>403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25">
      <c r="A93" t="s">
        <v>828</v>
      </c>
      <c r="B93" t="s">
        <v>927</v>
      </c>
      <c r="C93" s="2">
        <v>46225</v>
      </c>
      <c r="D93" s="3">
        <v>0.3125</v>
      </c>
      <c r="E93" t="s">
        <v>928</v>
      </c>
      <c r="F93" t="s">
        <v>929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25">
      <c r="A94" t="s">
        <v>828</v>
      </c>
      <c r="B94" t="s">
        <v>911</v>
      </c>
      <c r="C94" s="2">
        <v>46225</v>
      </c>
      <c r="D94" s="3">
        <v>0.375</v>
      </c>
      <c r="E94" t="s">
        <v>912</v>
      </c>
      <c r="F94" t="s">
        <v>21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25">
      <c r="A95" t="s">
        <v>828</v>
      </c>
      <c r="B95" t="s">
        <v>831</v>
      </c>
      <c r="C95" s="2">
        <v>46225</v>
      </c>
      <c r="D95" s="3">
        <v>0.375</v>
      </c>
      <c r="E95" t="s">
        <v>914</v>
      </c>
      <c r="F95" t="s">
        <v>915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25">
      <c r="A96" t="s">
        <v>828</v>
      </c>
      <c r="B96" t="s">
        <v>916</v>
      </c>
      <c r="C96" s="2">
        <v>46225</v>
      </c>
      <c r="D96" s="3">
        <v>0.375</v>
      </c>
      <c r="E96" t="s">
        <v>917</v>
      </c>
      <c r="F96" t="s">
        <v>918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25">
      <c r="A97" t="s">
        <v>828</v>
      </c>
      <c r="B97" t="s">
        <v>829</v>
      </c>
      <c r="C97" s="2">
        <v>46225</v>
      </c>
      <c r="D97" s="3">
        <v>0.39583333333333331</v>
      </c>
      <c r="E97" t="s">
        <v>910</v>
      </c>
      <c r="F97" t="s">
        <v>24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25">
      <c r="A98" t="s">
        <v>828</v>
      </c>
      <c r="B98" t="s">
        <v>832</v>
      </c>
      <c r="C98" s="2">
        <v>46225</v>
      </c>
      <c r="D98" s="3">
        <v>0.39583333333333331</v>
      </c>
      <c r="E98" t="s">
        <v>921</v>
      </c>
      <c r="F98" t="s">
        <v>922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25">
      <c r="A99" t="s">
        <v>828</v>
      </c>
      <c r="B99" t="s">
        <v>832</v>
      </c>
      <c r="C99" s="2">
        <v>46225</v>
      </c>
      <c r="D99" s="3">
        <v>0.39583333333333331</v>
      </c>
      <c r="E99" t="s">
        <v>531</v>
      </c>
      <c r="F99" t="s">
        <v>923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25">
      <c r="A100" t="s">
        <v>828</v>
      </c>
      <c r="B100" t="s">
        <v>832</v>
      </c>
      <c r="C100" s="2">
        <v>46225</v>
      </c>
      <c r="D100" s="3">
        <v>0.39583333333333331</v>
      </c>
      <c r="E100" t="s">
        <v>560</v>
      </c>
      <c r="F100" t="s">
        <v>924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25">
      <c r="A101" t="s">
        <v>828</v>
      </c>
      <c r="B101" t="s">
        <v>832</v>
      </c>
      <c r="C101" s="2">
        <v>46225</v>
      </c>
      <c r="D101" s="3">
        <v>0.41666666666666669</v>
      </c>
      <c r="E101" t="s">
        <v>925</v>
      </c>
      <c r="F101" t="s">
        <v>926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25">
      <c r="A102" t="s">
        <v>828</v>
      </c>
      <c r="B102" t="s">
        <v>913</v>
      </c>
      <c r="C102" s="2">
        <v>46225</v>
      </c>
      <c r="D102" s="3">
        <v>0.42708333333333331</v>
      </c>
      <c r="E102" t="s">
        <v>25</v>
      </c>
      <c r="F102" t="s">
        <v>26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25">
      <c r="A103" t="s">
        <v>828</v>
      </c>
      <c r="B103" t="s">
        <v>916</v>
      </c>
      <c r="C103" s="2">
        <v>46225</v>
      </c>
      <c r="D103" s="3">
        <v>0.45833333333333331</v>
      </c>
      <c r="E103" t="s">
        <v>919</v>
      </c>
      <c r="F103" t="s">
        <v>920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25">
      <c r="A104" t="s">
        <v>824</v>
      </c>
      <c r="B104" t="s">
        <v>897</v>
      </c>
      <c r="C104" s="2">
        <v>46225</v>
      </c>
      <c r="D104" s="3">
        <v>0.58333333333333337</v>
      </c>
      <c r="E104" t="s">
        <v>898</v>
      </c>
      <c r="F104" t="s">
        <v>899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25">
      <c r="A105" t="s">
        <v>824</v>
      </c>
      <c r="B105" t="s">
        <v>897</v>
      </c>
      <c r="C105" s="2">
        <v>46225</v>
      </c>
      <c r="D105" s="3">
        <v>0.625</v>
      </c>
      <c r="E105" t="s">
        <v>900</v>
      </c>
      <c r="F105" t="s">
        <v>901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25">
      <c r="A106" t="s">
        <v>820</v>
      </c>
      <c r="B106" t="s">
        <v>821</v>
      </c>
      <c r="C106" s="2">
        <v>46225</v>
      </c>
      <c r="D106" s="3">
        <v>0.70833333333333337</v>
      </c>
      <c r="E106" t="s">
        <v>887</v>
      </c>
      <c r="F106" t="s">
        <v>888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25">
      <c r="A107" t="s">
        <v>820</v>
      </c>
      <c r="B107" t="s">
        <v>821</v>
      </c>
      <c r="C107" s="2">
        <v>46225</v>
      </c>
      <c r="D107" s="3">
        <v>0.72916666666666663</v>
      </c>
      <c r="E107" t="s">
        <v>889</v>
      </c>
      <c r="F107" t="s">
        <v>890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25">
      <c r="A108" t="s">
        <v>824</v>
      </c>
      <c r="B108" t="s">
        <v>897</v>
      </c>
      <c r="C108" s="2">
        <v>46225</v>
      </c>
      <c r="D108" s="3">
        <v>0.75</v>
      </c>
      <c r="E108" t="s">
        <v>902</v>
      </c>
      <c r="F108" t="s">
        <v>903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25">
      <c r="A109" t="s">
        <v>824</v>
      </c>
      <c r="B109" t="s">
        <v>897</v>
      </c>
      <c r="C109" s="2">
        <v>46225</v>
      </c>
      <c r="D109" s="3">
        <v>0.75</v>
      </c>
      <c r="E109" t="s">
        <v>904</v>
      </c>
      <c r="F109" t="s">
        <v>905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25">
      <c r="A110" t="s">
        <v>824</v>
      </c>
      <c r="B110" t="s">
        <v>897</v>
      </c>
      <c r="C110" s="2">
        <v>46225</v>
      </c>
      <c r="D110" s="3">
        <v>0.75</v>
      </c>
      <c r="E110" t="s">
        <v>906</v>
      </c>
      <c r="F110" t="s">
        <v>907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25">
      <c r="A111" t="s">
        <v>824</v>
      </c>
      <c r="B111" t="s">
        <v>897</v>
      </c>
      <c r="C111" s="2">
        <v>46225</v>
      </c>
      <c r="D111" s="3">
        <v>0.75</v>
      </c>
      <c r="E111" t="s">
        <v>908</v>
      </c>
      <c r="F111" t="s">
        <v>909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25">
      <c r="A112" t="s">
        <v>822</v>
      </c>
      <c r="B112" t="s">
        <v>935</v>
      </c>
      <c r="C112" s="2">
        <v>46225</v>
      </c>
      <c r="D112" s="3">
        <v>0.75</v>
      </c>
      <c r="E112" t="s">
        <v>936</v>
      </c>
      <c r="F112" t="s">
        <v>937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25">
      <c r="A113" t="s">
        <v>822</v>
      </c>
      <c r="B113" t="s">
        <v>935</v>
      </c>
      <c r="C113" s="2">
        <v>46225</v>
      </c>
      <c r="D113" s="3">
        <v>0.75</v>
      </c>
      <c r="E113" t="s">
        <v>938</v>
      </c>
      <c r="F113" t="s">
        <v>939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25">
      <c r="A114" t="s">
        <v>822</v>
      </c>
      <c r="B114" t="s">
        <v>935</v>
      </c>
      <c r="C114" s="2">
        <v>46225</v>
      </c>
      <c r="D114" s="3">
        <v>0.75</v>
      </c>
      <c r="E114" t="s">
        <v>940</v>
      </c>
      <c r="F114" t="s">
        <v>941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25">
      <c r="A115" t="s">
        <v>822</v>
      </c>
      <c r="B115" t="s">
        <v>935</v>
      </c>
      <c r="C115" s="2">
        <v>46225</v>
      </c>
      <c r="D115" s="3">
        <v>0.75</v>
      </c>
      <c r="E115" t="s">
        <v>942</v>
      </c>
      <c r="F115" t="s">
        <v>943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25">
      <c r="A116" t="s">
        <v>822</v>
      </c>
      <c r="B116" t="s">
        <v>836</v>
      </c>
      <c r="C116" s="2">
        <v>46225</v>
      </c>
      <c r="D116" s="3">
        <v>0.75</v>
      </c>
      <c r="E116" t="s">
        <v>946</v>
      </c>
      <c r="F116" t="s">
        <v>947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25">
      <c r="A117" t="s">
        <v>824</v>
      </c>
      <c r="B117" t="s">
        <v>897</v>
      </c>
      <c r="C117" s="2">
        <v>46225</v>
      </c>
      <c r="D117" s="3">
        <v>0.75002314814814819</v>
      </c>
      <c r="E117" t="s">
        <v>902</v>
      </c>
      <c r="F117" t="s">
        <v>903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25">
      <c r="A118" t="s">
        <v>820</v>
      </c>
      <c r="B118" t="s">
        <v>821</v>
      </c>
      <c r="C118" s="2">
        <v>46225</v>
      </c>
      <c r="D118" s="3">
        <v>0.79166666666666663</v>
      </c>
      <c r="E118" t="s">
        <v>891</v>
      </c>
      <c r="F118" t="s">
        <v>892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25">
      <c r="A119" t="s">
        <v>822</v>
      </c>
      <c r="B119" t="s">
        <v>823</v>
      </c>
      <c r="C119" s="2">
        <v>46225</v>
      </c>
      <c r="D119" s="3">
        <v>0.9375</v>
      </c>
      <c r="E119" t="s">
        <v>893</v>
      </c>
      <c r="F119" t="s">
        <v>42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25">
      <c r="A120" t="s">
        <v>822</v>
      </c>
      <c r="B120" t="s">
        <v>835</v>
      </c>
      <c r="C120" s="2">
        <v>46225</v>
      </c>
      <c r="D120" s="3">
        <v>0.9375</v>
      </c>
      <c r="E120" t="s">
        <v>930</v>
      </c>
      <c r="F120" t="s">
        <v>931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25">
      <c r="A121" t="s">
        <v>822</v>
      </c>
      <c r="B121" t="s">
        <v>835</v>
      </c>
      <c r="C121" s="2">
        <v>46225</v>
      </c>
      <c r="D121" s="3">
        <v>0.9375</v>
      </c>
      <c r="E121" t="s">
        <v>932</v>
      </c>
      <c r="F121" t="s">
        <v>46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25">
      <c r="A122" t="s">
        <v>822</v>
      </c>
      <c r="B122" t="s">
        <v>935</v>
      </c>
      <c r="C122" s="2">
        <v>46225</v>
      </c>
      <c r="D122" s="3">
        <v>0.95833333333333337</v>
      </c>
      <c r="E122" t="s">
        <v>944</v>
      </c>
      <c r="F122" t="s">
        <v>945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25">
      <c r="A123" t="s">
        <v>876</v>
      </c>
      <c r="B123" t="s">
        <v>877</v>
      </c>
      <c r="C123" s="2">
        <v>46225</v>
      </c>
      <c r="D123" s="3">
        <v>0.97916666666666663</v>
      </c>
      <c r="E123" t="s">
        <v>878</v>
      </c>
      <c r="F123" t="s">
        <v>879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25">
      <c r="A124" t="s">
        <v>876</v>
      </c>
      <c r="B124" t="s">
        <v>877</v>
      </c>
      <c r="C124" s="2">
        <v>46225</v>
      </c>
      <c r="D124" s="3">
        <v>0.97916666666666663</v>
      </c>
      <c r="E124" t="s">
        <v>55</v>
      </c>
      <c r="F124" t="s">
        <v>56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25">
      <c r="A125" t="s">
        <v>876</v>
      </c>
      <c r="B125" t="s">
        <v>877</v>
      </c>
      <c r="C125" s="2">
        <v>46225</v>
      </c>
      <c r="D125" s="3">
        <v>0.97916666666666663</v>
      </c>
      <c r="E125" t="s">
        <v>57</v>
      </c>
      <c r="F125" t="s">
        <v>58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25">
      <c r="A126" t="s">
        <v>876</v>
      </c>
      <c r="B126" t="s">
        <v>877</v>
      </c>
      <c r="C126" s="2">
        <v>46225</v>
      </c>
      <c r="D126" s="3">
        <v>0.97916666666666663</v>
      </c>
      <c r="E126" t="s">
        <v>59</v>
      </c>
      <c r="F126" t="s">
        <v>60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25">
      <c r="A127" t="s">
        <v>876</v>
      </c>
      <c r="B127" t="s">
        <v>877</v>
      </c>
      <c r="C127" s="2">
        <v>46225</v>
      </c>
      <c r="D127" s="3">
        <v>0.97916666666666663</v>
      </c>
      <c r="E127" t="s">
        <v>61</v>
      </c>
      <c r="F127" t="s">
        <v>62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25">
      <c r="A128" t="s">
        <v>822</v>
      </c>
      <c r="B128" t="s">
        <v>835</v>
      </c>
      <c r="C128" s="2">
        <v>46225</v>
      </c>
      <c r="D128" s="3">
        <v>0.97916666666666663</v>
      </c>
      <c r="E128" t="s">
        <v>933</v>
      </c>
      <c r="F128" t="s">
        <v>52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25">
      <c r="A129" t="s">
        <v>876</v>
      </c>
      <c r="B129" t="s">
        <v>877</v>
      </c>
      <c r="C129" s="2">
        <v>46226</v>
      </c>
      <c r="D129" s="3">
        <v>1.0416666666666666E-2</v>
      </c>
      <c r="E129" t="s">
        <v>65</v>
      </c>
      <c r="F129" t="s">
        <v>880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25">
      <c r="A130" t="s">
        <v>876</v>
      </c>
      <c r="B130" t="s">
        <v>877</v>
      </c>
      <c r="C130" s="2">
        <v>46226</v>
      </c>
      <c r="D130" s="3">
        <v>2.0833333333333332E-2</v>
      </c>
      <c r="E130" t="s">
        <v>77</v>
      </c>
      <c r="F130" t="s">
        <v>78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25">
      <c r="A131" t="s">
        <v>876</v>
      </c>
      <c r="B131" t="s">
        <v>877</v>
      </c>
      <c r="C131" s="2">
        <v>46226</v>
      </c>
      <c r="D131" s="3">
        <v>2.0833333333333332E-2</v>
      </c>
      <c r="E131" t="s">
        <v>881</v>
      </c>
      <c r="F131" t="s">
        <v>882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25">
      <c r="A132" t="s">
        <v>876</v>
      </c>
      <c r="B132" t="s">
        <v>877</v>
      </c>
      <c r="C132" s="2">
        <v>46226</v>
      </c>
      <c r="D132" s="3">
        <v>2.0833333333333332E-2</v>
      </c>
      <c r="E132" t="s">
        <v>81</v>
      </c>
      <c r="F132" t="s">
        <v>883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25">
      <c r="A133" t="s">
        <v>822</v>
      </c>
      <c r="B133" t="s">
        <v>823</v>
      </c>
      <c r="C133" s="2">
        <v>46226</v>
      </c>
      <c r="D133" s="3">
        <v>2.0833333333333332E-2</v>
      </c>
      <c r="E133" t="s">
        <v>67</v>
      </c>
      <c r="F133" t="s">
        <v>894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25">
      <c r="A134" t="s">
        <v>822</v>
      </c>
      <c r="B134" t="s">
        <v>823</v>
      </c>
      <c r="C134" s="2">
        <v>46226</v>
      </c>
      <c r="D134" s="3">
        <v>2.0833333333333332E-2</v>
      </c>
      <c r="E134" t="s">
        <v>69</v>
      </c>
      <c r="F134" t="s">
        <v>70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25">
      <c r="A135" t="s">
        <v>822</v>
      </c>
      <c r="B135" t="s">
        <v>823</v>
      </c>
      <c r="C135" s="2">
        <v>46226</v>
      </c>
      <c r="D135" s="3">
        <v>2.0833333333333332E-2</v>
      </c>
      <c r="E135" t="s">
        <v>895</v>
      </c>
      <c r="F135" t="s">
        <v>896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25">
      <c r="A136" t="s">
        <v>822</v>
      </c>
      <c r="B136" t="s">
        <v>835</v>
      </c>
      <c r="C136" s="2">
        <v>46226</v>
      </c>
      <c r="D136" s="3">
        <v>2.0833333333333332E-2</v>
      </c>
      <c r="E136" t="s">
        <v>73</v>
      </c>
      <c r="F136" t="s">
        <v>934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25">
      <c r="A137" t="s">
        <v>876</v>
      </c>
      <c r="B137" t="s">
        <v>877</v>
      </c>
      <c r="C137" s="2">
        <v>46226</v>
      </c>
      <c r="D137" s="3">
        <v>6.25E-2</v>
      </c>
      <c r="E137" t="s">
        <v>75</v>
      </c>
      <c r="F137" t="s">
        <v>76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25">
      <c r="A138" t="s">
        <v>876</v>
      </c>
      <c r="B138" t="s">
        <v>877</v>
      </c>
      <c r="C138" s="2">
        <v>46226</v>
      </c>
      <c r="D138" s="3">
        <v>6.25E-2</v>
      </c>
      <c r="E138" t="s">
        <v>87</v>
      </c>
      <c r="F138" t="s">
        <v>88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25">
      <c r="A139" t="s">
        <v>876</v>
      </c>
      <c r="B139" t="s">
        <v>877</v>
      </c>
      <c r="C139" s="2">
        <v>46226</v>
      </c>
      <c r="D139" s="3">
        <v>0.10416666666666667</v>
      </c>
      <c r="E139" t="s">
        <v>89</v>
      </c>
      <c r="F139" t="s">
        <v>884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25">
      <c r="A140" t="s">
        <v>876</v>
      </c>
      <c r="B140" t="s">
        <v>877</v>
      </c>
      <c r="C140" s="2">
        <v>46226</v>
      </c>
      <c r="D140" s="3">
        <v>0.10416666666666667</v>
      </c>
      <c r="E140" t="s">
        <v>91</v>
      </c>
      <c r="F140" t="s">
        <v>92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25">
      <c r="A141" t="s">
        <v>876</v>
      </c>
      <c r="B141" t="s">
        <v>877</v>
      </c>
      <c r="C141" s="2">
        <v>46226</v>
      </c>
      <c r="D141" s="3">
        <v>0.10416666666666667</v>
      </c>
      <c r="E141" t="s">
        <v>93</v>
      </c>
      <c r="F141" t="s">
        <v>885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25">
      <c r="A142" t="s">
        <v>876</v>
      </c>
      <c r="B142" t="s">
        <v>877</v>
      </c>
      <c r="C142" s="2">
        <v>46226</v>
      </c>
      <c r="D142" s="3">
        <v>0.10416666666666667</v>
      </c>
      <c r="E142" t="s">
        <v>95</v>
      </c>
      <c r="F142" t="s">
        <v>886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588"/>
  <sheetViews>
    <sheetView workbookViewId="0">
      <selection activeCell="C43" sqref="C43"/>
    </sheetView>
  </sheetViews>
  <sheetFormatPr defaultRowHeight="15" x14ac:dyDescent="0.25"/>
  <cols>
    <col min="2" max="2" width="14" bestFit="1" customWidth="1"/>
    <col min="3" max="3" width="28.140625" bestFit="1" customWidth="1"/>
    <col min="4" max="4" width="10.42578125" bestFit="1" customWidth="1"/>
    <col min="5" max="5" width="8.140625" bestFit="1" customWidth="1"/>
    <col min="6" max="6" width="31.85546875" bestFit="1" customWidth="1"/>
    <col min="7" max="7" width="35" bestFit="1" customWidth="1"/>
    <col min="8" max="8" width="14.7109375" bestFit="1" customWidth="1"/>
    <col min="9" max="9" width="14" bestFit="1" customWidth="1"/>
    <col min="10" max="10" width="10.42578125" bestFit="1" customWidth="1"/>
    <col min="11" max="11" width="9.7109375" bestFit="1" customWidth="1"/>
    <col min="12" max="12" width="10.42578125" bestFit="1" customWidth="1"/>
    <col min="13" max="13" width="8.140625" bestFit="1" customWidth="1"/>
    <col min="24" max="24" width="8.140625" bestFit="1" customWidth="1"/>
    <col min="25" max="28" width="5.42578125" bestFit="1" customWidth="1"/>
    <col min="29" max="29" width="8.7109375" bestFit="1" customWidth="1"/>
    <col min="30" max="30" width="9" bestFit="1" customWidth="1"/>
  </cols>
  <sheetData>
    <row r="1" spans="1:30" x14ac:dyDescent="0.25">
      <c r="A1" s="5" t="s">
        <v>444</v>
      </c>
      <c r="B1" s="5" t="s">
        <v>818</v>
      </c>
      <c r="C1" s="5" t="s">
        <v>819</v>
      </c>
      <c r="D1" s="5" t="s">
        <v>351</v>
      </c>
      <c r="E1" s="6" t="s">
        <v>350</v>
      </c>
      <c r="F1" s="6" t="s">
        <v>349</v>
      </c>
      <c r="G1" s="6" t="s">
        <v>348</v>
      </c>
      <c r="H1" s="6" t="s">
        <v>347</v>
      </c>
      <c r="I1" s="6" t="s">
        <v>346</v>
      </c>
      <c r="J1" s="6" t="s">
        <v>345</v>
      </c>
      <c r="K1" s="6" t="s">
        <v>344</v>
      </c>
      <c r="L1" s="6" t="s">
        <v>874</v>
      </c>
      <c r="M1" s="6" t="s">
        <v>352</v>
      </c>
      <c r="N1" s="27" t="s">
        <v>462</v>
      </c>
      <c r="O1" s="26" t="s">
        <v>441</v>
      </c>
      <c r="P1" s="26" t="s">
        <v>4</v>
      </c>
      <c r="Q1" s="26" t="s">
        <v>442</v>
      </c>
      <c r="R1" s="26" t="s">
        <v>5</v>
      </c>
      <c r="S1" s="26" t="s">
        <v>6</v>
      </c>
      <c r="T1" s="26" t="s">
        <v>443</v>
      </c>
      <c r="U1" s="26" t="s">
        <v>7</v>
      </c>
      <c r="V1" s="26" t="s">
        <v>8</v>
      </c>
      <c r="W1" s="26" t="s">
        <v>9</v>
      </c>
      <c r="X1" s="26" t="s">
        <v>2133</v>
      </c>
      <c r="Y1" s="26" t="s">
        <v>2134</v>
      </c>
      <c r="Z1" s="26" t="s">
        <v>2135</v>
      </c>
      <c r="AA1" s="26" t="s">
        <v>2136</v>
      </c>
      <c r="AB1" s="26" t="s">
        <v>2137</v>
      </c>
      <c r="AC1" s="26" t="s">
        <v>15</v>
      </c>
      <c r="AD1" s="26" t="s">
        <v>16</v>
      </c>
    </row>
    <row r="2" spans="1:30" x14ac:dyDescent="0.25">
      <c r="A2" t="str">
        <f>L2&amp;F2&amp;G2</f>
        <v>20/07/2026Hapoel Petah TikvaBnei Yehuda Tel Aviv</v>
      </c>
      <c r="D2" s="2">
        <v>46223</v>
      </c>
      <c r="E2" s="3">
        <v>0.33333333333333331</v>
      </c>
      <c r="F2" t="s">
        <v>1303</v>
      </c>
      <c r="G2" t="s">
        <v>1304</v>
      </c>
      <c r="H2">
        <v>1</v>
      </c>
      <c r="I2">
        <v>0</v>
      </c>
      <c r="J2">
        <v>1</v>
      </c>
      <c r="K2">
        <v>1</v>
      </c>
      <c r="L2" s="22" t="str">
        <f>DAY(D2)&amp;"/"&amp;"07"&amp;"/"&amp;YEAR(D2)</f>
        <v>20/07/2026</v>
      </c>
      <c r="M2" s="23">
        <f>E2-TIME(3,0,0)</f>
        <v>0.20833333333333331</v>
      </c>
      <c r="N2" t="str">
        <f>J2&amp;" - "&amp;K2</f>
        <v>1 - 1</v>
      </c>
      <c r="O2" t="str">
        <f>IF($J2&gt;$K2,"Green","Red")</f>
        <v>Red</v>
      </c>
      <c r="P2" t="str">
        <f>IF($J2=$K2,"Green","Red")</f>
        <v>Green</v>
      </c>
      <c r="Q2" t="str">
        <f>IF($J2&lt;$K2,"Green","Red")</f>
        <v>Red</v>
      </c>
      <c r="R2" t="str">
        <f>IF($J2&gt;=$K2,"Green","Red")</f>
        <v>Green</v>
      </c>
      <c r="S2" t="str">
        <f>IF($J2&lt;=$K2,"Green","Red")</f>
        <v>Green</v>
      </c>
      <c r="T2" t="str">
        <f>IF(OR($J2&gt;$K2,$J2&lt;$K2),"Green","Red")</f>
        <v>Red</v>
      </c>
      <c r="U2" t="str">
        <f>IF($H2&gt;$I2,"Green","Red")</f>
        <v>Green</v>
      </c>
      <c r="V2" t="str">
        <f>IF($H2=$I2,"Green","Red")</f>
        <v>Red</v>
      </c>
      <c r="W2" t="str">
        <f>IF($H2&lt;$I2,"Green","Red")</f>
        <v>Red</v>
      </c>
      <c r="X2" t="str">
        <f>IF($H2+$I2&gt;0,"Green","Red")</f>
        <v>Green</v>
      </c>
      <c r="Y2" t="str">
        <f>IF($J2+$K2&gt;1.5,"Green","Red")</f>
        <v>Green</v>
      </c>
      <c r="Z2" t="str">
        <f>IF($J2+$K2&gt;2.5,"Green","Red")</f>
        <v>Red</v>
      </c>
      <c r="AA2" t="str">
        <f>IF($J2+$K2&lt;2.5,"Green","Red")</f>
        <v>Green</v>
      </c>
      <c r="AB2" t="str">
        <f>IF($J2+$K2&lt;3.5,"Green","Red")</f>
        <v>Green</v>
      </c>
      <c r="AC2" t="str">
        <f>IF(AND($J2&gt;0,$K2&gt;0),"Green","Red")</f>
        <v>Green</v>
      </c>
      <c r="AD2" t="str">
        <f>IF(OR($J2=0,$K2=0),"Green","Red")</f>
        <v>Red</v>
      </c>
    </row>
    <row r="3" spans="1:30" x14ac:dyDescent="0.25">
      <c r="A3" t="str">
        <f t="shared" ref="A3:A66" si="0">L3&amp;F3&amp;G3</f>
        <v>20/07/2026Playford CityAdelaide United</v>
      </c>
      <c r="D3" s="2">
        <v>46223</v>
      </c>
      <c r="E3" s="3">
        <v>0.375</v>
      </c>
      <c r="F3" t="s">
        <v>1305</v>
      </c>
      <c r="G3" t="s">
        <v>1306</v>
      </c>
      <c r="H3">
        <v>0</v>
      </c>
      <c r="I3">
        <v>1</v>
      </c>
      <c r="J3">
        <v>0</v>
      </c>
      <c r="K3">
        <v>2</v>
      </c>
      <c r="L3" s="22" t="str">
        <f t="shared" ref="L3:L66" si="1">DAY(D3)&amp;"/"&amp;"07"&amp;"/"&amp;YEAR(D3)</f>
        <v>20/07/2026</v>
      </c>
      <c r="M3" s="23">
        <f t="shared" ref="M3:M66" si="2">E3-TIME(3,0,0)</f>
        <v>0.25</v>
      </c>
      <c r="N3" t="str">
        <f t="shared" ref="N3:N66" si="3">J3&amp;" - "&amp;K3</f>
        <v>0 - 2</v>
      </c>
      <c r="O3" t="str">
        <f t="shared" ref="O3:O66" si="4">IF($J3&gt;$K3,"Green","Red")</f>
        <v>Red</v>
      </c>
      <c r="P3" t="str">
        <f t="shared" ref="P3:P66" si="5">IF($J3=$K3,"Green","Red")</f>
        <v>Red</v>
      </c>
      <c r="Q3" t="str">
        <f t="shared" ref="Q3:Q66" si="6">IF($J3&lt;$K3,"Green","Red")</f>
        <v>Green</v>
      </c>
      <c r="R3" t="str">
        <f t="shared" ref="R3:R66" si="7">IF($J3&gt;=$K3,"Green","Red")</f>
        <v>Red</v>
      </c>
      <c r="S3" t="str">
        <f t="shared" ref="S3:S66" si="8">IF($J3&lt;=$K3,"Green","Red")</f>
        <v>Green</v>
      </c>
      <c r="T3" t="str">
        <f t="shared" ref="T3:T66" si="9">IF(OR($J3&gt;$K3,$J3&lt;$K3),"Green","Red")</f>
        <v>Green</v>
      </c>
      <c r="U3" t="str">
        <f t="shared" ref="U3:U66" si="10">IF($H3&gt;$I3,"Green","Red")</f>
        <v>Red</v>
      </c>
      <c r="V3" t="str">
        <f t="shared" ref="V3:V66" si="11">IF($H3=$I3,"Green","Red")</f>
        <v>Red</v>
      </c>
      <c r="W3" t="str">
        <f t="shared" ref="W3:W66" si="12">IF($H3&lt;$I3,"Green","Red")</f>
        <v>Green</v>
      </c>
      <c r="X3" t="str">
        <f t="shared" ref="X3:X66" si="13">IF($H3+$I3&gt;0,"Green","Red")</f>
        <v>Green</v>
      </c>
      <c r="Y3" t="str">
        <f t="shared" ref="Y3:Y66" si="14">IF($J3+$K3&gt;1.5,"Green","Red")</f>
        <v>Green</v>
      </c>
      <c r="Z3" t="str">
        <f t="shared" ref="Z3:Z66" si="15">IF($J3+$K3&gt;2.5,"Green","Red")</f>
        <v>Red</v>
      </c>
      <c r="AA3" t="str">
        <f t="shared" ref="AA3:AA66" si="16">IF($J3+$K3&lt;2.5,"Green","Red")</f>
        <v>Green</v>
      </c>
      <c r="AB3" t="str">
        <f t="shared" ref="AB3:AB66" si="17">IF($J3+$K3&lt;3.5,"Green","Red")</f>
        <v>Green</v>
      </c>
      <c r="AC3" t="str">
        <f t="shared" ref="AC3:AC66" si="18">IF(AND($J3&gt;0,$K3&gt;0),"Green","Red")</f>
        <v>Red</v>
      </c>
      <c r="AD3" t="str">
        <f t="shared" ref="AD3:AD66" si="19">IF(OR($J3=0,$K3=0),"Green","Red")</f>
        <v>Green</v>
      </c>
    </row>
    <row r="4" spans="1:30" x14ac:dyDescent="0.25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1307</v>
      </c>
      <c r="G4" t="s">
        <v>1308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25">
      <c r="A5" t="str">
        <f t="shared" si="0"/>
        <v>20/07/2026Brommapojkarna U19Kalmar U19</v>
      </c>
      <c r="B5" t="s">
        <v>845</v>
      </c>
      <c r="D5" s="2">
        <v>46223</v>
      </c>
      <c r="E5" s="3">
        <v>0.52083333333333337</v>
      </c>
      <c r="F5" t="s">
        <v>1309</v>
      </c>
      <c r="G5" t="s">
        <v>1310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25">
      <c r="A6" t="str">
        <f t="shared" si="0"/>
        <v>20/07/2026CD Recoleta WomenRubio Nu Women</v>
      </c>
      <c r="B6" t="s">
        <v>865</v>
      </c>
      <c r="C6" t="s">
        <v>1311</v>
      </c>
      <c r="D6" s="2">
        <v>46223</v>
      </c>
      <c r="E6" s="3">
        <v>0.54166666666666663</v>
      </c>
      <c r="F6" t="s">
        <v>1312</v>
      </c>
      <c r="G6" t="s">
        <v>1313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25">
      <c r="A7" t="str">
        <f t="shared" si="0"/>
        <v>20/07/2026Tartu JK Tammeka IIJK Tallinna Kalev II</v>
      </c>
      <c r="B7" t="s">
        <v>843</v>
      </c>
      <c r="C7" t="s">
        <v>851</v>
      </c>
      <c r="D7" s="2">
        <v>46223</v>
      </c>
      <c r="E7" s="3">
        <v>0.58333333333333337</v>
      </c>
      <c r="F7" t="s">
        <v>301</v>
      </c>
      <c r="G7" t="s">
        <v>300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25">
      <c r="A8" t="str">
        <f t="shared" si="0"/>
        <v>20/07/2026JwayaAl Ahed</v>
      </c>
      <c r="B8" t="s">
        <v>861</v>
      </c>
      <c r="C8" t="s">
        <v>856</v>
      </c>
      <c r="D8" s="2">
        <v>46223</v>
      </c>
      <c r="E8" s="3">
        <v>0.60416666666666663</v>
      </c>
      <c r="F8" t="s">
        <v>289</v>
      </c>
      <c r="G8" t="s">
        <v>288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25">
      <c r="A9" t="str">
        <f t="shared" si="0"/>
        <v>20/07/2026Turku PSIlves</v>
      </c>
      <c r="B9" t="s">
        <v>852</v>
      </c>
      <c r="C9" t="s">
        <v>853</v>
      </c>
      <c r="D9" s="2">
        <v>46223</v>
      </c>
      <c r="E9" s="3">
        <v>0.625</v>
      </c>
      <c r="F9" t="s">
        <v>299</v>
      </c>
      <c r="G9" t="s">
        <v>298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25">
      <c r="A10" t="str">
        <f t="shared" si="0"/>
        <v>20/07/2026JelgavaRigas Futbola Skola</v>
      </c>
      <c r="B10" t="s">
        <v>858</v>
      </c>
      <c r="C10" t="s">
        <v>859</v>
      </c>
      <c r="D10" s="2">
        <v>46223</v>
      </c>
      <c r="E10" s="3">
        <v>0.625</v>
      </c>
      <c r="F10" t="s">
        <v>293</v>
      </c>
      <c r="G10" t="s">
        <v>292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25">
      <c r="A11" t="str">
        <f t="shared" si="0"/>
        <v>20/07/2026FK Transinvest IINeptunas Klaipeda</v>
      </c>
      <c r="B11" t="s">
        <v>862</v>
      </c>
      <c r="C11" t="s">
        <v>864</v>
      </c>
      <c r="D11" s="2">
        <v>46223</v>
      </c>
      <c r="E11" s="3">
        <v>0.625</v>
      </c>
      <c r="F11" t="s">
        <v>249</v>
      </c>
      <c r="G11" t="s">
        <v>284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25">
      <c r="A12" t="str">
        <f t="shared" si="0"/>
        <v>20/07/2026KPV KokkolaRovaniemi PS</v>
      </c>
      <c r="B12" t="s">
        <v>852</v>
      </c>
      <c r="C12" t="s">
        <v>854</v>
      </c>
      <c r="D12" s="2">
        <v>46223</v>
      </c>
      <c r="E12" s="3">
        <v>0.64583333333333337</v>
      </c>
      <c r="F12" t="s">
        <v>297</v>
      </c>
      <c r="G12" t="s">
        <v>296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25">
      <c r="A13" t="str">
        <f t="shared" si="0"/>
        <v>20/07/2026HunedoaraCsikszereda Miercurea Ciuc</v>
      </c>
      <c r="B13" t="s">
        <v>869</v>
      </c>
      <c r="C13" t="s">
        <v>870</v>
      </c>
      <c r="D13" s="2">
        <v>46223</v>
      </c>
      <c r="E13" s="3">
        <v>0.64583333333333337</v>
      </c>
      <c r="F13" t="s">
        <v>277</v>
      </c>
      <c r="G13" t="s">
        <v>276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25">
      <c r="A14" t="str">
        <f t="shared" si="0"/>
        <v>20/07/2026FK Suduva MarijampoleHegelmann Litauen</v>
      </c>
      <c r="B14" t="s">
        <v>862</v>
      </c>
      <c r="C14" t="s">
        <v>863</v>
      </c>
      <c r="D14" s="2">
        <v>46223</v>
      </c>
      <c r="E14" s="3">
        <v>0.65625</v>
      </c>
      <c r="F14" t="s">
        <v>285</v>
      </c>
      <c r="G14" t="s">
        <v>146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25">
      <c r="A15" t="str">
        <f t="shared" si="0"/>
        <v>20/07/2026IFK MariehamnFC Lahti</v>
      </c>
      <c r="B15" t="s">
        <v>852</v>
      </c>
      <c r="C15" t="s">
        <v>853</v>
      </c>
      <c r="D15" s="2">
        <v>46223</v>
      </c>
      <c r="E15" s="3">
        <v>0.66666666666666663</v>
      </c>
      <c r="F15" t="s">
        <v>252</v>
      </c>
      <c r="G15" t="s">
        <v>253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25">
      <c r="A16" t="str">
        <f t="shared" si="0"/>
        <v>20/07/2026SK Super NovaSC Grobinas</v>
      </c>
      <c r="B16" t="s">
        <v>858</v>
      </c>
      <c r="C16" t="s">
        <v>859</v>
      </c>
      <c r="D16" s="2">
        <v>46223</v>
      </c>
      <c r="E16" s="3">
        <v>0.66666666666666663</v>
      </c>
      <c r="F16" t="s">
        <v>254</v>
      </c>
      <c r="G16" t="s">
        <v>255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25">
      <c r="A17" t="str">
        <f t="shared" si="0"/>
        <v>20/07/2026FK Tukums 2000 IIRigas Futbola Skola II</v>
      </c>
      <c r="B17" t="s">
        <v>858</v>
      </c>
      <c r="C17" t="s">
        <v>860</v>
      </c>
      <c r="D17" s="2">
        <v>46223</v>
      </c>
      <c r="E17" s="3">
        <v>0.66666666666666663</v>
      </c>
      <c r="F17" t="s">
        <v>291</v>
      </c>
      <c r="G17" t="s">
        <v>290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25">
      <c r="A18" t="str">
        <f t="shared" si="0"/>
        <v>20/07/2026Molinos El PirataDeportivo San Martin</v>
      </c>
      <c r="B18" t="s">
        <v>867</v>
      </c>
      <c r="C18" t="s">
        <v>868</v>
      </c>
      <c r="D18" s="2">
        <v>46223</v>
      </c>
      <c r="E18" s="3">
        <v>0.66666666666666663</v>
      </c>
      <c r="F18" t="s">
        <v>279</v>
      </c>
      <c r="G18" t="s">
        <v>278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25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1314</v>
      </c>
      <c r="G19" t="s">
        <v>1315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25">
      <c r="A20" t="str">
        <f t="shared" si="0"/>
        <v>20/07/2026LazioLazio U20</v>
      </c>
      <c r="D20" s="2">
        <v>46223</v>
      </c>
      <c r="E20" s="3">
        <v>0.66666666666666663</v>
      </c>
      <c r="F20" t="s">
        <v>1316</v>
      </c>
      <c r="G20" t="s">
        <v>1317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25">
      <c r="A21" t="str">
        <f t="shared" si="0"/>
        <v>20/07/2026SlaviaCSKA</v>
      </c>
      <c r="B21" t="s">
        <v>849</v>
      </c>
      <c r="C21" t="s">
        <v>850</v>
      </c>
      <c r="D21" s="2">
        <v>46223</v>
      </c>
      <c r="E21" s="3">
        <v>0.67708333333333337</v>
      </c>
      <c r="F21" t="s">
        <v>306</v>
      </c>
      <c r="G21" t="s">
        <v>305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25">
      <c r="A22" t="str">
        <f t="shared" si="0"/>
        <v>20/07/2026Rotor VolgogradEnergiya Khabarovsk</v>
      </c>
      <c r="B22" t="s">
        <v>871</v>
      </c>
      <c r="C22" t="s">
        <v>872</v>
      </c>
      <c r="D22" s="2">
        <v>46223</v>
      </c>
      <c r="E22" s="3">
        <v>0.6875</v>
      </c>
      <c r="F22" t="s">
        <v>273</v>
      </c>
      <c r="G22" t="s">
        <v>272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25">
      <c r="A23" t="str">
        <f t="shared" si="0"/>
        <v>20/07/2026KalmarMalmo</v>
      </c>
      <c r="B23" t="s">
        <v>845</v>
      </c>
      <c r="C23" t="s">
        <v>846</v>
      </c>
      <c r="D23" s="2">
        <v>46223</v>
      </c>
      <c r="E23" s="3">
        <v>0.70833333333333337</v>
      </c>
      <c r="F23" t="s">
        <v>343</v>
      </c>
      <c r="G23" t="s">
        <v>342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25">
      <c r="A24" t="str">
        <f t="shared" si="0"/>
        <v>20/07/2026Orgryte ISDjurgardens IF</v>
      </c>
      <c r="B24" t="s">
        <v>845</v>
      </c>
      <c r="C24" t="s">
        <v>846</v>
      </c>
      <c r="D24" s="2">
        <v>46223</v>
      </c>
      <c r="E24" s="3">
        <v>0.70833333333333337</v>
      </c>
      <c r="F24" t="s">
        <v>148</v>
      </c>
      <c r="G24" t="s">
        <v>260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25">
      <c r="A25" t="str">
        <f t="shared" si="0"/>
        <v>20/07/2026NorrbySundsvall</v>
      </c>
      <c r="B25" t="s">
        <v>845</v>
      </c>
      <c r="C25" t="s">
        <v>873</v>
      </c>
      <c r="D25" s="2">
        <v>46223</v>
      </c>
      <c r="E25" s="3">
        <v>0.70833333333333337</v>
      </c>
      <c r="F25" t="s">
        <v>271</v>
      </c>
      <c r="G25" t="s">
        <v>270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25">
      <c r="A26" t="str">
        <f t="shared" si="0"/>
        <v>20/07/2026Cerro Porteno WomenSportivo San Lorenzo Women</v>
      </c>
      <c r="B26" t="s">
        <v>865</v>
      </c>
      <c r="C26" t="s">
        <v>1311</v>
      </c>
      <c r="D26" s="2">
        <v>46223</v>
      </c>
      <c r="E26" s="3">
        <v>0.72916666666666663</v>
      </c>
      <c r="F26" t="s">
        <v>1318</v>
      </c>
      <c r="G26" t="s">
        <v>1319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25">
      <c r="A27" t="str">
        <f t="shared" si="0"/>
        <v>20/07/2026Chacarita JuniorsCA Guemes</v>
      </c>
      <c r="B27" t="s">
        <v>824</v>
      </c>
      <c r="C27" t="s">
        <v>825</v>
      </c>
      <c r="D27" s="2">
        <v>46223</v>
      </c>
      <c r="E27" s="3">
        <v>0.75</v>
      </c>
      <c r="F27" t="s">
        <v>341</v>
      </c>
      <c r="G27" t="s">
        <v>340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25">
      <c r="A28" t="str">
        <f t="shared" si="0"/>
        <v>20/07/2026Club Atletico AcassusoSan Telmo</v>
      </c>
      <c r="B28" t="s">
        <v>824</v>
      </c>
      <c r="C28" t="s">
        <v>825</v>
      </c>
      <c r="D28" s="2">
        <v>46223</v>
      </c>
      <c r="E28" s="3">
        <v>0.75</v>
      </c>
      <c r="F28" t="s">
        <v>339</v>
      </c>
      <c r="G28" t="s">
        <v>338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25">
      <c r="A29" t="str">
        <f t="shared" si="0"/>
        <v>20/07/2026Defensores de BelgranoLos Andes</v>
      </c>
      <c r="B29" t="s">
        <v>824</v>
      </c>
      <c r="C29" t="s">
        <v>825</v>
      </c>
      <c r="D29" s="2">
        <v>46223</v>
      </c>
      <c r="E29" s="3">
        <v>0.75</v>
      </c>
      <c r="F29" t="s">
        <v>337</v>
      </c>
      <c r="G29" t="s">
        <v>336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25">
      <c r="A30" t="str">
        <f t="shared" si="0"/>
        <v>20/07/2026San Martin de San JuanCSD Tristan Suarez</v>
      </c>
      <c r="B30" t="s">
        <v>824</v>
      </c>
      <c r="C30" t="s">
        <v>825</v>
      </c>
      <c r="D30" s="2">
        <v>46223</v>
      </c>
      <c r="E30" s="3">
        <v>0.75</v>
      </c>
      <c r="F30" t="s">
        <v>335</v>
      </c>
      <c r="G30" t="s">
        <v>334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25">
      <c r="A31" t="str">
        <f t="shared" si="0"/>
        <v>20/07/2026BerazateguiCentral Cordoba de Rosario</v>
      </c>
      <c r="B31" t="s">
        <v>824</v>
      </c>
      <c r="C31" t="s">
        <v>826</v>
      </c>
      <c r="D31" s="2">
        <v>46223</v>
      </c>
      <c r="E31" s="3">
        <v>0.75</v>
      </c>
      <c r="F31" t="s">
        <v>323</v>
      </c>
      <c r="G31" t="s">
        <v>322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25">
      <c r="A32" t="str">
        <f t="shared" si="0"/>
        <v>20/07/2026CA AtlasSacachispas</v>
      </c>
      <c r="B32" t="s">
        <v>824</v>
      </c>
      <c r="C32" t="s">
        <v>826</v>
      </c>
      <c r="D32" s="2">
        <v>46223</v>
      </c>
      <c r="E32" s="3">
        <v>0.75</v>
      </c>
      <c r="F32" t="s">
        <v>321</v>
      </c>
      <c r="G32" t="s">
        <v>320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25">
      <c r="A33" t="str">
        <f t="shared" si="0"/>
        <v>20/07/2026Centro EspanolLeones de Rosario</v>
      </c>
      <c r="B33" t="s">
        <v>824</v>
      </c>
      <c r="C33" t="s">
        <v>826</v>
      </c>
      <c r="D33" s="2">
        <v>46223</v>
      </c>
      <c r="E33" s="3">
        <v>0.75</v>
      </c>
      <c r="F33" t="s">
        <v>319</v>
      </c>
      <c r="G33" t="s">
        <v>318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25">
      <c r="A34" t="str">
        <f t="shared" si="0"/>
        <v>20/07/2026Deportivo ParaguayoCentral Ballester</v>
      </c>
      <c r="B34" t="s">
        <v>824</v>
      </c>
      <c r="C34" t="s">
        <v>826</v>
      </c>
      <c r="D34" s="2">
        <v>46223</v>
      </c>
      <c r="E34" s="3">
        <v>0.75</v>
      </c>
      <c r="F34" t="s">
        <v>317</v>
      </c>
      <c r="G34" t="s">
        <v>316</v>
      </c>
      <c r="L34" s="22" t="str">
        <f t="shared" si="1"/>
        <v>20/07/2026</v>
      </c>
      <c r="M34" s="23">
        <f t="shared" si="2"/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25">
      <c r="A35" t="str">
        <f t="shared" si="0"/>
        <v>20/07/2026Estrella del SurClub Lujan</v>
      </c>
      <c r="B35" t="s">
        <v>824</v>
      </c>
      <c r="C35" t="s">
        <v>826</v>
      </c>
      <c r="D35" s="2">
        <v>46223</v>
      </c>
      <c r="E35" s="3">
        <v>0.75</v>
      </c>
      <c r="F35" t="s">
        <v>315</v>
      </c>
      <c r="G35" t="s">
        <v>314</v>
      </c>
      <c r="L35" s="22" t="str">
        <f t="shared" si="1"/>
        <v>20/07/2026</v>
      </c>
      <c r="M35" s="23">
        <f t="shared" si="2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25">
      <c r="A36" t="str">
        <f t="shared" si="0"/>
        <v>20/07/2026Sao Caetano SPSao Jose Esporte Clube</v>
      </c>
      <c r="B36" t="s">
        <v>822</v>
      </c>
      <c r="C36" t="s">
        <v>848</v>
      </c>
      <c r="D36" s="2">
        <v>46223</v>
      </c>
      <c r="E36" s="3">
        <v>0.75</v>
      </c>
      <c r="F36" t="s">
        <v>308</v>
      </c>
      <c r="G36" t="s">
        <v>307</v>
      </c>
      <c r="H36">
        <v>1</v>
      </c>
      <c r="I36">
        <v>2</v>
      </c>
      <c r="J36">
        <v>1</v>
      </c>
      <c r="K36">
        <v>2</v>
      </c>
      <c r="L36" s="22" t="str">
        <f t="shared" si="1"/>
        <v>20/07/2026</v>
      </c>
      <c r="M36" s="23">
        <f t="shared" si="2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25">
      <c r="A37" t="str">
        <f t="shared" si="0"/>
        <v>20/07/2026Botev PlovdivLokomotiv Sofia</v>
      </c>
      <c r="B37" t="s">
        <v>849</v>
      </c>
      <c r="C37" t="s">
        <v>850</v>
      </c>
      <c r="D37" s="2">
        <v>46223</v>
      </c>
      <c r="E37" s="3">
        <v>0.77083333333333337</v>
      </c>
      <c r="F37" t="s">
        <v>304</v>
      </c>
      <c r="G37" t="s">
        <v>303</v>
      </c>
      <c r="H37">
        <v>0</v>
      </c>
      <c r="I37">
        <v>0</v>
      </c>
      <c r="J37">
        <v>1</v>
      </c>
      <c r="K37">
        <v>1</v>
      </c>
      <c r="L37" s="22" t="str">
        <f t="shared" si="1"/>
        <v>20/07/2026</v>
      </c>
      <c r="M37" s="23">
        <f t="shared" si="2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25">
      <c r="A38" t="str">
        <f t="shared" si="0"/>
        <v>20/07/2026Al AnsarAl Nejmeh</v>
      </c>
      <c r="B38" t="s">
        <v>861</v>
      </c>
      <c r="C38" t="s">
        <v>856</v>
      </c>
      <c r="D38" s="2">
        <v>46223</v>
      </c>
      <c r="E38" s="3">
        <v>0.77083333333333337</v>
      </c>
      <c r="F38" t="s">
        <v>287</v>
      </c>
      <c r="G38" t="s">
        <v>286</v>
      </c>
      <c r="H38">
        <v>0</v>
      </c>
      <c r="I38">
        <v>0</v>
      </c>
      <c r="J38">
        <v>1</v>
      </c>
      <c r="K38">
        <v>1</v>
      </c>
      <c r="L38" s="22" t="str">
        <f t="shared" si="1"/>
        <v>20/07/2026</v>
      </c>
      <c r="M38" s="23">
        <f t="shared" si="2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25">
      <c r="A39" t="str">
        <f t="shared" si="0"/>
        <v>20/07/2026Rapid BucurestiSepsi OSK</v>
      </c>
      <c r="B39" t="s">
        <v>869</v>
      </c>
      <c r="C39" t="s">
        <v>870</v>
      </c>
      <c r="D39" s="2">
        <v>46223</v>
      </c>
      <c r="E39" s="3">
        <v>0.77083333333333337</v>
      </c>
      <c r="F39" t="s">
        <v>275</v>
      </c>
      <c r="G39" t="s">
        <v>274</v>
      </c>
      <c r="H39">
        <v>0</v>
      </c>
      <c r="I39">
        <v>0</v>
      </c>
      <c r="J39">
        <v>1</v>
      </c>
      <c r="K39">
        <v>0</v>
      </c>
      <c r="L39" s="22" t="str">
        <f t="shared" si="1"/>
        <v>20/07/2026</v>
      </c>
      <c r="M39" s="23">
        <f t="shared" si="2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25">
      <c r="A40" t="str">
        <f t="shared" si="0"/>
        <v>20/07/2026RedbridgeWelwyn Garden City</v>
      </c>
      <c r="D40" s="2">
        <v>46223</v>
      </c>
      <c r="E40" s="3">
        <v>0.78125</v>
      </c>
      <c r="F40" t="s">
        <v>1320</v>
      </c>
      <c r="G40" t="s">
        <v>1321</v>
      </c>
      <c r="H40">
        <v>0</v>
      </c>
      <c r="I40">
        <v>1</v>
      </c>
      <c r="J40">
        <v>0</v>
      </c>
      <c r="K40">
        <v>1</v>
      </c>
      <c r="L40" s="22" t="str">
        <f t="shared" si="1"/>
        <v>20/07/2026</v>
      </c>
      <c r="M40" s="23">
        <f t="shared" si="2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25">
      <c r="A41" t="str">
        <f t="shared" si="0"/>
        <v>20/07/2026TraffordFC United of Manchester</v>
      </c>
      <c r="D41" s="2">
        <v>46223</v>
      </c>
      <c r="E41" s="3">
        <v>0.78125</v>
      </c>
      <c r="F41" t="s">
        <v>1322</v>
      </c>
      <c r="G41" t="s">
        <v>1323</v>
      </c>
      <c r="H41">
        <v>0</v>
      </c>
      <c r="I41">
        <v>2</v>
      </c>
      <c r="J41">
        <v>0</v>
      </c>
      <c r="K41">
        <v>3</v>
      </c>
      <c r="L41" s="22" t="str">
        <f t="shared" si="1"/>
        <v>20/07/2026</v>
      </c>
      <c r="M41" s="23">
        <f t="shared" si="2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25">
      <c r="A42" t="str">
        <f t="shared" si="0"/>
        <v>20/07/2026SA Bulo BuloABB</v>
      </c>
      <c r="B42" t="s">
        <v>833</v>
      </c>
      <c r="C42" t="s">
        <v>834</v>
      </c>
      <c r="D42" s="2">
        <v>46223</v>
      </c>
      <c r="E42" s="3">
        <v>0.79166666666666663</v>
      </c>
      <c r="F42" t="s">
        <v>313</v>
      </c>
      <c r="G42" t="s">
        <v>312</v>
      </c>
      <c r="H42">
        <v>1</v>
      </c>
      <c r="I42">
        <v>1</v>
      </c>
      <c r="J42">
        <v>2</v>
      </c>
      <c r="K42">
        <v>1</v>
      </c>
      <c r="L42" s="22" t="str">
        <f t="shared" si="1"/>
        <v>20/07/2026</v>
      </c>
      <c r="M42" s="23">
        <f t="shared" si="2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25">
      <c r="A43" t="str">
        <f t="shared" si="0"/>
        <v>20/07/2026Coritiba PR WomenInternacional RS Women</v>
      </c>
      <c r="B43" t="s">
        <v>822</v>
      </c>
      <c r="C43" t="s">
        <v>1324</v>
      </c>
      <c r="D43" s="2">
        <v>46223</v>
      </c>
      <c r="E43" s="3">
        <v>0.79166666666666663</v>
      </c>
      <c r="F43" t="s">
        <v>1325</v>
      </c>
      <c r="G43" t="s">
        <v>1326</v>
      </c>
      <c r="H43">
        <v>0</v>
      </c>
      <c r="I43">
        <v>0</v>
      </c>
      <c r="J43">
        <v>0</v>
      </c>
      <c r="K43">
        <v>1</v>
      </c>
      <c r="L43" s="22" t="str">
        <f t="shared" si="1"/>
        <v>20/07/2026</v>
      </c>
      <c r="M43" s="23">
        <f t="shared" si="2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25">
      <c r="A44" t="str">
        <f t="shared" si="0"/>
        <v>20/07/2026Mushuc RunaOrense SC</v>
      </c>
      <c r="B44" t="s">
        <v>841</v>
      </c>
      <c r="C44" t="s">
        <v>842</v>
      </c>
      <c r="D44" s="2">
        <v>46223</v>
      </c>
      <c r="E44" s="3">
        <v>0.79166666666666663</v>
      </c>
      <c r="F44" t="s">
        <v>119</v>
      </c>
      <c r="G44" t="s">
        <v>302</v>
      </c>
      <c r="H44">
        <v>1</v>
      </c>
      <c r="I44">
        <v>1</v>
      </c>
      <c r="J44">
        <v>2</v>
      </c>
      <c r="K44">
        <v>1</v>
      </c>
      <c r="L44" s="22" t="str">
        <f t="shared" si="1"/>
        <v>20/07/2026</v>
      </c>
      <c r="M44" s="23">
        <f t="shared" si="2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25">
      <c r="A45" t="str">
        <f t="shared" si="0"/>
        <v>20/07/2026HafnarfjordurBreidablik</v>
      </c>
      <c r="B45" t="s">
        <v>855</v>
      </c>
      <c r="C45" t="s">
        <v>856</v>
      </c>
      <c r="D45" s="2">
        <v>46223</v>
      </c>
      <c r="E45" s="3">
        <v>0.80208333333333337</v>
      </c>
      <c r="F45" t="s">
        <v>295</v>
      </c>
      <c r="G45" t="s">
        <v>265</v>
      </c>
      <c r="H45">
        <v>0</v>
      </c>
      <c r="I45">
        <v>0</v>
      </c>
      <c r="J45">
        <v>0</v>
      </c>
      <c r="K45">
        <v>0</v>
      </c>
      <c r="L45" s="22" t="str">
        <f t="shared" si="1"/>
        <v>20/07/2026</v>
      </c>
      <c r="M45" s="23">
        <f t="shared" si="2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25">
      <c r="A46" t="str">
        <f t="shared" si="0"/>
        <v>20/07/2026KeflavikIA Akranes</v>
      </c>
      <c r="B46" t="s">
        <v>855</v>
      </c>
      <c r="C46" t="s">
        <v>856</v>
      </c>
      <c r="D46" s="2">
        <v>46223</v>
      </c>
      <c r="E46" s="3">
        <v>0.80208333333333337</v>
      </c>
      <c r="F46" t="s">
        <v>170</v>
      </c>
      <c r="G46" t="s">
        <v>266</v>
      </c>
      <c r="H46">
        <v>2</v>
      </c>
      <c r="I46">
        <v>0</v>
      </c>
      <c r="J46">
        <v>5</v>
      </c>
      <c r="K46">
        <v>2</v>
      </c>
      <c r="L46" s="22" t="str">
        <f t="shared" si="1"/>
        <v>20/07/2026</v>
      </c>
      <c r="M46" s="23">
        <f t="shared" si="2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25">
      <c r="A47" t="str">
        <f t="shared" si="0"/>
        <v>20/07/2026KopavogsIF Vestri</v>
      </c>
      <c r="B47" t="s">
        <v>855</v>
      </c>
      <c r="C47" t="s">
        <v>857</v>
      </c>
      <c r="D47" s="2">
        <v>46223</v>
      </c>
      <c r="E47" s="3">
        <v>0.80208333333333337</v>
      </c>
      <c r="F47" t="s">
        <v>294</v>
      </c>
      <c r="G47" t="s">
        <v>267</v>
      </c>
      <c r="H47">
        <v>4</v>
      </c>
      <c r="I47">
        <v>0</v>
      </c>
      <c r="J47">
        <v>6</v>
      </c>
      <c r="K47">
        <v>2</v>
      </c>
      <c r="L47" s="22" t="str">
        <f t="shared" si="1"/>
        <v>20/07/2026</v>
      </c>
      <c r="M47" s="23">
        <f t="shared" si="2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25">
      <c r="A48" t="str">
        <f t="shared" si="0"/>
        <v>20/07/2026Grindavik WomenThrottur Women</v>
      </c>
      <c r="B48" t="s">
        <v>855</v>
      </c>
      <c r="C48" t="s">
        <v>1327</v>
      </c>
      <c r="D48" s="2">
        <v>46223</v>
      </c>
      <c r="E48" s="3">
        <v>0.80208333333333337</v>
      </c>
      <c r="F48" t="s">
        <v>1328</v>
      </c>
      <c r="G48" t="s">
        <v>1329</v>
      </c>
      <c r="H48">
        <v>1</v>
      </c>
      <c r="I48">
        <v>1</v>
      </c>
      <c r="J48">
        <v>4</v>
      </c>
      <c r="K48">
        <v>2</v>
      </c>
      <c r="L48" s="22" t="str">
        <f t="shared" si="1"/>
        <v>20/07/2026</v>
      </c>
      <c r="M48" s="23">
        <f t="shared" si="2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25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1330</v>
      </c>
      <c r="G49" t="s">
        <v>1331</v>
      </c>
      <c r="H49">
        <v>2</v>
      </c>
      <c r="I49">
        <v>0</v>
      </c>
      <c r="J49">
        <v>7</v>
      </c>
      <c r="K49">
        <v>0</v>
      </c>
      <c r="L49" s="22" t="str">
        <f t="shared" si="1"/>
        <v>20/07/2026</v>
      </c>
      <c r="M49" s="23">
        <f t="shared" si="2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25">
      <c r="A50" t="str">
        <f t="shared" si="0"/>
        <v>20/07/2026TacuaryDeportivo Capiata</v>
      </c>
      <c r="B50" t="s">
        <v>865</v>
      </c>
      <c r="C50" t="s">
        <v>866</v>
      </c>
      <c r="D50" s="2">
        <v>46223</v>
      </c>
      <c r="E50" s="3">
        <v>0.83333333333333337</v>
      </c>
      <c r="F50" t="s">
        <v>283</v>
      </c>
      <c r="G50" t="s">
        <v>282</v>
      </c>
      <c r="H50">
        <v>0</v>
      </c>
      <c r="I50">
        <v>0</v>
      </c>
      <c r="J50">
        <v>0</v>
      </c>
      <c r="K50">
        <v>0</v>
      </c>
      <c r="L50" s="22" t="str">
        <f t="shared" si="1"/>
        <v>20/07/2026</v>
      </c>
      <c r="M50" s="23">
        <f t="shared" si="2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25">
      <c r="A51" t="str">
        <f t="shared" si="0"/>
        <v>20/07/2026TorqueDanubio</v>
      </c>
      <c r="D51" s="2">
        <v>46223</v>
      </c>
      <c r="E51" s="3">
        <v>0.83333333333333337</v>
      </c>
      <c r="F51" t="s">
        <v>1332</v>
      </c>
      <c r="G51" t="s">
        <v>1333</v>
      </c>
      <c r="L51" s="22" t="str">
        <f t="shared" si="1"/>
        <v>20/07/2026</v>
      </c>
      <c r="M51" s="23">
        <f t="shared" si="2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25">
      <c r="A52" t="str">
        <f t="shared" si="0"/>
        <v>20/07/2026Volta RedondaSao Goncalo</v>
      </c>
      <c r="B52" t="s">
        <v>822</v>
      </c>
      <c r="C52" t="s">
        <v>847</v>
      </c>
      <c r="D52" s="2">
        <v>46223</v>
      </c>
      <c r="E52" s="3">
        <v>0.91666666666666663</v>
      </c>
      <c r="F52" t="s">
        <v>310</v>
      </c>
      <c r="G52" t="s">
        <v>309</v>
      </c>
      <c r="H52">
        <v>0</v>
      </c>
      <c r="I52">
        <v>0</v>
      </c>
      <c r="J52">
        <v>0</v>
      </c>
      <c r="K52">
        <v>0</v>
      </c>
      <c r="L52" s="22" t="str">
        <f t="shared" si="1"/>
        <v>20/07/2026</v>
      </c>
      <c r="M52" s="23">
        <f t="shared" si="2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25">
      <c r="A53" t="str">
        <f t="shared" si="0"/>
        <v>20/07/2026Flamengo Women3B Sport AM Women</v>
      </c>
      <c r="B53" t="s">
        <v>822</v>
      </c>
      <c r="C53" t="s">
        <v>1324</v>
      </c>
      <c r="D53" s="2">
        <v>46223</v>
      </c>
      <c r="E53" s="3">
        <v>0.91666666666666663</v>
      </c>
      <c r="F53" t="s">
        <v>1334</v>
      </c>
      <c r="G53" t="s">
        <v>1335</v>
      </c>
      <c r="H53">
        <v>0</v>
      </c>
      <c r="I53">
        <v>0</v>
      </c>
      <c r="J53">
        <v>1</v>
      </c>
      <c r="K53">
        <v>0</v>
      </c>
      <c r="L53" s="22" t="str">
        <f t="shared" si="1"/>
        <v>20/07/2026</v>
      </c>
      <c r="M53" s="23">
        <f t="shared" si="2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25">
      <c r="A54" t="str">
        <f t="shared" si="0"/>
        <v>20/07/2026CA ColegialesFerrocarril Midland</v>
      </c>
      <c r="B54" t="s">
        <v>824</v>
      </c>
      <c r="C54" t="s">
        <v>825</v>
      </c>
      <c r="D54" s="2">
        <v>46223</v>
      </c>
      <c r="E54" s="3">
        <v>0.95833333333333337</v>
      </c>
      <c r="F54" t="s">
        <v>333</v>
      </c>
      <c r="G54" t="s">
        <v>332</v>
      </c>
      <c r="L54" s="22" t="str">
        <f t="shared" si="1"/>
        <v>20/07/2026</v>
      </c>
      <c r="M54" s="23">
        <f t="shared" si="2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25">
      <c r="A55" t="str">
        <f t="shared" si="0"/>
        <v>20/07/2026Club Atletico PatronatoCA Atlanta</v>
      </c>
      <c r="B55" t="s">
        <v>824</v>
      </c>
      <c r="C55" t="s">
        <v>825</v>
      </c>
      <c r="D55" s="2">
        <v>46223</v>
      </c>
      <c r="E55" s="3">
        <v>0.95833333333333337</v>
      </c>
      <c r="F55" t="s">
        <v>331</v>
      </c>
      <c r="G55" t="s">
        <v>330</v>
      </c>
      <c r="L55" s="22" t="str">
        <f t="shared" si="1"/>
        <v>20/07/2026</v>
      </c>
      <c r="M55" s="23">
        <f t="shared" si="2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25">
      <c r="A56" t="str">
        <f t="shared" si="0"/>
        <v>20/07/2026QuilmesGimnasia Jujuy</v>
      </c>
      <c r="B56" t="s">
        <v>824</v>
      </c>
      <c r="C56" t="s">
        <v>825</v>
      </c>
      <c r="D56" s="2">
        <v>46223</v>
      </c>
      <c r="E56" s="3">
        <v>0.95833333333333337</v>
      </c>
      <c r="F56" t="s">
        <v>329</v>
      </c>
      <c r="G56" t="s">
        <v>328</v>
      </c>
      <c r="L56" s="22" t="str">
        <f t="shared" si="1"/>
        <v>20/07/2026</v>
      </c>
      <c r="M56" s="23">
        <f t="shared" si="2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25">
      <c r="A57" t="str">
        <f t="shared" si="0"/>
        <v>20/07/2026Nacional PotosiReal Oruro</v>
      </c>
      <c r="B57" t="s">
        <v>833</v>
      </c>
      <c r="C57" t="s">
        <v>834</v>
      </c>
      <c r="D57" s="2">
        <v>46223</v>
      </c>
      <c r="E57" s="3">
        <v>0.95833333333333337</v>
      </c>
      <c r="F57" t="s">
        <v>311</v>
      </c>
      <c r="G57" t="s">
        <v>269</v>
      </c>
      <c r="H57">
        <v>0</v>
      </c>
      <c r="I57">
        <v>2</v>
      </c>
      <c r="J57">
        <v>1</v>
      </c>
      <c r="K57">
        <v>4</v>
      </c>
      <c r="L57" s="22" t="str">
        <f t="shared" si="1"/>
        <v>20/07/2026</v>
      </c>
      <c r="M57" s="23">
        <f t="shared" si="2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25">
      <c r="A58" t="str">
        <f t="shared" si="0"/>
        <v>20/07/2026Ferroviaria SP WomenCorinthians SP Women</v>
      </c>
      <c r="B58" t="s">
        <v>822</v>
      </c>
      <c r="C58" t="s">
        <v>1324</v>
      </c>
      <c r="D58" s="2">
        <v>46223</v>
      </c>
      <c r="E58" s="3">
        <v>0.95833333333333337</v>
      </c>
      <c r="F58" t="s">
        <v>1336</v>
      </c>
      <c r="G58" t="s">
        <v>1337</v>
      </c>
      <c r="H58">
        <v>0</v>
      </c>
      <c r="I58">
        <v>0</v>
      </c>
      <c r="J58">
        <v>1</v>
      </c>
      <c r="K58">
        <v>0</v>
      </c>
      <c r="L58" s="22" t="str">
        <f t="shared" si="1"/>
        <v>20/07/2026</v>
      </c>
      <c r="M58" s="23">
        <f t="shared" si="2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25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694</v>
      </c>
      <c r="G59" t="s">
        <v>1338</v>
      </c>
      <c r="L59" s="22" t="str">
        <f t="shared" si="1"/>
        <v>20/07/2026</v>
      </c>
      <c r="M59" s="23">
        <f t="shared" si="2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25">
      <c r="A60" t="str">
        <f t="shared" si="0"/>
        <v>20/07/2026CA Chaco For EverCA San Miguel</v>
      </c>
      <c r="B60" t="s">
        <v>824</v>
      </c>
      <c r="C60" t="s">
        <v>825</v>
      </c>
      <c r="D60" s="2">
        <v>46224</v>
      </c>
      <c r="E60" s="3">
        <v>0</v>
      </c>
      <c r="F60" t="s">
        <v>327</v>
      </c>
      <c r="G60" t="s">
        <v>326</v>
      </c>
      <c r="L60" s="29" t="s">
        <v>244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25">
      <c r="A61" t="str">
        <f t="shared" si="0"/>
        <v>21/07/2026Deportivo SantaniFernando de la Mora</v>
      </c>
      <c r="B61" t="s">
        <v>865</v>
      </c>
      <c r="C61" t="s">
        <v>866</v>
      </c>
      <c r="D61" s="2">
        <v>46224</v>
      </c>
      <c r="E61" s="3">
        <v>0</v>
      </c>
      <c r="F61" t="s">
        <v>281</v>
      </c>
      <c r="G61" t="s">
        <v>280</v>
      </c>
      <c r="H61">
        <v>0</v>
      </c>
      <c r="I61">
        <v>1</v>
      </c>
      <c r="J61">
        <v>2</v>
      </c>
      <c r="K61">
        <v>3</v>
      </c>
      <c r="L61" s="22" t="str">
        <f t="shared" si="1"/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25">
      <c r="A62" t="str">
        <f t="shared" si="0"/>
        <v>20/07/2026Central NorteDeportivo Moron</v>
      </c>
      <c r="B62" t="s">
        <v>824</v>
      </c>
      <c r="C62" t="s">
        <v>825</v>
      </c>
      <c r="D62" s="2">
        <v>46224</v>
      </c>
      <c r="E62" s="3">
        <v>2.0833333333333332E-2</v>
      </c>
      <c r="F62" t="s">
        <v>325</v>
      </c>
      <c r="G62" t="s">
        <v>324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25">
      <c r="A63" t="str">
        <f t="shared" si="0"/>
        <v>21/07/2026Gungahlin Juventus U23Canberra Croatia U23</v>
      </c>
      <c r="B63" t="s">
        <v>828</v>
      </c>
      <c r="C63" t="s">
        <v>927</v>
      </c>
      <c r="D63" s="2">
        <v>46224</v>
      </c>
      <c r="E63" s="3">
        <v>0.3125</v>
      </c>
      <c r="F63" t="s">
        <v>1353</v>
      </c>
      <c r="G63" t="s">
        <v>1354</v>
      </c>
      <c r="H63">
        <v>2</v>
      </c>
      <c r="I63">
        <v>0</v>
      </c>
      <c r="J63">
        <v>2</v>
      </c>
      <c r="K63">
        <v>1</v>
      </c>
      <c r="L63" s="22" t="str">
        <f t="shared" si="1"/>
        <v>21/07/2026</v>
      </c>
      <c r="M63" s="23">
        <f t="shared" si="2"/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25">
      <c r="A64" t="str">
        <f t="shared" si="0"/>
        <v>21/07/2026Dalian KeweiBeijing Guoan</v>
      </c>
      <c r="B64" t="s">
        <v>837</v>
      </c>
      <c r="C64" t="s">
        <v>838</v>
      </c>
      <c r="D64" s="2">
        <v>46224</v>
      </c>
      <c r="E64" s="3">
        <v>0.33333333333333331</v>
      </c>
      <c r="F64" t="s">
        <v>404</v>
      </c>
      <c r="G64" t="s">
        <v>405</v>
      </c>
      <c r="H64">
        <v>0</v>
      </c>
      <c r="I64">
        <v>1</v>
      </c>
      <c r="J64">
        <v>1</v>
      </c>
      <c r="K64">
        <v>2</v>
      </c>
      <c r="L64" s="22" t="str">
        <f t="shared" si="1"/>
        <v>21/07/2026</v>
      </c>
      <c r="M64" s="23">
        <f t="shared" si="2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25">
      <c r="A65" t="str">
        <f t="shared" si="0"/>
        <v>21/07/2026Newcastle Olympic ReservesBelmont Swansea United SC Reserves</v>
      </c>
      <c r="B65" t="s">
        <v>828</v>
      </c>
      <c r="C65" t="s">
        <v>831</v>
      </c>
      <c r="D65" s="2">
        <v>46224</v>
      </c>
      <c r="E65" s="3">
        <v>0.34375</v>
      </c>
      <c r="F65" t="s">
        <v>388</v>
      </c>
      <c r="G65" t="s">
        <v>389</v>
      </c>
      <c r="H65">
        <v>4</v>
      </c>
      <c r="I65">
        <v>0</v>
      </c>
      <c r="J65">
        <v>5</v>
      </c>
      <c r="K65">
        <v>0</v>
      </c>
      <c r="L65" s="22" t="str">
        <f t="shared" si="1"/>
        <v>21/07/2026</v>
      </c>
      <c r="M65" s="23">
        <f t="shared" si="2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25">
      <c r="A66" t="str">
        <f t="shared" si="0"/>
        <v>21/07/2026Gungahlin JuventusCanberra</v>
      </c>
      <c r="B66" t="s">
        <v>828</v>
      </c>
      <c r="C66" t="s">
        <v>829</v>
      </c>
      <c r="D66" s="2">
        <v>46224</v>
      </c>
      <c r="E66" s="3">
        <v>0.39583333333333331</v>
      </c>
      <c r="F66" t="s">
        <v>384</v>
      </c>
      <c r="G66" t="s">
        <v>385</v>
      </c>
      <c r="H66">
        <v>0</v>
      </c>
      <c r="I66">
        <v>3</v>
      </c>
      <c r="J66">
        <v>2</v>
      </c>
      <c r="K66">
        <v>5</v>
      </c>
      <c r="L66" s="22" t="str">
        <f t="shared" si="1"/>
        <v>21/07/2026</v>
      </c>
      <c r="M66" s="23">
        <f t="shared" si="2"/>
        <v>0.27083333333333331</v>
      </c>
      <c r="N66" t="str">
        <f t="shared" si="3"/>
        <v>2 - 5</v>
      </c>
      <c r="O66" t="str">
        <f t="shared" si="4"/>
        <v>Red</v>
      </c>
      <c r="P66" t="str">
        <f t="shared" si="5"/>
        <v>Red</v>
      </c>
      <c r="Q66" t="str">
        <f t="shared" si="6"/>
        <v>Green</v>
      </c>
      <c r="R66" t="str">
        <f t="shared" si="7"/>
        <v>Red</v>
      </c>
      <c r="S66" t="str">
        <f t="shared" si="8"/>
        <v>Green</v>
      </c>
      <c r="T66" t="str">
        <f t="shared" si="9"/>
        <v>Green</v>
      </c>
      <c r="U66" t="str">
        <f t="shared" si="10"/>
        <v>Red</v>
      </c>
      <c r="V66" t="str">
        <f t="shared" si="11"/>
        <v>Red</v>
      </c>
      <c r="W66" t="str">
        <f t="shared" si="12"/>
        <v>Green</v>
      </c>
      <c r="X66" t="str">
        <f t="shared" si="13"/>
        <v>Green</v>
      </c>
      <c r="Y66" t="str">
        <f t="shared" si="14"/>
        <v>Green</v>
      </c>
      <c r="Z66" t="str">
        <f t="shared" si="15"/>
        <v>Green</v>
      </c>
      <c r="AA66" t="str">
        <f t="shared" si="16"/>
        <v>Red</v>
      </c>
      <c r="AB66" t="str">
        <f t="shared" si="17"/>
        <v>Red</v>
      </c>
      <c r="AC66" t="str">
        <f t="shared" si="18"/>
        <v>Green</v>
      </c>
      <c r="AD66" t="str">
        <f t="shared" si="19"/>
        <v>Red</v>
      </c>
    </row>
    <row r="67" spans="1:30" x14ac:dyDescent="0.25">
      <c r="A67" t="str">
        <f t="shared" ref="A67:A130" si="20">L67&amp;F67&amp;G67</f>
        <v>21/07/2026Preston LionsNewcastle Jets</v>
      </c>
      <c r="B67" t="s">
        <v>828</v>
      </c>
      <c r="C67" t="s">
        <v>832</v>
      </c>
      <c r="D67" s="2">
        <v>46224</v>
      </c>
      <c r="E67" s="3">
        <v>0.39583333333333331</v>
      </c>
      <c r="F67" t="s">
        <v>135</v>
      </c>
      <c r="G67" t="s">
        <v>390</v>
      </c>
      <c r="H67">
        <v>0</v>
      </c>
      <c r="I67">
        <v>2</v>
      </c>
      <c r="J67">
        <v>3</v>
      </c>
      <c r="K67">
        <v>2</v>
      </c>
      <c r="L67" s="22" t="str">
        <f t="shared" ref="L67:L130" si="21">DAY(D67)&amp;"/"&amp;"07"&amp;"/"&amp;YEAR(D67)</f>
        <v>21/07/2026</v>
      </c>
      <c r="M67" s="23">
        <f t="shared" ref="M67:M130" si="22">E67-TIME(3,0,0)</f>
        <v>0.27083333333333331</v>
      </c>
      <c r="N67" t="str">
        <f t="shared" ref="N67:N130" si="23">J67&amp;" - "&amp;K67</f>
        <v>3 - 2</v>
      </c>
      <c r="O67" t="str">
        <f t="shared" ref="O67:O130" si="24">IF($J67&gt;$K67,"Green","Red")</f>
        <v>Green</v>
      </c>
      <c r="P67" t="str">
        <f t="shared" ref="P67:P130" si="25">IF($J67=$K67,"Green","Red")</f>
        <v>Red</v>
      </c>
      <c r="Q67" t="str">
        <f t="shared" ref="Q67:Q130" si="26">IF($J67&lt;$K67,"Green","Red")</f>
        <v>Red</v>
      </c>
      <c r="R67" t="str">
        <f t="shared" ref="R67:R130" si="27">IF($J67&gt;=$K67,"Green","Red")</f>
        <v>Green</v>
      </c>
      <c r="S67" t="str">
        <f t="shared" ref="S67:S130" si="28">IF($J67&lt;=$K67,"Green","Red")</f>
        <v>Red</v>
      </c>
      <c r="T67" t="str">
        <f t="shared" ref="T67:T130" si="29">IF(OR($J67&gt;$K67,$J67&lt;$K67),"Green","Red")</f>
        <v>Green</v>
      </c>
      <c r="U67" t="str">
        <f t="shared" ref="U67:U130" si="30">IF($H67&gt;$I67,"Green","Red")</f>
        <v>Red</v>
      </c>
      <c r="V67" t="str">
        <f t="shared" ref="V67:V130" si="31">IF($H67=$I67,"Green","Red")</f>
        <v>Red</v>
      </c>
      <c r="W67" t="str">
        <f t="shared" ref="W67:W130" si="32">IF($H67&lt;$I67,"Green","Red")</f>
        <v>Green</v>
      </c>
      <c r="X67" t="str">
        <f t="shared" ref="X67:X130" si="33">IF($H67+$I67&gt;0,"Green","Red")</f>
        <v>Green</v>
      </c>
      <c r="Y67" t="str">
        <f t="shared" ref="Y67:Y130" si="34">IF($J67+$K67&gt;1.5,"Green","Red")</f>
        <v>Green</v>
      </c>
      <c r="Z67" t="str">
        <f t="shared" ref="Z67:Z130" si="35">IF($J67+$K67&gt;2.5,"Green","Red")</f>
        <v>Green</v>
      </c>
      <c r="AA67" t="str">
        <f t="shared" ref="AA67:AA130" si="36">IF($J67+$K67&lt;2.5,"Green","Red")</f>
        <v>Red</v>
      </c>
      <c r="AB67" t="str">
        <f t="shared" ref="AB67:AB130" si="37">IF($J67+$K67&lt;3.5,"Green","Red")</f>
        <v>Red</v>
      </c>
      <c r="AC67" t="str">
        <f t="shared" ref="AC67:AC130" si="38">IF(AND($J67&gt;0,$K67&gt;0),"Green","Red")</f>
        <v>Green</v>
      </c>
      <c r="AD67" t="str">
        <f t="shared" ref="AD67:AD130" si="39">IF(OR($J67=0,$K67=0),"Green","Red")</f>
        <v>Red</v>
      </c>
    </row>
    <row r="68" spans="1:30" x14ac:dyDescent="0.25">
      <c r="A68" t="str">
        <f t="shared" si="20"/>
        <v>21/07/2026Queensland LionsPerth Glory</v>
      </c>
      <c r="B68" t="s">
        <v>828</v>
      </c>
      <c r="C68" t="s">
        <v>832</v>
      </c>
      <c r="D68" s="2">
        <v>46224</v>
      </c>
      <c r="E68" s="3">
        <v>0.39583333333333331</v>
      </c>
      <c r="F68" t="s">
        <v>391</v>
      </c>
      <c r="G68" t="s">
        <v>392</v>
      </c>
      <c r="H68">
        <v>0</v>
      </c>
      <c r="I68">
        <v>0</v>
      </c>
      <c r="J68">
        <v>1</v>
      </c>
      <c r="K68">
        <v>1</v>
      </c>
      <c r="L68" s="22" t="str">
        <f t="shared" si="21"/>
        <v>21/07/2026</v>
      </c>
      <c r="M68" s="23">
        <f t="shared" si="22"/>
        <v>0.27083333333333331</v>
      </c>
      <c r="N68" t="str">
        <f t="shared" si="23"/>
        <v>1 - 1</v>
      </c>
      <c r="O68" t="str">
        <f t="shared" si="24"/>
        <v>Red</v>
      </c>
      <c r="P68" t="str">
        <f t="shared" si="25"/>
        <v>Green</v>
      </c>
      <c r="Q68" t="str">
        <f t="shared" si="26"/>
        <v>Red</v>
      </c>
      <c r="R68" t="str">
        <f t="shared" si="27"/>
        <v>Green</v>
      </c>
      <c r="S68" t="str">
        <f t="shared" si="28"/>
        <v>Green</v>
      </c>
      <c r="T68" t="str">
        <f t="shared" si="29"/>
        <v>Red</v>
      </c>
      <c r="U68" t="str">
        <f t="shared" si="30"/>
        <v>Red</v>
      </c>
      <c r="V68" t="str">
        <f t="shared" si="31"/>
        <v>Green</v>
      </c>
      <c r="W68" t="str">
        <f t="shared" si="32"/>
        <v>Red</v>
      </c>
      <c r="X68" t="str">
        <f t="shared" si="33"/>
        <v>Red</v>
      </c>
      <c r="Y68" t="str">
        <f t="shared" si="34"/>
        <v>Green</v>
      </c>
      <c r="Z68" t="str">
        <f t="shared" si="35"/>
        <v>Red</v>
      </c>
      <c r="AA68" t="str">
        <f t="shared" si="36"/>
        <v>Green</v>
      </c>
      <c r="AB68" t="str">
        <f t="shared" si="37"/>
        <v>Green</v>
      </c>
      <c r="AC68" t="str">
        <f t="shared" si="38"/>
        <v>Green</v>
      </c>
      <c r="AD68" t="str">
        <f t="shared" si="39"/>
        <v>Red</v>
      </c>
    </row>
    <row r="69" spans="1:30" x14ac:dyDescent="0.25">
      <c r="A69" t="str">
        <f t="shared" si="20"/>
        <v>21/07/2026Adelaide HillsVipers FC Adelaide</v>
      </c>
      <c r="B69" t="s">
        <v>828</v>
      </c>
      <c r="C69" t="s">
        <v>830</v>
      </c>
      <c r="D69" s="2">
        <v>46224</v>
      </c>
      <c r="E69" s="3">
        <v>0.41666666666666669</v>
      </c>
      <c r="F69" t="s">
        <v>386</v>
      </c>
      <c r="G69" t="s">
        <v>387</v>
      </c>
      <c r="H69">
        <v>0</v>
      </c>
      <c r="I69">
        <v>1</v>
      </c>
      <c r="J69">
        <v>0</v>
      </c>
      <c r="K69">
        <v>1</v>
      </c>
      <c r="L69" s="22" t="str">
        <f t="shared" si="21"/>
        <v>21/07/2026</v>
      </c>
      <c r="M69" s="23">
        <f t="shared" si="22"/>
        <v>0.29166666666666669</v>
      </c>
      <c r="N69" t="str">
        <f t="shared" si="23"/>
        <v>0 - 1</v>
      </c>
      <c r="O69" t="str">
        <f t="shared" si="24"/>
        <v>Red</v>
      </c>
      <c r="P69" t="str">
        <f t="shared" si="25"/>
        <v>Red</v>
      </c>
      <c r="Q69" t="str">
        <f t="shared" si="26"/>
        <v>Green</v>
      </c>
      <c r="R69" t="str">
        <f t="shared" si="27"/>
        <v>Red</v>
      </c>
      <c r="S69" t="str">
        <f t="shared" si="28"/>
        <v>Green</v>
      </c>
      <c r="T69" t="str">
        <f t="shared" si="29"/>
        <v>Green</v>
      </c>
      <c r="U69" t="str">
        <f t="shared" si="30"/>
        <v>Red</v>
      </c>
      <c r="V69" t="str">
        <f t="shared" si="31"/>
        <v>Red</v>
      </c>
      <c r="W69" t="str">
        <f t="shared" si="32"/>
        <v>Green</v>
      </c>
      <c r="X69" t="str">
        <f t="shared" si="33"/>
        <v>Green</v>
      </c>
      <c r="Y69" t="str">
        <f t="shared" si="34"/>
        <v>Red</v>
      </c>
      <c r="Z69" t="str">
        <f t="shared" si="35"/>
        <v>Red</v>
      </c>
      <c r="AA69" t="str">
        <f t="shared" si="36"/>
        <v>Green</v>
      </c>
      <c r="AB69" t="str">
        <f t="shared" si="37"/>
        <v>Green</v>
      </c>
      <c r="AC69" t="str">
        <f t="shared" si="38"/>
        <v>Red</v>
      </c>
      <c r="AD69" t="str">
        <f t="shared" si="39"/>
        <v>Green</v>
      </c>
    </row>
    <row r="70" spans="1:30" x14ac:dyDescent="0.25">
      <c r="A70" t="str">
        <f t="shared" si="20"/>
        <v>21/07/2026Cumberland UnitedHeidelberg United</v>
      </c>
      <c r="B70" t="s">
        <v>828</v>
      </c>
      <c r="C70" t="s">
        <v>832</v>
      </c>
      <c r="D70" s="2">
        <v>46224</v>
      </c>
      <c r="E70" s="3">
        <v>0.41666666666666669</v>
      </c>
      <c r="F70" t="s">
        <v>393</v>
      </c>
      <c r="G70" t="s">
        <v>394</v>
      </c>
      <c r="H70">
        <v>0</v>
      </c>
      <c r="I70">
        <v>2</v>
      </c>
      <c r="J70">
        <v>0</v>
      </c>
      <c r="K70">
        <v>3</v>
      </c>
      <c r="L70" s="22" t="str">
        <f t="shared" si="21"/>
        <v>21/07/2026</v>
      </c>
      <c r="M70" s="23">
        <f t="shared" si="22"/>
        <v>0.29166666666666669</v>
      </c>
      <c r="N70" t="str">
        <f t="shared" si="23"/>
        <v>0 - 3</v>
      </c>
      <c r="O70" t="str">
        <f t="shared" si="24"/>
        <v>Red</v>
      </c>
      <c r="P70" t="str">
        <f t="shared" si="25"/>
        <v>Red</v>
      </c>
      <c r="Q70" t="str">
        <f t="shared" si="26"/>
        <v>Green</v>
      </c>
      <c r="R70" t="str">
        <f t="shared" si="27"/>
        <v>Red</v>
      </c>
      <c r="S70" t="str">
        <f t="shared" si="28"/>
        <v>Green</v>
      </c>
      <c r="T70" t="str">
        <f t="shared" si="29"/>
        <v>Green</v>
      </c>
      <c r="U70" t="str">
        <f t="shared" si="30"/>
        <v>Red</v>
      </c>
      <c r="V70" t="str">
        <f t="shared" si="31"/>
        <v>Red</v>
      </c>
      <c r="W70" t="str">
        <f t="shared" si="32"/>
        <v>Green</v>
      </c>
      <c r="X70" t="str">
        <f t="shared" si="33"/>
        <v>Green</v>
      </c>
      <c r="Y70" t="str">
        <f t="shared" si="34"/>
        <v>Green</v>
      </c>
      <c r="Z70" t="str">
        <f t="shared" si="35"/>
        <v>Green</v>
      </c>
      <c r="AA70" t="str">
        <f t="shared" si="36"/>
        <v>Red</v>
      </c>
      <c r="AB70" t="str">
        <f t="shared" si="37"/>
        <v>Green</v>
      </c>
      <c r="AC70" t="str">
        <f t="shared" si="38"/>
        <v>Red</v>
      </c>
      <c r="AD70" t="str">
        <f t="shared" si="39"/>
        <v>Green</v>
      </c>
    </row>
    <row r="71" spans="1:30" x14ac:dyDescent="0.25">
      <c r="A71" t="str">
        <f t="shared" si="20"/>
        <v>21/07/2026Bayswater CitySydney</v>
      </c>
      <c r="B71" t="s">
        <v>828</v>
      </c>
      <c r="C71" t="s">
        <v>832</v>
      </c>
      <c r="D71" s="2">
        <v>46224</v>
      </c>
      <c r="E71" s="3">
        <v>0.4375</v>
      </c>
      <c r="F71" t="s">
        <v>395</v>
      </c>
      <c r="G71" t="s">
        <v>396</v>
      </c>
      <c r="H71">
        <v>1</v>
      </c>
      <c r="I71">
        <v>2</v>
      </c>
      <c r="J71">
        <v>1</v>
      </c>
      <c r="K71">
        <v>5</v>
      </c>
      <c r="L71" s="22" t="str">
        <f t="shared" si="21"/>
        <v>21/07/2026</v>
      </c>
      <c r="M71" s="23">
        <f t="shared" si="22"/>
        <v>0.3125</v>
      </c>
      <c r="N71" t="str">
        <f t="shared" si="23"/>
        <v>1 - 5</v>
      </c>
      <c r="O71" t="str">
        <f t="shared" si="24"/>
        <v>Red</v>
      </c>
      <c r="P71" t="str">
        <f t="shared" si="25"/>
        <v>Red</v>
      </c>
      <c r="Q71" t="str">
        <f t="shared" si="26"/>
        <v>Green</v>
      </c>
      <c r="R71" t="str">
        <f t="shared" si="27"/>
        <v>Red</v>
      </c>
      <c r="S71" t="str">
        <f t="shared" si="28"/>
        <v>Green</v>
      </c>
      <c r="T71" t="str">
        <f t="shared" si="29"/>
        <v>Green</v>
      </c>
      <c r="U71" t="str">
        <f t="shared" si="30"/>
        <v>Red</v>
      </c>
      <c r="V71" t="str">
        <f t="shared" si="31"/>
        <v>Red</v>
      </c>
      <c r="W71" t="str">
        <f t="shared" si="32"/>
        <v>Green</v>
      </c>
      <c r="X71" t="str">
        <f t="shared" si="33"/>
        <v>Green</v>
      </c>
      <c r="Y71" t="str">
        <f t="shared" si="34"/>
        <v>Green</v>
      </c>
      <c r="Z71" t="str">
        <f t="shared" si="35"/>
        <v>Green</v>
      </c>
      <c r="AA71" t="str">
        <f t="shared" si="36"/>
        <v>Red</v>
      </c>
      <c r="AB71" t="str">
        <f t="shared" si="37"/>
        <v>Red</v>
      </c>
      <c r="AC71" t="str">
        <f t="shared" si="38"/>
        <v>Green</v>
      </c>
      <c r="AD71" t="str">
        <f t="shared" si="39"/>
        <v>Red</v>
      </c>
    </row>
    <row r="72" spans="1:30" x14ac:dyDescent="0.25">
      <c r="A72" t="str">
        <f t="shared" si="20"/>
        <v>21/07/2026Jeju UnitedGangwon</v>
      </c>
      <c r="D72" s="2">
        <v>46224</v>
      </c>
      <c r="E72" s="3">
        <v>0.4375</v>
      </c>
      <c r="F72" t="s">
        <v>218</v>
      </c>
      <c r="G72" t="s">
        <v>1431</v>
      </c>
      <c r="H72">
        <v>1</v>
      </c>
      <c r="I72">
        <v>1</v>
      </c>
      <c r="J72">
        <v>1</v>
      </c>
      <c r="K72">
        <v>1</v>
      </c>
      <c r="L72" s="22" t="str">
        <f t="shared" si="21"/>
        <v>21/07/2026</v>
      </c>
      <c r="M72" s="23">
        <f t="shared" si="22"/>
        <v>0.3125</v>
      </c>
      <c r="N72" t="str">
        <f t="shared" si="23"/>
        <v>1 - 1</v>
      </c>
      <c r="O72" t="str">
        <f t="shared" si="24"/>
        <v>Red</v>
      </c>
      <c r="P72" t="str">
        <f t="shared" si="25"/>
        <v>Green</v>
      </c>
      <c r="Q72" t="str">
        <f t="shared" si="26"/>
        <v>Red</v>
      </c>
      <c r="R72" t="str">
        <f t="shared" si="27"/>
        <v>Green</v>
      </c>
      <c r="S72" t="str">
        <f t="shared" si="28"/>
        <v>Green</v>
      </c>
      <c r="T72" t="str">
        <f t="shared" si="29"/>
        <v>Red</v>
      </c>
      <c r="U72" t="str">
        <f t="shared" si="30"/>
        <v>Red</v>
      </c>
      <c r="V72" t="str">
        <f t="shared" si="31"/>
        <v>Green</v>
      </c>
      <c r="W72" t="str">
        <f t="shared" si="32"/>
        <v>Red</v>
      </c>
      <c r="X72" t="str">
        <f t="shared" si="33"/>
        <v>Green</v>
      </c>
      <c r="Y72" t="str">
        <f t="shared" si="34"/>
        <v>Green</v>
      </c>
      <c r="Z72" t="str">
        <f t="shared" si="35"/>
        <v>Red</v>
      </c>
      <c r="AA72" t="str">
        <f t="shared" si="36"/>
        <v>Green</v>
      </c>
      <c r="AB72" t="str">
        <f t="shared" si="37"/>
        <v>Green</v>
      </c>
      <c r="AC72" t="str">
        <f t="shared" si="38"/>
        <v>Green</v>
      </c>
      <c r="AD72" t="str">
        <f t="shared" si="39"/>
        <v>Red</v>
      </c>
    </row>
    <row r="73" spans="1:30" x14ac:dyDescent="0.25">
      <c r="A73" t="str">
        <f t="shared" si="20"/>
        <v>21/07/2026Jeonbuk Hyundai MotorsDaejeon Citizen</v>
      </c>
      <c r="D73" s="2">
        <v>46224</v>
      </c>
      <c r="E73" s="3">
        <v>0.4375</v>
      </c>
      <c r="F73" t="s">
        <v>1432</v>
      </c>
      <c r="G73" t="s">
        <v>1433</v>
      </c>
      <c r="H73">
        <v>0</v>
      </c>
      <c r="I73">
        <v>0</v>
      </c>
      <c r="J73">
        <v>0</v>
      </c>
      <c r="K73">
        <v>0</v>
      </c>
      <c r="L73" s="22" t="str">
        <f t="shared" si="21"/>
        <v>21/07/2026</v>
      </c>
      <c r="M73" s="23">
        <f t="shared" si="22"/>
        <v>0.3125</v>
      </c>
      <c r="N73" t="str">
        <f t="shared" si="23"/>
        <v>0 - 0</v>
      </c>
      <c r="O73" t="str">
        <f t="shared" si="24"/>
        <v>Red</v>
      </c>
      <c r="P73" t="str">
        <f t="shared" si="25"/>
        <v>Green</v>
      </c>
      <c r="Q73" t="str">
        <f t="shared" si="26"/>
        <v>Red</v>
      </c>
      <c r="R73" t="str">
        <f t="shared" si="27"/>
        <v>Green</v>
      </c>
      <c r="S73" t="str">
        <f t="shared" si="28"/>
        <v>Green</v>
      </c>
      <c r="T73" t="str">
        <f t="shared" si="29"/>
        <v>Red</v>
      </c>
      <c r="U73" t="str">
        <f t="shared" si="30"/>
        <v>Red</v>
      </c>
      <c r="V73" t="str">
        <f t="shared" si="31"/>
        <v>Green</v>
      </c>
      <c r="W73" t="str">
        <f t="shared" si="32"/>
        <v>Red</v>
      </c>
      <c r="X73" t="str">
        <f t="shared" si="33"/>
        <v>Red</v>
      </c>
      <c r="Y73" t="str">
        <f t="shared" si="34"/>
        <v>Red</v>
      </c>
      <c r="Z73" t="str">
        <f t="shared" si="35"/>
        <v>Red</v>
      </c>
      <c r="AA73" t="str">
        <f t="shared" si="36"/>
        <v>Green</v>
      </c>
      <c r="AB73" t="str">
        <f t="shared" si="37"/>
        <v>Green</v>
      </c>
      <c r="AC73" t="str">
        <f t="shared" si="38"/>
        <v>Red</v>
      </c>
      <c r="AD73" t="str">
        <f t="shared" si="39"/>
        <v>Green</v>
      </c>
    </row>
    <row r="74" spans="1:30" x14ac:dyDescent="0.25">
      <c r="A74" t="str">
        <f t="shared" si="20"/>
        <v>21/07/2026Ulsan HyundaiIncheon United</v>
      </c>
      <c r="D74" s="2">
        <v>46224</v>
      </c>
      <c r="E74" s="3">
        <v>0.4375</v>
      </c>
      <c r="F74" t="s">
        <v>1434</v>
      </c>
      <c r="G74" t="s">
        <v>1435</v>
      </c>
      <c r="H74">
        <v>1</v>
      </c>
      <c r="I74">
        <v>1</v>
      </c>
      <c r="J74">
        <v>1</v>
      </c>
      <c r="K74">
        <v>2</v>
      </c>
      <c r="L74" s="22" t="str">
        <f t="shared" si="21"/>
        <v>21/07/2026</v>
      </c>
      <c r="M74" s="23">
        <f t="shared" si="22"/>
        <v>0.3125</v>
      </c>
      <c r="N74" t="str">
        <f t="shared" si="23"/>
        <v>1 - 2</v>
      </c>
      <c r="O74" t="str">
        <f t="shared" si="24"/>
        <v>Red</v>
      </c>
      <c r="P74" t="str">
        <f t="shared" si="25"/>
        <v>Red</v>
      </c>
      <c r="Q74" t="str">
        <f t="shared" si="26"/>
        <v>Green</v>
      </c>
      <c r="R74" t="str">
        <f t="shared" si="27"/>
        <v>Red</v>
      </c>
      <c r="S74" t="str">
        <f t="shared" si="28"/>
        <v>Green</v>
      </c>
      <c r="T74" t="str">
        <f t="shared" si="29"/>
        <v>Green</v>
      </c>
      <c r="U74" t="str">
        <f t="shared" si="30"/>
        <v>Red</v>
      </c>
      <c r="V74" t="str">
        <f t="shared" si="31"/>
        <v>Green</v>
      </c>
      <c r="W74" t="str">
        <f t="shared" si="32"/>
        <v>Red</v>
      </c>
      <c r="X74" t="str">
        <f t="shared" si="33"/>
        <v>Green</v>
      </c>
      <c r="Y74" t="str">
        <f t="shared" si="34"/>
        <v>Green</v>
      </c>
      <c r="Z74" t="str">
        <f t="shared" si="35"/>
        <v>Green</v>
      </c>
      <c r="AA74" t="str">
        <f t="shared" si="36"/>
        <v>Red</v>
      </c>
      <c r="AB74" t="str">
        <f t="shared" si="37"/>
        <v>Green</v>
      </c>
      <c r="AC74" t="str">
        <f t="shared" si="38"/>
        <v>Green</v>
      </c>
      <c r="AD74" t="str">
        <f t="shared" si="39"/>
        <v>Red</v>
      </c>
    </row>
    <row r="75" spans="1:30" x14ac:dyDescent="0.25">
      <c r="A75" t="str">
        <f t="shared" si="20"/>
        <v>21/07/2026Cockburn City ReservesUWA-Nedlands FC Reserves</v>
      </c>
      <c r="B75" t="s">
        <v>828</v>
      </c>
      <c r="C75" t="s">
        <v>1350</v>
      </c>
      <c r="D75" s="2">
        <v>46224</v>
      </c>
      <c r="E75" s="3">
        <v>0.45833333333333331</v>
      </c>
      <c r="F75" t="s">
        <v>1351</v>
      </c>
      <c r="G75" t="s">
        <v>1352</v>
      </c>
      <c r="L75" s="22" t="str">
        <f t="shared" si="21"/>
        <v>21/07/2026</v>
      </c>
      <c r="M75" s="23">
        <f t="shared" si="22"/>
        <v>0.33333333333333331</v>
      </c>
      <c r="N75" t="str">
        <f t="shared" si="23"/>
        <v xml:space="preserve"> - </v>
      </c>
      <c r="O75" t="str">
        <f t="shared" si="24"/>
        <v>Red</v>
      </c>
      <c r="P75" t="str">
        <f t="shared" si="25"/>
        <v>Green</v>
      </c>
      <c r="Q75" t="str">
        <f t="shared" si="26"/>
        <v>Red</v>
      </c>
      <c r="R75" t="str">
        <f t="shared" si="27"/>
        <v>Green</v>
      </c>
      <c r="S75" t="str">
        <f t="shared" si="28"/>
        <v>Green</v>
      </c>
      <c r="T75" t="str">
        <f t="shared" si="29"/>
        <v>Red</v>
      </c>
      <c r="U75" t="str">
        <f t="shared" si="30"/>
        <v>Red</v>
      </c>
      <c r="V75" t="str">
        <f t="shared" si="31"/>
        <v>Green</v>
      </c>
      <c r="W75" t="str">
        <f t="shared" si="32"/>
        <v>Red</v>
      </c>
      <c r="X75" t="str">
        <f t="shared" si="33"/>
        <v>Red</v>
      </c>
      <c r="Y75" t="str">
        <f t="shared" si="34"/>
        <v>Red</v>
      </c>
      <c r="Z75" t="str">
        <f t="shared" si="35"/>
        <v>Red</v>
      </c>
      <c r="AA75" t="str">
        <f t="shared" si="36"/>
        <v>Green</v>
      </c>
      <c r="AB75" t="str">
        <f t="shared" si="37"/>
        <v>Green</v>
      </c>
      <c r="AC75" t="str">
        <f t="shared" si="38"/>
        <v>Red</v>
      </c>
      <c r="AD75" t="str">
        <f t="shared" si="39"/>
        <v>Green</v>
      </c>
    </row>
    <row r="76" spans="1:30" x14ac:dyDescent="0.25">
      <c r="A76" t="str">
        <f t="shared" si="20"/>
        <v>21/07/2026Shanghai PortShenzhen Peng City</v>
      </c>
      <c r="B76" t="s">
        <v>837</v>
      </c>
      <c r="C76" t="s">
        <v>838</v>
      </c>
      <c r="D76" s="2">
        <v>46224</v>
      </c>
      <c r="E76" s="3">
        <v>0.45833333333333331</v>
      </c>
      <c r="F76" t="s">
        <v>406</v>
      </c>
      <c r="G76" t="s">
        <v>407</v>
      </c>
      <c r="H76">
        <v>1</v>
      </c>
      <c r="I76">
        <v>0</v>
      </c>
      <c r="J76">
        <v>1</v>
      </c>
      <c r="K76">
        <v>1</v>
      </c>
      <c r="L76" s="22" t="str">
        <f t="shared" si="21"/>
        <v>21/07/2026</v>
      </c>
      <c r="M76" s="23">
        <f t="shared" si="22"/>
        <v>0.33333333333333331</v>
      </c>
      <c r="N76" t="str">
        <f t="shared" si="23"/>
        <v>1 - 1</v>
      </c>
      <c r="O76" t="str">
        <f t="shared" si="24"/>
        <v>Red</v>
      </c>
      <c r="P76" t="str">
        <f t="shared" si="25"/>
        <v>Green</v>
      </c>
      <c r="Q76" t="str">
        <f t="shared" si="26"/>
        <v>Red</v>
      </c>
      <c r="R76" t="str">
        <f t="shared" si="27"/>
        <v>Green</v>
      </c>
      <c r="S76" t="str">
        <f t="shared" si="28"/>
        <v>Green</v>
      </c>
      <c r="T76" t="str">
        <f t="shared" si="29"/>
        <v>Red</v>
      </c>
      <c r="U76" t="str">
        <f t="shared" si="30"/>
        <v>Green</v>
      </c>
      <c r="V76" t="str">
        <f t="shared" si="31"/>
        <v>Red</v>
      </c>
      <c r="W76" t="str">
        <f t="shared" si="32"/>
        <v>Red</v>
      </c>
      <c r="X76" t="str">
        <f t="shared" si="33"/>
        <v>Green</v>
      </c>
      <c r="Y76" t="str">
        <f t="shared" si="34"/>
        <v>Green</v>
      </c>
      <c r="Z76" t="str">
        <f t="shared" si="35"/>
        <v>Red</v>
      </c>
      <c r="AA76" t="str">
        <f t="shared" si="36"/>
        <v>Green</v>
      </c>
      <c r="AB76" t="str">
        <f t="shared" si="37"/>
        <v>Green</v>
      </c>
      <c r="AC76" t="str">
        <f t="shared" si="38"/>
        <v>Green</v>
      </c>
      <c r="AD76" t="str">
        <f t="shared" si="39"/>
        <v>Red</v>
      </c>
    </row>
    <row r="77" spans="1:30" x14ac:dyDescent="0.25">
      <c r="A77" t="str">
        <f t="shared" si="20"/>
        <v>21/07/2026Sheffield UnitedHuddersfield Town</v>
      </c>
      <c r="D77" s="2">
        <v>46224</v>
      </c>
      <c r="E77" s="3">
        <v>0.45833333333333331</v>
      </c>
      <c r="F77" t="s">
        <v>1443</v>
      </c>
      <c r="G77" t="s">
        <v>1444</v>
      </c>
      <c r="H77">
        <v>0</v>
      </c>
      <c r="I77">
        <v>1</v>
      </c>
      <c r="J77">
        <v>3</v>
      </c>
      <c r="K77">
        <v>1</v>
      </c>
      <c r="L77" s="22" t="str">
        <f t="shared" si="21"/>
        <v>21/07/2026</v>
      </c>
      <c r="M77" s="23">
        <f t="shared" si="22"/>
        <v>0.33333333333333331</v>
      </c>
      <c r="N77" t="str">
        <f t="shared" si="23"/>
        <v>3 - 1</v>
      </c>
      <c r="O77" t="str">
        <f t="shared" si="24"/>
        <v>Green</v>
      </c>
      <c r="P77" t="str">
        <f t="shared" si="25"/>
        <v>Red</v>
      </c>
      <c r="Q77" t="str">
        <f t="shared" si="26"/>
        <v>Red</v>
      </c>
      <c r="R77" t="str">
        <f t="shared" si="27"/>
        <v>Green</v>
      </c>
      <c r="S77" t="str">
        <f t="shared" si="28"/>
        <v>Red</v>
      </c>
      <c r="T77" t="str">
        <f t="shared" si="29"/>
        <v>Green</v>
      </c>
      <c r="U77" t="str">
        <f t="shared" si="30"/>
        <v>Red</v>
      </c>
      <c r="V77" t="str">
        <f t="shared" si="31"/>
        <v>Red</v>
      </c>
      <c r="W77" t="str">
        <f t="shared" si="32"/>
        <v>Green</v>
      </c>
      <c r="X77" t="str">
        <f t="shared" si="33"/>
        <v>Green</v>
      </c>
      <c r="Y77" t="str">
        <f t="shared" si="34"/>
        <v>Green</v>
      </c>
      <c r="Z77" t="str">
        <f t="shared" si="35"/>
        <v>Green</v>
      </c>
      <c r="AA77" t="str">
        <f t="shared" si="36"/>
        <v>Red</v>
      </c>
      <c r="AB77" t="str">
        <f t="shared" si="37"/>
        <v>Red</v>
      </c>
      <c r="AC77" t="str">
        <f t="shared" si="38"/>
        <v>Green</v>
      </c>
      <c r="AD77" t="str">
        <f t="shared" si="39"/>
        <v>Red</v>
      </c>
    </row>
    <row r="78" spans="1:30" x14ac:dyDescent="0.25">
      <c r="A78" t="str">
        <f t="shared" si="20"/>
        <v>21/07/2026Chongqing TonglianglongQingdao Kangtine</v>
      </c>
      <c r="B78" t="s">
        <v>837</v>
      </c>
      <c r="C78" t="s">
        <v>838</v>
      </c>
      <c r="D78" s="2">
        <v>46224</v>
      </c>
      <c r="E78" s="3">
        <v>0.4826388888888889</v>
      </c>
      <c r="F78" t="s">
        <v>408</v>
      </c>
      <c r="G78" t="s">
        <v>409</v>
      </c>
      <c r="H78">
        <v>1</v>
      </c>
      <c r="I78">
        <v>0</v>
      </c>
      <c r="J78">
        <v>2</v>
      </c>
      <c r="K78">
        <v>0</v>
      </c>
      <c r="L78" s="22" t="str">
        <f t="shared" si="21"/>
        <v>21/07/2026</v>
      </c>
      <c r="M78" s="23">
        <f t="shared" si="22"/>
        <v>0.3576388888888889</v>
      </c>
      <c r="N78" t="str">
        <f t="shared" si="23"/>
        <v>2 - 0</v>
      </c>
      <c r="O78" t="str">
        <f t="shared" si="24"/>
        <v>Green</v>
      </c>
      <c r="P78" t="str">
        <f t="shared" si="25"/>
        <v>Red</v>
      </c>
      <c r="Q78" t="str">
        <f t="shared" si="26"/>
        <v>Red</v>
      </c>
      <c r="R78" t="str">
        <f t="shared" si="27"/>
        <v>Green</v>
      </c>
      <c r="S78" t="str">
        <f t="shared" si="28"/>
        <v>Red</v>
      </c>
      <c r="T78" t="str">
        <f t="shared" si="29"/>
        <v>Green</v>
      </c>
      <c r="U78" t="str">
        <f t="shared" si="30"/>
        <v>Green</v>
      </c>
      <c r="V78" t="str">
        <f t="shared" si="31"/>
        <v>Red</v>
      </c>
      <c r="W78" t="str">
        <f t="shared" si="32"/>
        <v>Red</v>
      </c>
      <c r="X78" t="str">
        <f t="shared" si="33"/>
        <v>Green</v>
      </c>
      <c r="Y78" t="str">
        <f t="shared" si="34"/>
        <v>Green</v>
      </c>
      <c r="Z78" t="str">
        <f t="shared" si="35"/>
        <v>Red</v>
      </c>
      <c r="AA78" t="str">
        <f t="shared" si="36"/>
        <v>Green</v>
      </c>
      <c r="AB78" t="str">
        <f t="shared" si="37"/>
        <v>Green</v>
      </c>
      <c r="AC78" t="str">
        <f t="shared" si="38"/>
        <v>Red</v>
      </c>
      <c r="AD78" t="str">
        <f t="shared" si="39"/>
        <v>Green</v>
      </c>
    </row>
    <row r="79" spans="1:30" x14ac:dyDescent="0.25">
      <c r="A79" t="str">
        <f t="shared" si="20"/>
        <v>21/07/2026Shanghai Greenland ShenhuaQingdao Jonoon</v>
      </c>
      <c r="B79" t="s">
        <v>837</v>
      </c>
      <c r="C79" t="s">
        <v>838</v>
      </c>
      <c r="D79" s="2">
        <v>46224</v>
      </c>
      <c r="E79" s="3">
        <v>0.4826388888888889</v>
      </c>
      <c r="F79" t="s">
        <v>410</v>
      </c>
      <c r="G79" t="s">
        <v>411</v>
      </c>
      <c r="H79">
        <v>4</v>
      </c>
      <c r="I79">
        <v>1</v>
      </c>
      <c r="J79">
        <v>4</v>
      </c>
      <c r="K79">
        <v>1</v>
      </c>
      <c r="L79" s="22" t="str">
        <f t="shared" si="21"/>
        <v>21/07/2026</v>
      </c>
      <c r="M79" s="23">
        <f t="shared" si="22"/>
        <v>0.3576388888888889</v>
      </c>
      <c r="N79" t="str">
        <f t="shared" si="23"/>
        <v>4 - 1</v>
      </c>
      <c r="O79" t="str">
        <f t="shared" si="24"/>
        <v>Green</v>
      </c>
      <c r="P79" t="str">
        <f t="shared" si="25"/>
        <v>Red</v>
      </c>
      <c r="Q79" t="str">
        <f t="shared" si="26"/>
        <v>Red</v>
      </c>
      <c r="R79" t="str">
        <f t="shared" si="27"/>
        <v>Green</v>
      </c>
      <c r="S79" t="str">
        <f t="shared" si="28"/>
        <v>Red</v>
      </c>
      <c r="T79" t="str">
        <f t="shared" si="29"/>
        <v>Green</v>
      </c>
      <c r="U79" t="str">
        <f t="shared" si="30"/>
        <v>Green</v>
      </c>
      <c r="V79" t="str">
        <f t="shared" si="31"/>
        <v>Red</v>
      </c>
      <c r="W79" t="str">
        <f t="shared" si="32"/>
        <v>Red</v>
      </c>
      <c r="X79" t="str">
        <f t="shared" si="33"/>
        <v>Green</v>
      </c>
      <c r="Y79" t="str">
        <f t="shared" si="34"/>
        <v>Green</v>
      </c>
      <c r="Z79" t="str">
        <f t="shared" si="35"/>
        <v>Green</v>
      </c>
      <c r="AA79" t="str">
        <f t="shared" si="36"/>
        <v>Red</v>
      </c>
      <c r="AB79" t="str">
        <f t="shared" si="37"/>
        <v>Red</v>
      </c>
      <c r="AC79" t="str">
        <f t="shared" si="38"/>
        <v>Green</v>
      </c>
      <c r="AD79" t="str">
        <f t="shared" si="39"/>
        <v>Red</v>
      </c>
    </row>
    <row r="80" spans="1:30" x14ac:dyDescent="0.25">
      <c r="A80" t="str">
        <f t="shared" si="20"/>
        <v>21/07/2026Wuhan Three TownsShandong Luneng Taishan</v>
      </c>
      <c r="B80" t="s">
        <v>837</v>
      </c>
      <c r="C80" t="s">
        <v>838</v>
      </c>
      <c r="D80" s="2">
        <v>46224</v>
      </c>
      <c r="E80" s="3">
        <v>0.4826388888888889</v>
      </c>
      <c r="F80" t="s">
        <v>412</v>
      </c>
      <c r="G80" t="s">
        <v>413</v>
      </c>
      <c r="H80">
        <v>1</v>
      </c>
      <c r="I80">
        <v>0</v>
      </c>
      <c r="J80">
        <v>2</v>
      </c>
      <c r="K80">
        <v>2</v>
      </c>
      <c r="L80" s="22" t="str">
        <f t="shared" si="21"/>
        <v>21/07/2026</v>
      </c>
      <c r="M80" s="23">
        <f t="shared" si="22"/>
        <v>0.3576388888888889</v>
      </c>
      <c r="N80" t="str">
        <f t="shared" si="23"/>
        <v>2 - 2</v>
      </c>
      <c r="O80" t="str">
        <f t="shared" si="24"/>
        <v>Red</v>
      </c>
      <c r="P80" t="str">
        <f t="shared" si="25"/>
        <v>Green</v>
      </c>
      <c r="Q80" t="str">
        <f t="shared" si="26"/>
        <v>Red</v>
      </c>
      <c r="R80" t="str">
        <f t="shared" si="27"/>
        <v>Green</v>
      </c>
      <c r="S80" t="str">
        <f t="shared" si="28"/>
        <v>Green</v>
      </c>
      <c r="T80" t="str">
        <f t="shared" si="29"/>
        <v>Red</v>
      </c>
      <c r="U80" t="str">
        <f t="shared" si="30"/>
        <v>Green</v>
      </c>
      <c r="V80" t="str">
        <f t="shared" si="31"/>
        <v>Red</v>
      </c>
      <c r="W80" t="str">
        <f t="shared" si="32"/>
        <v>Red</v>
      </c>
      <c r="X80" t="str">
        <f t="shared" si="33"/>
        <v>Green</v>
      </c>
      <c r="Y80" t="str">
        <f t="shared" si="34"/>
        <v>Green</v>
      </c>
      <c r="Z80" t="str">
        <f t="shared" si="35"/>
        <v>Green</v>
      </c>
      <c r="AA80" t="str">
        <f t="shared" si="36"/>
        <v>Red</v>
      </c>
      <c r="AB80" t="str">
        <f t="shared" si="37"/>
        <v>Red</v>
      </c>
      <c r="AC80" t="str">
        <f t="shared" si="38"/>
        <v>Green</v>
      </c>
      <c r="AD80" t="str">
        <f t="shared" si="39"/>
        <v>Red</v>
      </c>
    </row>
    <row r="81" spans="1:30" x14ac:dyDescent="0.25">
      <c r="A81" t="str">
        <f t="shared" si="20"/>
        <v>21/07/2026Henan JianyeDalian Young Boy</v>
      </c>
      <c r="B81" t="s">
        <v>837</v>
      </c>
      <c r="C81" t="s">
        <v>838</v>
      </c>
      <c r="D81" s="2">
        <v>46224</v>
      </c>
      <c r="E81" s="3">
        <v>0.5</v>
      </c>
      <c r="F81" t="s">
        <v>414</v>
      </c>
      <c r="G81" t="s">
        <v>415</v>
      </c>
      <c r="H81">
        <v>1</v>
      </c>
      <c r="I81">
        <v>1</v>
      </c>
      <c r="J81">
        <v>1</v>
      </c>
      <c r="K81">
        <v>1</v>
      </c>
      <c r="L81" s="22" t="str">
        <f t="shared" si="21"/>
        <v>21/07/2026</v>
      </c>
      <c r="M81" s="23">
        <f t="shared" si="22"/>
        <v>0.375</v>
      </c>
      <c r="N81" t="str">
        <f t="shared" si="23"/>
        <v>1 - 1</v>
      </c>
      <c r="O81" t="str">
        <f t="shared" si="24"/>
        <v>Red</v>
      </c>
      <c r="P81" t="str">
        <f t="shared" si="25"/>
        <v>Green</v>
      </c>
      <c r="Q81" t="str">
        <f t="shared" si="26"/>
        <v>Red</v>
      </c>
      <c r="R81" t="str">
        <f t="shared" si="27"/>
        <v>Green</v>
      </c>
      <c r="S81" t="str">
        <f t="shared" si="28"/>
        <v>Green</v>
      </c>
      <c r="T81" t="str">
        <f t="shared" si="29"/>
        <v>Red</v>
      </c>
      <c r="U81" t="str">
        <f t="shared" si="30"/>
        <v>Red</v>
      </c>
      <c r="V81" t="str">
        <f t="shared" si="31"/>
        <v>Green</v>
      </c>
      <c r="W81" t="str">
        <f t="shared" si="32"/>
        <v>Red</v>
      </c>
      <c r="X81" t="str">
        <f t="shared" si="33"/>
        <v>Green</v>
      </c>
      <c r="Y81" t="str">
        <f t="shared" si="34"/>
        <v>Green</v>
      </c>
      <c r="Z81" t="str">
        <f t="shared" si="35"/>
        <v>Red</v>
      </c>
      <c r="AA81" t="str">
        <f t="shared" si="36"/>
        <v>Green</v>
      </c>
      <c r="AB81" t="str">
        <f t="shared" si="37"/>
        <v>Green</v>
      </c>
      <c r="AC81" t="str">
        <f t="shared" si="38"/>
        <v>Green</v>
      </c>
      <c r="AD81" t="str">
        <f t="shared" si="39"/>
        <v>Red</v>
      </c>
    </row>
    <row r="82" spans="1:30" x14ac:dyDescent="0.25">
      <c r="A82" t="str">
        <f t="shared" si="20"/>
        <v>21/07/2026Yunnan YukunChengdu Qianbao</v>
      </c>
      <c r="B82" t="s">
        <v>837</v>
      </c>
      <c r="C82" t="s">
        <v>838</v>
      </c>
      <c r="D82" s="2">
        <v>46224</v>
      </c>
      <c r="E82" s="3">
        <v>0.5</v>
      </c>
      <c r="F82" t="s">
        <v>416</v>
      </c>
      <c r="G82" t="s">
        <v>417</v>
      </c>
      <c r="H82">
        <v>2</v>
      </c>
      <c r="I82">
        <v>2</v>
      </c>
      <c r="J82">
        <v>3</v>
      </c>
      <c r="K82">
        <v>3</v>
      </c>
      <c r="L82" s="22" t="str">
        <f t="shared" si="21"/>
        <v>21/07/2026</v>
      </c>
      <c r="M82" s="23">
        <f t="shared" si="22"/>
        <v>0.375</v>
      </c>
      <c r="N82" t="str">
        <f t="shared" si="23"/>
        <v>3 - 3</v>
      </c>
      <c r="O82" t="str">
        <f t="shared" si="24"/>
        <v>Red</v>
      </c>
      <c r="P82" t="str">
        <f t="shared" si="25"/>
        <v>Green</v>
      </c>
      <c r="Q82" t="str">
        <f t="shared" si="26"/>
        <v>Red</v>
      </c>
      <c r="R82" t="str">
        <f t="shared" si="27"/>
        <v>Green</v>
      </c>
      <c r="S82" t="str">
        <f t="shared" si="28"/>
        <v>Green</v>
      </c>
      <c r="T82" t="str">
        <f t="shared" si="29"/>
        <v>Red</v>
      </c>
      <c r="U82" t="str">
        <f t="shared" si="30"/>
        <v>Red</v>
      </c>
      <c r="V82" t="str">
        <f t="shared" si="31"/>
        <v>Green</v>
      </c>
      <c r="W82" t="str">
        <f t="shared" si="32"/>
        <v>Red</v>
      </c>
      <c r="X82" t="str">
        <f t="shared" si="33"/>
        <v>Green</v>
      </c>
      <c r="Y82" t="str">
        <f t="shared" si="34"/>
        <v>Green</v>
      </c>
      <c r="Z82" t="str">
        <f t="shared" si="35"/>
        <v>Green</v>
      </c>
      <c r="AA82" t="str">
        <f t="shared" si="36"/>
        <v>Red</v>
      </c>
      <c r="AB82" t="str">
        <f t="shared" si="37"/>
        <v>Red</v>
      </c>
      <c r="AC82" t="str">
        <f t="shared" si="38"/>
        <v>Green</v>
      </c>
      <c r="AD82" t="str">
        <f t="shared" si="39"/>
        <v>Red</v>
      </c>
    </row>
    <row r="83" spans="1:30" x14ac:dyDescent="0.25">
      <c r="A83" t="str">
        <f t="shared" si="20"/>
        <v>21/07/2026Queens Park RangersWycombe Wanderers</v>
      </c>
      <c r="D83" s="2">
        <v>46224</v>
      </c>
      <c r="E83" s="3">
        <v>0.5</v>
      </c>
      <c r="F83" t="s">
        <v>1445</v>
      </c>
      <c r="G83" t="s">
        <v>1446</v>
      </c>
      <c r="H83">
        <v>0</v>
      </c>
      <c r="I83">
        <v>0</v>
      </c>
      <c r="J83">
        <v>1</v>
      </c>
      <c r="K83">
        <v>0</v>
      </c>
      <c r="L83" s="22" t="str">
        <f t="shared" si="21"/>
        <v>21/07/2026</v>
      </c>
      <c r="M83" s="23">
        <f t="shared" si="22"/>
        <v>0.375</v>
      </c>
      <c r="N83" t="str">
        <f t="shared" si="23"/>
        <v>1 - 0</v>
      </c>
      <c r="O83" t="str">
        <f t="shared" si="24"/>
        <v>Green</v>
      </c>
      <c r="P83" t="str">
        <f t="shared" si="25"/>
        <v>Red</v>
      </c>
      <c r="Q83" t="str">
        <f t="shared" si="26"/>
        <v>Red</v>
      </c>
      <c r="R83" t="str">
        <f t="shared" si="27"/>
        <v>Green</v>
      </c>
      <c r="S83" t="str">
        <f t="shared" si="28"/>
        <v>Red</v>
      </c>
      <c r="T83" t="str">
        <f t="shared" si="29"/>
        <v>Green</v>
      </c>
      <c r="U83" t="str">
        <f t="shared" si="30"/>
        <v>Red</v>
      </c>
      <c r="V83" t="str">
        <f t="shared" si="31"/>
        <v>Green</v>
      </c>
      <c r="W83" t="str">
        <f t="shared" si="32"/>
        <v>Red</v>
      </c>
      <c r="X83" t="str">
        <f t="shared" si="33"/>
        <v>Red</v>
      </c>
      <c r="Y83" t="str">
        <f t="shared" si="34"/>
        <v>Red</v>
      </c>
      <c r="Z83" t="str">
        <f t="shared" si="35"/>
        <v>Red</v>
      </c>
      <c r="AA83" t="str">
        <f t="shared" si="36"/>
        <v>Green</v>
      </c>
      <c r="AB83" t="str">
        <f t="shared" si="37"/>
        <v>Green</v>
      </c>
      <c r="AC83" t="str">
        <f t="shared" si="38"/>
        <v>Red</v>
      </c>
      <c r="AD83" t="str">
        <f t="shared" si="39"/>
        <v>Green</v>
      </c>
    </row>
    <row r="84" spans="1:30" x14ac:dyDescent="0.25">
      <c r="A84" t="str">
        <f t="shared" si="20"/>
        <v>21/07/2026Sabah BakuFK Vardar Skopje</v>
      </c>
      <c r="B84" t="s">
        <v>820</v>
      </c>
      <c r="C84" t="s">
        <v>821</v>
      </c>
      <c r="D84" s="2">
        <v>46224</v>
      </c>
      <c r="E84" s="3">
        <v>0.54166666666666663</v>
      </c>
      <c r="F84" t="s">
        <v>353</v>
      </c>
      <c r="G84" t="s">
        <v>354</v>
      </c>
      <c r="L84" s="22" t="str">
        <f t="shared" si="21"/>
        <v>21/07/2026</v>
      </c>
      <c r="M84" s="23">
        <f t="shared" si="22"/>
        <v>0.41666666666666663</v>
      </c>
      <c r="N84" t="str">
        <f t="shared" si="23"/>
        <v xml:space="preserve"> - </v>
      </c>
      <c r="O84" t="str">
        <f t="shared" si="24"/>
        <v>Red</v>
      </c>
      <c r="P84" t="str">
        <f t="shared" si="25"/>
        <v>Green</v>
      </c>
      <c r="Q84" t="str">
        <f t="shared" si="26"/>
        <v>Red</v>
      </c>
      <c r="R84" t="str">
        <f t="shared" si="27"/>
        <v>Green</v>
      </c>
      <c r="S84" t="str">
        <f t="shared" si="28"/>
        <v>Green</v>
      </c>
      <c r="T84" t="str">
        <f t="shared" si="29"/>
        <v>Red</v>
      </c>
      <c r="U84" t="str">
        <f t="shared" si="30"/>
        <v>Red</v>
      </c>
      <c r="V84" t="str">
        <f t="shared" si="31"/>
        <v>Green</v>
      </c>
      <c r="W84" t="str">
        <f t="shared" si="32"/>
        <v>Red</v>
      </c>
      <c r="X84" t="str">
        <f t="shared" si="33"/>
        <v>Red</v>
      </c>
      <c r="Y84" t="str">
        <f t="shared" si="34"/>
        <v>Red</v>
      </c>
      <c r="Z84" t="str">
        <f t="shared" si="35"/>
        <v>Red</v>
      </c>
      <c r="AA84" t="str">
        <f t="shared" si="36"/>
        <v>Green</v>
      </c>
      <c r="AB84" t="str">
        <f t="shared" si="37"/>
        <v>Green</v>
      </c>
      <c r="AC84" t="str">
        <f t="shared" si="38"/>
        <v>Red</v>
      </c>
      <c r="AD84" t="str">
        <f t="shared" si="39"/>
        <v>Green</v>
      </c>
    </row>
    <row r="85" spans="1:30" x14ac:dyDescent="0.25">
      <c r="A85" t="str">
        <f t="shared" si="20"/>
        <v>21/07/2026Al Tadamon SourRacing Beirut</v>
      </c>
      <c r="D85" s="2">
        <v>46224</v>
      </c>
      <c r="E85" s="3">
        <v>0.54166666666666663</v>
      </c>
      <c r="F85" t="s">
        <v>1384</v>
      </c>
      <c r="G85" t="s">
        <v>1385</v>
      </c>
      <c r="H85">
        <v>0</v>
      </c>
      <c r="I85">
        <v>0</v>
      </c>
      <c r="J85">
        <v>1</v>
      </c>
      <c r="K85">
        <v>0</v>
      </c>
      <c r="L85" s="22" t="str">
        <f t="shared" si="21"/>
        <v>21/07/2026</v>
      </c>
      <c r="M85" s="23">
        <f t="shared" si="22"/>
        <v>0.41666666666666663</v>
      </c>
      <c r="N85" t="str">
        <f t="shared" si="23"/>
        <v>1 - 0</v>
      </c>
      <c r="O85" t="str">
        <f t="shared" si="24"/>
        <v>Green</v>
      </c>
      <c r="P85" t="str">
        <f t="shared" si="25"/>
        <v>Red</v>
      </c>
      <c r="Q85" t="str">
        <f t="shared" si="26"/>
        <v>Red</v>
      </c>
      <c r="R85" t="str">
        <f t="shared" si="27"/>
        <v>Green</v>
      </c>
      <c r="S85" t="str">
        <f t="shared" si="28"/>
        <v>Red</v>
      </c>
      <c r="T85" t="str">
        <f t="shared" si="29"/>
        <v>Green</v>
      </c>
      <c r="U85" t="str">
        <f t="shared" si="30"/>
        <v>Red</v>
      </c>
      <c r="V85" t="str">
        <f t="shared" si="31"/>
        <v>Green</v>
      </c>
      <c r="W85" t="str">
        <f t="shared" si="32"/>
        <v>Red</v>
      </c>
      <c r="X85" t="str">
        <f t="shared" si="33"/>
        <v>Red</v>
      </c>
      <c r="Y85" t="str">
        <f t="shared" si="34"/>
        <v>Red</v>
      </c>
      <c r="Z85" t="str">
        <f t="shared" si="35"/>
        <v>Red</v>
      </c>
      <c r="AA85" t="str">
        <f t="shared" si="36"/>
        <v>Green</v>
      </c>
      <c r="AB85" t="str">
        <f t="shared" si="37"/>
        <v>Green</v>
      </c>
      <c r="AC85" t="str">
        <f t="shared" si="38"/>
        <v>Red</v>
      </c>
      <c r="AD85" t="str">
        <f t="shared" si="39"/>
        <v>Green</v>
      </c>
    </row>
    <row r="86" spans="1:30" x14ac:dyDescent="0.25">
      <c r="A86" t="str">
        <f t="shared" si="20"/>
        <v>21/07/2026Zlatibor CajetinaMetalac Gornji Milanovac</v>
      </c>
      <c r="D86" s="2">
        <v>46224</v>
      </c>
      <c r="E86" s="3">
        <v>0.54166666666666663</v>
      </c>
      <c r="F86" t="s">
        <v>1447</v>
      </c>
      <c r="G86" t="s">
        <v>1448</v>
      </c>
      <c r="L86" s="22" t="str">
        <f t="shared" si="21"/>
        <v>21/07/2026</v>
      </c>
      <c r="M86" s="23">
        <f t="shared" si="22"/>
        <v>0.41666666666666663</v>
      </c>
      <c r="N86" t="str">
        <f t="shared" si="23"/>
        <v xml:space="preserve"> - </v>
      </c>
      <c r="O86" t="str">
        <f t="shared" si="24"/>
        <v>Red</v>
      </c>
      <c r="P86" t="str">
        <f t="shared" si="25"/>
        <v>Green</v>
      </c>
      <c r="Q86" t="str">
        <f t="shared" si="26"/>
        <v>Red</v>
      </c>
      <c r="R86" t="str">
        <f t="shared" si="27"/>
        <v>Green</v>
      </c>
      <c r="S86" t="str">
        <f t="shared" si="28"/>
        <v>Green</v>
      </c>
      <c r="T86" t="str">
        <f t="shared" si="29"/>
        <v>Red</v>
      </c>
      <c r="U86" t="str">
        <f t="shared" si="30"/>
        <v>Red</v>
      </c>
      <c r="V86" t="str">
        <f t="shared" si="31"/>
        <v>Green</v>
      </c>
      <c r="W86" t="str">
        <f t="shared" si="32"/>
        <v>Red</v>
      </c>
      <c r="X86" t="str">
        <f t="shared" si="33"/>
        <v>Red</v>
      </c>
      <c r="Y86" t="str">
        <f t="shared" si="34"/>
        <v>Red</v>
      </c>
      <c r="Z86" t="str">
        <f t="shared" si="35"/>
        <v>Red</v>
      </c>
      <c r="AA86" t="str">
        <f t="shared" si="36"/>
        <v>Green</v>
      </c>
      <c r="AB86" t="str">
        <f t="shared" si="37"/>
        <v>Green</v>
      </c>
      <c r="AC86" t="str">
        <f t="shared" si="38"/>
        <v>Red</v>
      </c>
      <c r="AD86" t="str">
        <f t="shared" si="39"/>
        <v>Green</v>
      </c>
    </row>
    <row r="87" spans="1:30" x14ac:dyDescent="0.25">
      <c r="A87" t="str">
        <f t="shared" si="20"/>
        <v>21/07/2026VC HerentalsManica Diamonds</v>
      </c>
      <c r="D87" s="2">
        <v>46224</v>
      </c>
      <c r="E87" s="3">
        <v>0.54166666666666663</v>
      </c>
      <c r="F87" t="s">
        <v>1600</v>
      </c>
      <c r="G87" t="s">
        <v>1601</v>
      </c>
      <c r="H87">
        <v>0</v>
      </c>
      <c r="I87">
        <v>0</v>
      </c>
      <c r="J87">
        <v>1</v>
      </c>
      <c r="K87">
        <v>0</v>
      </c>
      <c r="L87" s="22" t="str">
        <f t="shared" si="21"/>
        <v>21/07/2026</v>
      </c>
      <c r="M87" s="23">
        <f t="shared" si="22"/>
        <v>0.41666666666666663</v>
      </c>
      <c r="N87" t="str">
        <f t="shared" si="23"/>
        <v>1 - 0</v>
      </c>
      <c r="O87" t="str">
        <f t="shared" si="24"/>
        <v>Green</v>
      </c>
      <c r="P87" t="str">
        <f t="shared" si="25"/>
        <v>Red</v>
      </c>
      <c r="Q87" t="str">
        <f t="shared" si="26"/>
        <v>Red</v>
      </c>
      <c r="R87" t="str">
        <f t="shared" si="27"/>
        <v>Green</v>
      </c>
      <c r="S87" t="str">
        <f t="shared" si="28"/>
        <v>Red</v>
      </c>
      <c r="T87" t="str">
        <f t="shared" si="29"/>
        <v>Green</v>
      </c>
      <c r="U87" t="str">
        <f t="shared" si="30"/>
        <v>Red</v>
      </c>
      <c r="V87" t="str">
        <f t="shared" si="31"/>
        <v>Green</v>
      </c>
      <c r="W87" t="str">
        <f t="shared" si="32"/>
        <v>Red</v>
      </c>
      <c r="X87" t="str">
        <f t="shared" si="33"/>
        <v>Red</v>
      </c>
      <c r="Y87" t="str">
        <f t="shared" si="34"/>
        <v>Red</v>
      </c>
      <c r="Z87" t="str">
        <f t="shared" si="35"/>
        <v>Red</v>
      </c>
      <c r="AA87" t="str">
        <f t="shared" si="36"/>
        <v>Green</v>
      </c>
      <c r="AB87" t="str">
        <f t="shared" si="37"/>
        <v>Green</v>
      </c>
      <c r="AC87" t="str">
        <f t="shared" si="38"/>
        <v>Red</v>
      </c>
      <c r="AD87" t="str">
        <f t="shared" si="39"/>
        <v>Green</v>
      </c>
    </row>
    <row r="88" spans="1:30" x14ac:dyDescent="0.25">
      <c r="A88" t="str">
        <f t="shared" si="20"/>
        <v>21/07/2026Fremad AmagerSundby</v>
      </c>
      <c r="D88" s="2">
        <v>46224</v>
      </c>
      <c r="E88" s="3">
        <v>0.58333333333333337</v>
      </c>
      <c r="F88" t="s">
        <v>1449</v>
      </c>
      <c r="G88" t="s">
        <v>1450</v>
      </c>
      <c r="H88">
        <v>2</v>
      </c>
      <c r="I88">
        <v>1</v>
      </c>
      <c r="J88">
        <v>3</v>
      </c>
      <c r="K88">
        <v>1</v>
      </c>
      <c r="L88" s="22" t="str">
        <f t="shared" si="21"/>
        <v>21/07/2026</v>
      </c>
      <c r="M88" s="23">
        <f t="shared" si="22"/>
        <v>0.45833333333333337</v>
      </c>
      <c r="N88" t="str">
        <f t="shared" si="23"/>
        <v>3 - 1</v>
      </c>
      <c r="O88" t="str">
        <f t="shared" si="24"/>
        <v>Green</v>
      </c>
      <c r="P88" t="str">
        <f t="shared" si="25"/>
        <v>Red</v>
      </c>
      <c r="Q88" t="str">
        <f t="shared" si="26"/>
        <v>Red</v>
      </c>
      <c r="R88" t="str">
        <f t="shared" si="27"/>
        <v>Green</v>
      </c>
      <c r="S88" t="str">
        <f t="shared" si="28"/>
        <v>Red</v>
      </c>
      <c r="T88" t="str">
        <f t="shared" si="29"/>
        <v>Green</v>
      </c>
      <c r="U88" t="str">
        <f t="shared" si="30"/>
        <v>Green</v>
      </c>
      <c r="V88" t="str">
        <f t="shared" si="31"/>
        <v>Red</v>
      </c>
      <c r="W88" t="str">
        <f t="shared" si="32"/>
        <v>Red</v>
      </c>
      <c r="X88" t="str">
        <f t="shared" si="33"/>
        <v>Green</v>
      </c>
      <c r="Y88" t="str">
        <f t="shared" si="34"/>
        <v>Green</v>
      </c>
      <c r="Z88" t="str">
        <f t="shared" si="35"/>
        <v>Green</v>
      </c>
      <c r="AA88" t="str">
        <f t="shared" si="36"/>
        <v>Red</v>
      </c>
      <c r="AB88" t="str">
        <f t="shared" si="37"/>
        <v>Red</v>
      </c>
      <c r="AC88" t="str">
        <f t="shared" si="38"/>
        <v>Green</v>
      </c>
      <c r="AD88" t="str">
        <f t="shared" si="39"/>
        <v>Red</v>
      </c>
    </row>
    <row r="89" spans="1:30" x14ac:dyDescent="0.25">
      <c r="A89" t="str">
        <f t="shared" si="20"/>
        <v>21/07/2026Cruz Azul U21Puebla U21</v>
      </c>
      <c r="D89" s="2">
        <v>46224</v>
      </c>
      <c r="E89" s="3">
        <v>0.625</v>
      </c>
      <c r="F89" t="s">
        <v>1392</v>
      </c>
      <c r="G89" t="s">
        <v>1393</v>
      </c>
      <c r="H89">
        <v>0</v>
      </c>
      <c r="I89">
        <v>0</v>
      </c>
      <c r="J89">
        <v>1</v>
      </c>
      <c r="K89">
        <v>1</v>
      </c>
      <c r="L89" s="22" t="str">
        <f t="shared" si="21"/>
        <v>21/07/2026</v>
      </c>
      <c r="M89" s="23">
        <f t="shared" si="22"/>
        <v>0.5</v>
      </c>
      <c r="N89" t="str">
        <f t="shared" si="23"/>
        <v>1 - 1</v>
      </c>
      <c r="O89" t="str">
        <f t="shared" si="24"/>
        <v>Red</v>
      </c>
      <c r="P89" t="str">
        <f t="shared" si="25"/>
        <v>Green</v>
      </c>
      <c r="Q89" t="str">
        <f t="shared" si="26"/>
        <v>Red</v>
      </c>
      <c r="R89" t="str">
        <f t="shared" si="27"/>
        <v>Green</v>
      </c>
      <c r="S89" t="str">
        <f t="shared" si="28"/>
        <v>Green</v>
      </c>
      <c r="T89" t="str">
        <f t="shared" si="29"/>
        <v>Red</v>
      </c>
      <c r="U89" t="str">
        <f t="shared" si="30"/>
        <v>Red</v>
      </c>
      <c r="V89" t="str">
        <f t="shared" si="31"/>
        <v>Green</v>
      </c>
      <c r="W89" t="str">
        <f t="shared" si="32"/>
        <v>Red</v>
      </c>
      <c r="X89" t="str">
        <f t="shared" si="33"/>
        <v>Red</v>
      </c>
      <c r="Y89" t="str">
        <f t="shared" si="34"/>
        <v>Green</v>
      </c>
      <c r="Z89" t="str">
        <f t="shared" si="35"/>
        <v>Red</v>
      </c>
      <c r="AA89" t="str">
        <f t="shared" si="36"/>
        <v>Green</v>
      </c>
      <c r="AB89" t="str">
        <f t="shared" si="37"/>
        <v>Green</v>
      </c>
      <c r="AC89" t="str">
        <f t="shared" si="38"/>
        <v>Green</v>
      </c>
      <c r="AD89" t="str">
        <f t="shared" si="39"/>
        <v>Red</v>
      </c>
    </row>
    <row r="90" spans="1:30" x14ac:dyDescent="0.25">
      <c r="A90" t="str">
        <f t="shared" si="20"/>
        <v>21/07/2026Deportivo Toluca U21Pumas UNAM U21</v>
      </c>
      <c r="D90" s="2">
        <v>46224</v>
      </c>
      <c r="E90" s="3">
        <v>0.625</v>
      </c>
      <c r="F90" t="s">
        <v>1394</v>
      </c>
      <c r="G90" t="s">
        <v>1395</v>
      </c>
      <c r="H90">
        <v>0</v>
      </c>
      <c r="I90">
        <v>0</v>
      </c>
      <c r="J90">
        <v>1</v>
      </c>
      <c r="K90">
        <v>1</v>
      </c>
      <c r="L90" s="22" t="str">
        <f t="shared" si="21"/>
        <v>21/07/2026</v>
      </c>
      <c r="M90" s="23">
        <f t="shared" si="22"/>
        <v>0.5</v>
      </c>
      <c r="N90" t="str">
        <f t="shared" si="23"/>
        <v>1 - 1</v>
      </c>
      <c r="O90" t="str">
        <f t="shared" si="24"/>
        <v>Red</v>
      </c>
      <c r="P90" t="str">
        <f t="shared" si="25"/>
        <v>Green</v>
      </c>
      <c r="Q90" t="str">
        <f t="shared" si="26"/>
        <v>Red</v>
      </c>
      <c r="R90" t="str">
        <f t="shared" si="27"/>
        <v>Green</v>
      </c>
      <c r="S90" t="str">
        <f t="shared" si="28"/>
        <v>Green</v>
      </c>
      <c r="T90" t="str">
        <f t="shared" si="29"/>
        <v>Red</v>
      </c>
      <c r="U90" t="str">
        <f t="shared" si="30"/>
        <v>Red</v>
      </c>
      <c r="V90" t="str">
        <f t="shared" si="31"/>
        <v>Green</v>
      </c>
      <c r="W90" t="str">
        <f t="shared" si="32"/>
        <v>Red</v>
      </c>
      <c r="X90" t="str">
        <f t="shared" si="33"/>
        <v>Red</v>
      </c>
      <c r="Y90" t="str">
        <f t="shared" si="34"/>
        <v>Green</v>
      </c>
      <c r="Z90" t="str">
        <f t="shared" si="35"/>
        <v>Red</v>
      </c>
      <c r="AA90" t="str">
        <f t="shared" si="36"/>
        <v>Green</v>
      </c>
      <c r="AB90" t="str">
        <f t="shared" si="37"/>
        <v>Green</v>
      </c>
      <c r="AC90" t="str">
        <f t="shared" si="38"/>
        <v>Green</v>
      </c>
      <c r="AD90" t="str">
        <f t="shared" si="39"/>
        <v>Red</v>
      </c>
    </row>
    <row r="91" spans="1:30" x14ac:dyDescent="0.25">
      <c r="A91" t="str">
        <f t="shared" si="20"/>
        <v>21/07/2026BuxoroBunyodkor</v>
      </c>
      <c r="D91" s="2">
        <v>46224</v>
      </c>
      <c r="E91" s="3">
        <v>0.625</v>
      </c>
      <c r="F91" t="s">
        <v>1437</v>
      </c>
      <c r="G91" t="s">
        <v>1438</v>
      </c>
      <c r="H91">
        <v>1</v>
      </c>
      <c r="I91">
        <v>0</v>
      </c>
      <c r="J91">
        <v>1</v>
      </c>
      <c r="K91">
        <v>0</v>
      </c>
      <c r="L91" s="22" t="str">
        <f t="shared" si="21"/>
        <v>21/07/2026</v>
      </c>
      <c r="M91" s="23">
        <f t="shared" si="22"/>
        <v>0.5</v>
      </c>
      <c r="N91" t="str">
        <f t="shared" si="23"/>
        <v>1 - 0</v>
      </c>
      <c r="O91" t="str">
        <f t="shared" si="24"/>
        <v>Green</v>
      </c>
      <c r="P91" t="str">
        <f t="shared" si="25"/>
        <v>Red</v>
      </c>
      <c r="Q91" t="str">
        <f t="shared" si="26"/>
        <v>Red</v>
      </c>
      <c r="R91" t="str">
        <f t="shared" si="27"/>
        <v>Green</v>
      </c>
      <c r="S91" t="str">
        <f t="shared" si="28"/>
        <v>Red</v>
      </c>
      <c r="T91" t="str">
        <f t="shared" si="29"/>
        <v>Green</v>
      </c>
      <c r="U91" t="str">
        <f t="shared" si="30"/>
        <v>Green</v>
      </c>
      <c r="V91" t="str">
        <f t="shared" si="31"/>
        <v>Red</v>
      </c>
      <c r="W91" t="str">
        <f t="shared" si="32"/>
        <v>Red</v>
      </c>
      <c r="X91" t="str">
        <f t="shared" si="33"/>
        <v>Green</v>
      </c>
      <c r="Y91" t="str">
        <f t="shared" si="34"/>
        <v>Red</v>
      </c>
      <c r="Z91" t="str">
        <f t="shared" si="35"/>
        <v>Red</v>
      </c>
      <c r="AA91" t="str">
        <f t="shared" si="36"/>
        <v>Green</v>
      </c>
      <c r="AB91" t="str">
        <f t="shared" si="37"/>
        <v>Green</v>
      </c>
      <c r="AC91" t="str">
        <f t="shared" si="38"/>
        <v>Red</v>
      </c>
      <c r="AD91" t="str">
        <f t="shared" si="39"/>
        <v>Green</v>
      </c>
    </row>
    <row r="92" spans="1:30" x14ac:dyDescent="0.25">
      <c r="A92" t="str">
        <f t="shared" si="20"/>
        <v>21/07/2026Pakhtakor TashkentXorazm Urganch</v>
      </c>
      <c r="D92" s="2">
        <v>46224</v>
      </c>
      <c r="E92" s="3">
        <v>0.625</v>
      </c>
      <c r="F92" t="s">
        <v>1439</v>
      </c>
      <c r="G92" t="s">
        <v>1440</v>
      </c>
      <c r="H92">
        <v>1</v>
      </c>
      <c r="I92">
        <v>1</v>
      </c>
      <c r="J92">
        <v>2</v>
      </c>
      <c r="K92">
        <v>1</v>
      </c>
      <c r="L92" s="22" t="str">
        <f t="shared" si="21"/>
        <v>21/07/2026</v>
      </c>
      <c r="M92" s="23">
        <f t="shared" si="22"/>
        <v>0.5</v>
      </c>
      <c r="N92" t="str">
        <f t="shared" si="23"/>
        <v>2 - 1</v>
      </c>
      <c r="O92" t="str">
        <f t="shared" si="24"/>
        <v>Green</v>
      </c>
      <c r="P92" t="str">
        <f t="shared" si="25"/>
        <v>Red</v>
      </c>
      <c r="Q92" t="str">
        <f t="shared" si="26"/>
        <v>Red</v>
      </c>
      <c r="R92" t="str">
        <f t="shared" si="27"/>
        <v>Green</v>
      </c>
      <c r="S92" t="str">
        <f t="shared" si="28"/>
        <v>Red</v>
      </c>
      <c r="T92" t="str">
        <f t="shared" si="29"/>
        <v>Green</v>
      </c>
      <c r="U92" t="str">
        <f t="shared" si="30"/>
        <v>Red</v>
      </c>
      <c r="V92" t="str">
        <f t="shared" si="31"/>
        <v>Green</v>
      </c>
      <c r="W92" t="str">
        <f t="shared" si="32"/>
        <v>Red</v>
      </c>
      <c r="X92" t="str">
        <f t="shared" si="33"/>
        <v>Green</v>
      </c>
      <c r="Y92" t="str">
        <f t="shared" si="34"/>
        <v>Green</v>
      </c>
      <c r="Z92" t="str">
        <f t="shared" si="35"/>
        <v>Green</v>
      </c>
      <c r="AA92" t="str">
        <f t="shared" si="36"/>
        <v>Red</v>
      </c>
      <c r="AB92" t="str">
        <f t="shared" si="37"/>
        <v>Green</v>
      </c>
      <c r="AC92" t="str">
        <f t="shared" si="38"/>
        <v>Green</v>
      </c>
      <c r="AD92" t="str">
        <f t="shared" si="39"/>
        <v>Red</v>
      </c>
    </row>
    <row r="93" spans="1:30" x14ac:dyDescent="0.25">
      <c r="A93" t="str">
        <f t="shared" si="20"/>
        <v>21/07/2026Sogdiana JizzakhNeftchi Fargona</v>
      </c>
      <c r="D93" s="2">
        <v>46224</v>
      </c>
      <c r="E93" s="3">
        <v>0.625</v>
      </c>
      <c r="F93" t="s">
        <v>1441</v>
      </c>
      <c r="G93" t="s">
        <v>1442</v>
      </c>
      <c r="H93">
        <v>1</v>
      </c>
      <c r="I93">
        <v>3</v>
      </c>
      <c r="J93">
        <v>1</v>
      </c>
      <c r="K93">
        <v>5</v>
      </c>
      <c r="L93" s="22" t="str">
        <f t="shared" si="21"/>
        <v>21/07/2026</v>
      </c>
      <c r="M93" s="23">
        <f t="shared" si="22"/>
        <v>0.5</v>
      </c>
      <c r="N93" t="str">
        <f t="shared" si="23"/>
        <v>1 - 5</v>
      </c>
      <c r="O93" t="str">
        <f t="shared" si="24"/>
        <v>Red</v>
      </c>
      <c r="P93" t="str">
        <f t="shared" si="25"/>
        <v>Red</v>
      </c>
      <c r="Q93" t="str">
        <f t="shared" si="26"/>
        <v>Green</v>
      </c>
      <c r="R93" t="str">
        <f t="shared" si="27"/>
        <v>Red</v>
      </c>
      <c r="S93" t="str">
        <f t="shared" si="28"/>
        <v>Green</v>
      </c>
      <c r="T93" t="str">
        <f t="shared" si="29"/>
        <v>Green</v>
      </c>
      <c r="U93" t="str">
        <f t="shared" si="30"/>
        <v>Red</v>
      </c>
      <c r="V93" t="str">
        <f t="shared" si="31"/>
        <v>Red</v>
      </c>
      <c r="W93" t="str">
        <f t="shared" si="32"/>
        <v>Green</v>
      </c>
      <c r="X93" t="str">
        <f t="shared" si="33"/>
        <v>Green</v>
      </c>
      <c r="Y93" t="str">
        <f t="shared" si="34"/>
        <v>Green</v>
      </c>
      <c r="Z93" t="str">
        <f t="shared" si="35"/>
        <v>Green</v>
      </c>
      <c r="AA93" t="str">
        <f t="shared" si="36"/>
        <v>Red</v>
      </c>
      <c r="AB93" t="str">
        <f t="shared" si="37"/>
        <v>Red</v>
      </c>
      <c r="AC93" t="str">
        <f t="shared" si="38"/>
        <v>Green</v>
      </c>
      <c r="AD93" t="str">
        <f t="shared" si="39"/>
        <v>Red</v>
      </c>
    </row>
    <row r="94" spans="1:30" x14ac:dyDescent="0.25">
      <c r="A94" t="str">
        <f t="shared" si="20"/>
        <v>21/07/2026ACS ASU Politehnica TimisoaraAl Shabab Riyadh</v>
      </c>
      <c r="D94" s="2">
        <v>46224</v>
      </c>
      <c r="E94" s="3">
        <v>0.625</v>
      </c>
      <c r="F94" t="s">
        <v>1451</v>
      </c>
      <c r="G94" t="s">
        <v>1452</v>
      </c>
      <c r="H94">
        <v>0</v>
      </c>
      <c r="I94">
        <v>0</v>
      </c>
      <c r="J94">
        <v>0</v>
      </c>
      <c r="K94">
        <v>0</v>
      </c>
      <c r="L94" s="22" t="str">
        <f t="shared" si="21"/>
        <v>21/07/2026</v>
      </c>
      <c r="M94" s="23">
        <f t="shared" si="22"/>
        <v>0.5</v>
      </c>
      <c r="N94" t="str">
        <f t="shared" si="23"/>
        <v>0 - 0</v>
      </c>
      <c r="O94" t="str">
        <f t="shared" si="24"/>
        <v>Red</v>
      </c>
      <c r="P94" t="str">
        <f t="shared" si="25"/>
        <v>Green</v>
      </c>
      <c r="Q94" t="str">
        <f t="shared" si="26"/>
        <v>Red</v>
      </c>
      <c r="R94" t="str">
        <f t="shared" si="27"/>
        <v>Green</v>
      </c>
      <c r="S94" t="str">
        <f t="shared" si="28"/>
        <v>Green</v>
      </c>
      <c r="T94" t="str">
        <f t="shared" si="29"/>
        <v>Red</v>
      </c>
      <c r="U94" t="str">
        <f t="shared" si="30"/>
        <v>Red</v>
      </c>
      <c r="V94" t="str">
        <f t="shared" si="31"/>
        <v>Green</v>
      </c>
      <c r="W94" t="str">
        <f t="shared" si="32"/>
        <v>Red</v>
      </c>
      <c r="X94" t="str">
        <f t="shared" si="33"/>
        <v>Red</v>
      </c>
      <c r="Y94" t="str">
        <f t="shared" si="34"/>
        <v>Red</v>
      </c>
      <c r="Z94" t="str">
        <f t="shared" si="35"/>
        <v>Red</v>
      </c>
      <c r="AA94" t="str">
        <f t="shared" si="36"/>
        <v>Green</v>
      </c>
      <c r="AB94" t="str">
        <f t="shared" si="37"/>
        <v>Green</v>
      </c>
      <c r="AC94" t="str">
        <f t="shared" si="38"/>
        <v>Red</v>
      </c>
      <c r="AD94" t="str">
        <f t="shared" si="39"/>
        <v>Green</v>
      </c>
    </row>
    <row r="95" spans="1:30" x14ac:dyDescent="0.25">
      <c r="A95" t="str">
        <f t="shared" si="20"/>
        <v>21/07/2026Hertha BSCMamelodi Sundowns</v>
      </c>
      <c r="D95" s="2">
        <v>46224</v>
      </c>
      <c r="E95" s="3">
        <v>0.625</v>
      </c>
      <c r="F95" t="s">
        <v>1453</v>
      </c>
      <c r="G95" t="s">
        <v>1454</v>
      </c>
      <c r="H95">
        <v>1</v>
      </c>
      <c r="I95">
        <v>1</v>
      </c>
      <c r="J95">
        <v>1</v>
      </c>
      <c r="K95">
        <v>1</v>
      </c>
      <c r="L95" s="22" t="str">
        <f t="shared" si="21"/>
        <v>21/07/2026</v>
      </c>
      <c r="M95" s="23">
        <f t="shared" si="22"/>
        <v>0.5</v>
      </c>
      <c r="N95" t="str">
        <f t="shared" si="23"/>
        <v>1 - 1</v>
      </c>
      <c r="O95" t="str">
        <f t="shared" si="24"/>
        <v>Red</v>
      </c>
      <c r="P95" t="str">
        <f t="shared" si="25"/>
        <v>Green</v>
      </c>
      <c r="Q95" t="str">
        <f t="shared" si="26"/>
        <v>Red</v>
      </c>
      <c r="R95" t="str">
        <f t="shared" si="27"/>
        <v>Green</v>
      </c>
      <c r="S95" t="str">
        <f t="shared" si="28"/>
        <v>Green</v>
      </c>
      <c r="T95" t="str">
        <f t="shared" si="29"/>
        <v>Red</v>
      </c>
      <c r="U95" t="str">
        <f t="shared" si="30"/>
        <v>Red</v>
      </c>
      <c r="V95" t="str">
        <f t="shared" si="31"/>
        <v>Green</v>
      </c>
      <c r="W95" t="str">
        <f t="shared" si="32"/>
        <v>Red</v>
      </c>
      <c r="X95" t="str">
        <f t="shared" si="33"/>
        <v>Green</v>
      </c>
      <c r="Y95" t="str">
        <f t="shared" si="34"/>
        <v>Green</v>
      </c>
      <c r="Z95" t="str">
        <f t="shared" si="35"/>
        <v>Red</v>
      </c>
      <c r="AA95" t="str">
        <f t="shared" si="36"/>
        <v>Green</v>
      </c>
      <c r="AB95" t="str">
        <f t="shared" si="37"/>
        <v>Green</v>
      </c>
      <c r="AC95" t="str">
        <f t="shared" si="38"/>
        <v>Green</v>
      </c>
      <c r="AD95" t="str">
        <f t="shared" si="39"/>
        <v>Red</v>
      </c>
    </row>
    <row r="96" spans="1:30" x14ac:dyDescent="0.25">
      <c r="A96" t="str">
        <f t="shared" si="20"/>
        <v>21/07/2026BrabrandVSK Arhus</v>
      </c>
      <c r="D96" s="2">
        <v>46224</v>
      </c>
      <c r="E96" s="3">
        <v>0.64583333333333337</v>
      </c>
      <c r="F96" t="s">
        <v>1455</v>
      </c>
      <c r="G96" t="s">
        <v>1456</v>
      </c>
      <c r="H96">
        <v>0</v>
      </c>
      <c r="I96">
        <v>0</v>
      </c>
      <c r="J96">
        <v>0</v>
      </c>
      <c r="K96">
        <v>0</v>
      </c>
      <c r="L96" s="22" t="str">
        <f t="shared" si="21"/>
        <v>21/07/2026</v>
      </c>
      <c r="M96" s="23">
        <f t="shared" si="22"/>
        <v>0.52083333333333337</v>
      </c>
      <c r="N96" t="str">
        <f t="shared" si="23"/>
        <v>0 - 0</v>
      </c>
      <c r="O96" t="str">
        <f t="shared" si="24"/>
        <v>Red</v>
      </c>
      <c r="P96" t="str">
        <f t="shared" si="25"/>
        <v>Green</v>
      </c>
      <c r="Q96" t="str">
        <f t="shared" si="26"/>
        <v>Red</v>
      </c>
      <c r="R96" t="str">
        <f t="shared" si="27"/>
        <v>Green</v>
      </c>
      <c r="S96" t="str">
        <f t="shared" si="28"/>
        <v>Green</v>
      </c>
      <c r="T96" t="str">
        <f t="shared" si="29"/>
        <v>Red</v>
      </c>
      <c r="U96" t="str">
        <f t="shared" si="30"/>
        <v>Red</v>
      </c>
      <c r="V96" t="str">
        <f t="shared" si="31"/>
        <v>Green</v>
      </c>
      <c r="W96" t="str">
        <f t="shared" si="32"/>
        <v>Red</v>
      </c>
      <c r="X96" t="str">
        <f t="shared" si="33"/>
        <v>Red</v>
      </c>
      <c r="Y96" t="str">
        <f t="shared" si="34"/>
        <v>Red</v>
      </c>
      <c r="Z96" t="str">
        <f t="shared" si="35"/>
        <v>Red</v>
      </c>
      <c r="AA96" t="str">
        <f t="shared" si="36"/>
        <v>Green</v>
      </c>
      <c r="AB96" t="str">
        <f t="shared" si="37"/>
        <v>Green</v>
      </c>
      <c r="AC96" t="str">
        <f t="shared" si="38"/>
        <v>Red</v>
      </c>
      <c r="AD96" t="str">
        <f t="shared" si="39"/>
        <v>Green</v>
      </c>
    </row>
    <row r="97" spans="1:30" x14ac:dyDescent="0.25">
      <c r="A97" t="str">
        <f t="shared" si="20"/>
        <v>21/07/2026Dukla Prague IIBanik Sous</v>
      </c>
      <c r="D97" s="2">
        <v>46224</v>
      </c>
      <c r="E97" s="3">
        <v>0.64583333333333337</v>
      </c>
      <c r="F97" t="s">
        <v>1457</v>
      </c>
      <c r="G97" t="s">
        <v>1458</v>
      </c>
      <c r="H97">
        <v>1</v>
      </c>
      <c r="I97">
        <v>1</v>
      </c>
      <c r="J97">
        <v>3</v>
      </c>
      <c r="K97">
        <v>1</v>
      </c>
      <c r="L97" s="22" t="str">
        <f t="shared" si="21"/>
        <v>21/07/2026</v>
      </c>
      <c r="M97" s="23">
        <f t="shared" si="22"/>
        <v>0.52083333333333337</v>
      </c>
      <c r="N97" t="str">
        <f t="shared" si="23"/>
        <v>3 - 1</v>
      </c>
      <c r="O97" t="str">
        <f t="shared" si="24"/>
        <v>Green</v>
      </c>
      <c r="P97" t="str">
        <f t="shared" si="25"/>
        <v>Red</v>
      </c>
      <c r="Q97" t="str">
        <f t="shared" si="26"/>
        <v>Red</v>
      </c>
      <c r="R97" t="str">
        <f t="shared" si="27"/>
        <v>Green</v>
      </c>
      <c r="S97" t="str">
        <f t="shared" si="28"/>
        <v>Red</v>
      </c>
      <c r="T97" t="str">
        <f t="shared" si="29"/>
        <v>Green</v>
      </c>
      <c r="U97" t="str">
        <f t="shared" si="30"/>
        <v>Red</v>
      </c>
      <c r="V97" t="str">
        <f t="shared" si="31"/>
        <v>Green</v>
      </c>
      <c r="W97" t="str">
        <f t="shared" si="32"/>
        <v>Red</v>
      </c>
      <c r="X97" t="str">
        <f t="shared" si="33"/>
        <v>Green</v>
      </c>
      <c r="Y97" t="str">
        <f t="shared" si="34"/>
        <v>Green</v>
      </c>
      <c r="Z97" t="str">
        <f t="shared" si="35"/>
        <v>Green</v>
      </c>
      <c r="AA97" t="str">
        <f t="shared" si="36"/>
        <v>Red</v>
      </c>
      <c r="AB97" t="str">
        <f t="shared" si="37"/>
        <v>Red</v>
      </c>
      <c r="AC97" t="str">
        <f t="shared" si="38"/>
        <v>Green</v>
      </c>
      <c r="AD97" t="str">
        <f t="shared" si="39"/>
        <v>Red</v>
      </c>
    </row>
    <row r="98" spans="1:30" x14ac:dyDescent="0.25">
      <c r="A98" t="str">
        <f t="shared" si="20"/>
        <v>21/07/2026VfL BochumSwansea City</v>
      </c>
      <c r="D98" s="2">
        <v>46224</v>
      </c>
      <c r="E98" s="3">
        <v>0.66319444444444442</v>
      </c>
      <c r="F98" t="s">
        <v>1459</v>
      </c>
      <c r="G98" t="s">
        <v>1460</v>
      </c>
      <c r="H98">
        <v>2</v>
      </c>
      <c r="I98">
        <v>0</v>
      </c>
      <c r="J98">
        <v>2</v>
      </c>
      <c r="K98">
        <v>0</v>
      </c>
      <c r="L98" s="22" t="str">
        <f t="shared" si="21"/>
        <v>21/07/2026</v>
      </c>
      <c r="M98" s="23">
        <f t="shared" si="22"/>
        <v>0.53819444444444442</v>
      </c>
      <c r="N98" t="str">
        <f t="shared" si="23"/>
        <v>2 - 0</v>
      </c>
      <c r="O98" t="str">
        <f t="shared" si="24"/>
        <v>Green</v>
      </c>
      <c r="P98" t="str">
        <f t="shared" si="25"/>
        <v>Red</v>
      </c>
      <c r="Q98" t="str">
        <f t="shared" si="26"/>
        <v>Red</v>
      </c>
      <c r="R98" t="str">
        <f t="shared" si="27"/>
        <v>Green</v>
      </c>
      <c r="S98" t="str">
        <f t="shared" si="28"/>
        <v>Red</v>
      </c>
      <c r="T98" t="str">
        <f t="shared" si="29"/>
        <v>Green</v>
      </c>
      <c r="U98" t="str">
        <f t="shared" si="30"/>
        <v>Green</v>
      </c>
      <c r="V98" t="str">
        <f t="shared" si="31"/>
        <v>Red</v>
      </c>
      <c r="W98" t="str">
        <f t="shared" si="32"/>
        <v>Red</v>
      </c>
      <c r="X98" t="str">
        <f t="shared" si="33"/>
        <v>Green</v>
      </c>
      <c r="Y98" t="str">
        <f t="shared" si="34"/>
        <v>Green</v>
      </c>
      <c r="Z98" t="str">
        <f t="shared" si="35"/>
        <v>Red</v>
      </c>
      <c r="AA98" t="str">
        <f t="shared" si="36"/>
        <v>Green</v>
      </c>
      <c r="AB98" t="str">
        <f t="shared" si="37"/>
        <v>Green</v>
      </c>
      <c r="AC98" t="str">
        <f t="shared" si="38"/>
        <v>Red</v>
      </c>
      <c r="AD98" t="str">
        <f t="shared" si="39"/>
        <v>Green</v>
      </c>
    </row>
    <row r="99" spans="1:30" x14ac:dyDescent="0.25">
      <c r="A99" t="str">
        <f t="shared" si="20"/>
        <v>21/07/2026Ararat ArmeniaShamrock Rovers</v>
      </c>
      <c r="B99" t="s">
        <v>820</v>
      </c>
      <c r="C99" t="s">
        <v>821</v>
      </c>
      <c r="D99" s="2">
        <v>46224</v>
      </c>
      <c r="E99" s="3">
        <v>0.66666666666666663</v>
      </c>
      <c r="F99" t="s">
        <v>355</v>
      </c>
      <c r="G99" t="s">
        <v>356</v>
      </c>
      <c r="H99">
        <v>0</v>
      </c>
      <c r="I99">
        <v>0</v>
      </c>
      <c r="J99">
        <v>2</v>
      </c>
      <c r="K99">
        <v>0</v>
      </c>
      <c r="L99" s="22" t="str">
        <f t="shared" si="21"/>
        <v>21/07/2026</v>
      </c>
      <c r="M99" s="23">
        <f t="shared" si="22"/>
        <v>0.54166666666666663</v>
      </c>
      <c r="N99" t="str">
        <f t="shared" si="23"/>
        <v>2 - 0</v>
      </c>
      <c r="O99" t="str">
        <f t="shared" si="24"/>
        <v>Green</v>
      </c>
      <c r="P99" t="str">
        <f t="shared" si="25"/>
        <v>Red</v>
      </c>
      <c r="Q99" t="str">
        <f t="shared" si="26"/>
        <v>Red</v>
      </c>
      <c r="R99" t="str">
        <f t="shared" si="27"/>
        <v>Green</v>
      </c>
      <c r="S99" t="str">
        <f t="shared" si="28"/>
        <v>Red</v>
      </c>
      <c r="T99" t="str">
        <f t="shared" si="29"/>
        <v>Green</v>
      </c>
      <c r="U99" t="str">
        <f t="shared" si="30"/>
        <v>Red</v>
      </c>
      <c r="V99" t="str">
        <f t="shared" si="31"/>
        <v>Green</v>
      </c>
      <c r="W99" t="str">
        <f t="shared" si="32"/>
        <v>Red</v>
      </c>
      <c r="X99" t="str">
        <f t="shared" si="33"/>
        <v>Red</v>
      </c>
      <c r="Y99" t="str">
        <f t="shared" si="34"/>
        <v>Green</v>
      </c>
      <c r="Z99" t="str">
        <f t="shared" si="35"/>
        <v>Red</v>
      </c>
      <c r="AA99" t="str">
        <f t="shared" si="36"/>
        <v>Green</v>
      </c>
      <c r="AB99" t="str">
        <f t="shared" si="37"/>
        <v>Green</v>
      </c>
      <c r="AC99" t="str">
        <f t="shared" si="38"/>
        <v>Red</v>
      </c>
      <c r="AD99" t="str">
        <f t="shared" si="39"/>
        <v>Green</v>
      </c>
    </row>
    <row r="100" spans="1:30" x14ac:dyDescent="0.25">
      <c r="A100" t="str">
        <f t="shared" si="20"/>
        <v>21/07/2026MjallbyLincoln Red Imps</v>
      </c>
      <c r="B100" t="s">
        <v>820</v>
      </c>
      <c r="C100" t="s">
        <v>821</v>
      </c>
      <c r="D100" s="2">
        <v>46224</v>
      </c>
      <c r="E100" s="3">
        <v>0.66666666666666663</v>
      </c>
      <c r="F100" t="s">
        <v>357</v>
      </c>
      <c r="G100" t="s">
        <v>358</v>
      </c>
      <c r="H100">
        <v>3</v>
      </c>
      <c r="I100">
        <v>0</v>
      </c>
      <c r="J100">
        <v>3</v>
      </c>
      <c r="K100">
        <v>0</v>
      </c>
      <c r="L100" s="22" t="str">
        <f t="shared" si="21"/>
        <v>21/07/2026</v>
      </c>
      <c r="M100" s="23">
        <f t="shared" si="22"/>
        <v>0.54166666666666663</v>
      </c>
      <c r="N100" t="str">
        <f t="shared" si="23"/>
        <v>3 - 0</v>
      </c>
      <c r="O100" t="str">
        <f t="shared" si="24"/>
        <v>Green</v>
      </c>
      <c r="P100" t="str">
        <f t="shared" si="25"/>
        <v>Red</v>
      </c>
      <c r="Q100" t="str">
        <f t="shared" si="26"/>
        <v>Red</v>
      </c>
      <c r="R100" t="str">
        <f t="shared" si="27"/>
        <v>Green</v>
      </c>
      <c r="S100" t="str">
        <f t="shared" si="28"/>
        <v>Red</v>
      </c>
      <c r="T100" t="str">
        <f t="shared" si="29"/>
        <v>Green</v>
      </c>
      <c r="U100" t="str">
        <f t="shared" si="30"/>
        <v>Green</v>
      </c>
      <c r="V100" t="str">
        <f t="shared" si="31"/>
        <v>Red</v>
      </c>
      <c r="W100" t="str">
        <f t="shared" si="32"/>
        <v>Red</v>
      </c>
      <c r="X100" t="str">
        <f t="shared" si="33"/>
        <v>Green</v>
      </c>
      <c r="Y100" t="str">
        <f t="shared" si="34"/>
        <v>Green</v>
      </c>
      <c r="Z100" t="str">
        <f t="shared" si="35"/>
        <v>Green</v>
      </c>
      <c r="AA100" t="str">
        <f t="shared" si="36"/>
        <v>Red</v>
      </c>
      <c r="AB100" t="str">
        <f t="shared" si="37"/>
        <v>Green</v>
      </c>
      <c r="AC100" t="str">
        <f t="shared" si="38"/>
        <v>Red</v>
      </c>
      <c r="AD100" t="str">
        <f t="shared" si="39"/>
        <v>Green</v>
      </c>
    </row>
    <row r="101" spans="1:30" x14ac:dyDescent="0.25">
      <c r="A101" t="str">
        <f t="shared" si="20"/>
        <v>21/07/2026Sabah BakuKuopio PS</v>
      </c>
      <c r="B101" t="s">
        <v>820</v>
      </c>
      <c r="C101" t="s">
        <v>821</v>
      </c>
      <c r="D101" s="2">
        <v>46224</v>
      </c>
      <c r="E101" s="3">
        <v>0.66666666666666663</v>
      </c>
      <c r="F101" t="s">
        <v>353</v>
      </c>
      <c r="G101" t="s">
        <v>359</v>
      </c>
      <c r="H101">
        <v>1</v>
      </c>
      <c r="I101">
        <v>0</v>
      </c>
      <c r="J101">
        <v>1</v>
      </c>
      <c r="K101">
        <v>0</v>
      </c>
      <c r="L101" s="22" t="str">
        <f t="shared" si="21"/>
        <v>21/07/2026</v>
      </c>
      <c r="M101" s="23">
        <f t="shared" si="22"/>
        <v>0.54166666666666663</v>
      </c>
      <c r="N101" t="str">
        <f t="shared" si="23"/>
        <v>1 - 0</v>
      </c>
      <c r="O101" t="str">
        <f t="shared" si="24"/>
        <v>Green</v>
      </c>
      <c r="P101" t="str">
        <f t="shared" si="25"/>
        <v>Red</v>
      </c>
      <c r="Q101" t="str">
        <f t="shared" si="26"/>
        <v>Red</v>
      </c>
      <c r="R101" t="str">
        <f t="shared" si="27"/>
        <v>Green</v>
      </c>
      <c r="S101" t="str">
        <f t="shared" si="28"/>
        <v>Red</v>
      </c>
      <c r="T101" t="str">
        <f t="shared" si="29"/>
        <v>Green</v>
      </c>
      <c r="U101" t="str">
        <f t="shared" si="30"/>
        <v>Green</v>
      </c>
      <c r="V101" t="str">
        <f t="shared" si="31"/>
        <v>Red</v>
      </c>
      <c r="W101" t="str">
        <f t="shared" si="32"/>
        <v>Red</v>
      </c>
      <c r="X101" t="str">
        <f t="shared" si="33"/>
        <v>Green</v>
      </c>
      <c r="Y101" t="str">
        <f t="shared" si="34"/>
        <v>Red</v>
      </c>
      <c r="Z101" t="str">
        <f t="shared" si="35"/>
        <v>Red</v>
      </c>
      <c r="AA101" t="str">
        <f t="shared" si="36"/>
        <v>Green</v>
      </c>
      <c r="AB101" t="str">
        <f t="shared" si="37"/>
        <v>Green</v>
      </c>
      <c r="AC101" t="str">
        <f t="shared" si="38"/>
        <v>Red</v>
      </c>
      <c r="AD101" t="str">
        <f t="shared" si="39"/>
        <v>Green</v>
      </c>
    </row>
    <row r="102" spans="1:30" x14ac:dyDescent="0.25">
      <c r="A102" t="str">
        <f t="shared" si="20"/>
        <v>21/07/2026Iberia 1999Slovan Bratislava</v>
      </c>
      <c r="B102" t="s">
        <v>820</v>
      </c>
      <c r="C102" t="s">
        <v>821</v>
      </c>
      <c r="D102" s="2">
        <v>46224</v>
      </c>
      <c r="E102" s="3">
        <v>0.66666666666666663</v>
      </c>
      <c r="F102" t="s">
        <v>360</v>
      </c>
      <c r="G102" t="s">
        <v>361</v>
      </c>
      <c r="H102">
        <v>0</v>
      </c>
      <c r="I102">
        <v>2</v>
      </c>
      <c r="J102">
        <v>0</v>
      </c>
      <c r="K102">
        <v>2</v>
      </c>
      <c r="L102" s="22" t="str">
        <f t="shared" si="21"/>
        <v>21/07/2026</v>
      </c>
      <c r="M102" s="23">
        <f t="shared" si="22"/>
        <v>0.54166666666666663</v>
      </c>
      <c r="N102" t="str">
        <f t="shared" si="23"/>
        <v>0 - 2</v>
      </c>
      <c r="O102" t="str">
        <f t="shared" si="24"/>
        <v>Red</v>
      </c>
      <c r="P102" t="str">
        <f t="shared" si="25"/>
        <v>Red</v>
      </c>
      <c r="Q102" t="str">
        <f t="shared" si="26"/>
        <v>Green</v>
      </c>
      <c r="R102" t="str">
        <f t="shared" si="27"/>
        <v>Red</v>
      </c>
      <c r="S102" t="str">
        <f t="shared" si="28"/>
        <v>Green</v>
      </c>
      <c r="T102" t="str">
        <f t="shared" si="29"/>
        <v>Green</v>
      </c>
      <c r="U102" t="str">
        <f t="shared" si="30"/>
        <v>Red</v>
      </c>
      <c r="V102" t="str">
        <f t="shared" si="31"/>
        <v>Red</v>
      </c>
      <c r="W102" t="str">
        <f t="shared" si="32"/>
        <v>Green</v>
      </c>
      <c r="X102" t="str">
        <f t="shared" si="33"/>
        <v>Green</v>
      </c>
      <c r="Y102" t="str">
        <f t="shared" si="34"/>
        <v>Green</v>
      </c>
      <c r="Z102" t="str">
        <f t="shared" si="35"/>
        <v>Red</v>
      </c>
      <c r="AA102" t="str">
        <f t="shared" si="36"/>
        <v>Green</v>
      </c>
      <c r="AB102" t="str">
        <f t="shared" si="37"/>
        <v>Green</v>
      </c>
      <c r="AC102" t="str">
        <f t="shared" si="38"/>
        <v>Red</v>
      </c>
      <c r="AD102" t="str">
        <f t="shared" si="39"/>
        <v>Green</v>
      </c>
    </row>
    <row r="103" spans="1:30" x14ac:dyDescent="0.25">
      <c r="A103" t="str">
        <f t="shared" si="20"/>
        <v>21/07/2026Kapylan PalloKlubi 04</v>
      </c>
      <c r="D103" s="2">
        <v>46224</v>
      </c>
      <c r="E103" s="3">
        <v>0.66666666666666663</v>
      </c>
      <c r="F103" t="s">
        <v>1361</v>
      </c>
      <c r="G103" t="s">
        <v>1362</v>
      </c>
      <c r="H103">
        <v>0</v>
      </c>
      <c r="I103">
        <v>2</v>
      </c>
      <c r="J103">
        <v>0</v>
      </c>
      <c r="K103">
        <v>2</v>
      </c>
      <c r="L103" s="22" t="str">
        <f t="shared" si="21"/>
        <v>21/07/2026</v>
      </c>
      <c r="M103" s="23">
        <f t="shared" si="22"/>
        <v>0.54166666666666663</v>
      </c>
      <c r="N103" t="str">
        <f t="shared" si="23"/>
        <v>0 - 2</v>
      </c>
      <c r="O103" t="str">
        <f t="shared" si="24"/>
        <v>Red</v>
      </c>
      <c r="P103" t="str">
        <f t="shared" si="25"/>
        <v>Red</v>
      </c>
      <c r="Q103" t="str">
        <f t="shared" si="26"/>
        <v>Green</v>
      </c>
      <c r="R103" t="str">
        <f t="shared" si="27"/>
        <v>Red</v>
      </c>
      <c r="S103" t="str">
        <f t="shared" si="28"/>
        <v>Green</v>
      </c>
      <c r="T103" t="str">
        <f t="shared" si="29"/>
        <v>Green</v>
      </c>
      <c r="U103" t="str">
        <f t="shared" si="30"/>
        <v>Red</v>
      </c>
      <c r="V103" t="str">
        <f t="shared" si="31"/>
        <v>Red</v>
      </c>
      <c r="W103" t="str">
        <f t="shared" si="32"/>
        <v>Green</v>
      </c>
      <c r="X103" t="str">
        <f t="shared" si="33"/>
        <v>Green</v>
      </c>
      <c r="Y103" t="str">
        <f t="shared" si="34"/>
        <v>Green</v>
      </c>
      <c r="Z103" t="str">
        <f t="shared" si="35"/>
        <v>Red</v>
      </c>
      <c r="AA103" t="str">
        <f t="shared" si="36"/>
        <v>Green</v>
      </c>
      <c r="AB103" t="str">
        <f t="shared" si="37"/>
        <v>Green</v>
      </c>
      <c r="AC103" t="str">
        <f t="shared" si="38"/>
        <v>Red</v>
      </c>
      <c r="AD103" t="str">
        <f t="shared" si="39"/>
        <v>Green</v>
      </c>
    </row>
    <row r="104" spans="1:30" x14ac:dyDescent="0.25">
      <c r="A104" t="str">
        <f t="shared" si="20"/>
        <v>21/07/2026Hegelmann Litauen IIVMFD Zalgiris Vilnius II</v>
      </c>
      <c r="D104" s="2">
        <v>46224</v>
      </c>
      <c r="E104" s="3">
        <v>0.66666666666666663</v>
      </c>
      <c r="F104" t="s">
        <v>1386</v>
      </c>
      <c r="G104" t="s">
        <v>1387</v>
      </c>
      <c r="H104">
        <v>0</v>
      </c>
      <c r="I104">
        <v>1</v>
      </c>
      <c r="J104">
        <v>0</v>
      </c>
      <c r="K104">
        <v>2</v>
      </c>
      <c r="L104" s="22" t="str">
        <f t="shared" si="21"/>
        <v>21/07/2026</v>
      </c>
      <c r="M104" s="23">
        <f t="shared" si="22"/>
        <v>0.54166666666666663</v>
      </c>
      <c r="N104" t="str">
        <f t="shared" si="23"/>
        <v>0 - 2</v>
      </c>
      <c r="O104" t="str">
        <f t="shared" si="24"/>
        <v>Red</v>
      </c>
      <c r="P104" t="str">
        <f t="shared" si="25"/>
        <v>Red</v>
      </c>
      <c r="Q104" t="str">
        <f t="shared" si="26"/>
        <v>Green</v>
      </c>
      <c r="R104" t="str">
        <f t="shared" si="27"/>
        <v>Red</v>
      </c>
      <c r="S104" t="str">
        <f t="shared" si="28"/>
        <v>Green</v>
      </c>
      <c r="T104" t="str">
        <f t="shared" si="29"/>
        <v>Green</v>
      </c>
      <c r="U104" t="str">
        <f t="shared" si="30"/>
        <v>Red</v>
      </c>
      <c r="V104" t="str">
        <f t="shared" si="31"/>
        <v>Red</v>
      </c>
      <c r="W104" t="str">
        <f t="shared" si="32"/>
        <v>Green</v>
      </c>
      <c r="X104" t="str">
        <f t="shared" si="33"/>
        <v>Green</v>
      </c>
      <c r="Y104" t="str">
        <f t="shared" si="34"/>
        <v>Green</v>
      </c>
      <c r="Z104" t="str">
        <f t="shared" si="35"/>
        <v>Red</v>
      </c>
      <c r="AA104" t="str">
        <f t="shared" si="36"/>
        <v>Green</v>
      </c>
      <c r="AB104" t="str">
        <f t="shared" si="37"/>
        <v>Green</v>
      </c>
      <c r="AC104" t="str">
        <f t="shared" si="38"/>
        <v>Red</v>
      </c>
      <c r="AD104" t="str">
        <f t="shared" si="39"/>
        <v>Green</v>
      </c>
    </row>
    <row r="105" spans="1:30" x14ac:dyDescent="0.25">
      <c r="A105" t="str">
        <f t="shared" si="20"/>
        <v>21/07/202629 de Setiembre12 De Junio</v>
      </c>
      <c r="D105" s="2">
        <v>46224</v>
      </c>
      <c r="E105" s="3">
        <v>0.66666666666666663</v>
      </c>
      <c r="F105" t="s">
        <v>1400</v>
      </c>
      <c r="G105" t="s">
        <v>1401</v>
      </c>
      <c r="H105">
        <v>0</v>
      </c>
      <c r="I105">
        <v>0</v>
      </c>
      <c r="J105">
        <v>1</v>
      </c>
      <c r="K105">
        <v>1</v>
      </c>
      <c r="L105" s="22" t="str">
        <f t="shared" si="21"/>
        <v>21/07/2026</v>
      </c>
      <c r="M105" s="23">
        <f t="shared" si="22"/>
        <v>0.54166666666666663</v>
      </c>
      <c r="N105" t="str">
        <f t="shared" si="23"/>
        <v>1 - 1</v>
      </c>
      <c r="O105" t="str">
        <f t="shared" si="24"/>
        <v>Red</v>
      </c>
      <c r="P105" t="str">
        <f t="shared" si="25"/>
        <v>Green</v>
      </c>
      <c r="Q105" t="str">
        <f t="shared" si="26"/>
        <v>Red</v>
      </c>
      <c r="R105" t="str">
        <f t="shared" si="27"/>
        <v>Green</v>
      </c>
      <c r="S105" t="str">
        <f t="shared" si="28"/>
        <v>Green</v>
      </c>
      <c r="T105" t="str">
        <f t="shared" si="29"/>
        <v>Red</v>
      </c>
      <c r="U105" t="str">
        <f t="shared" si="30"/>
        <v>Red</v>
      </c>
      <c r="V105" t="str">
        <f t="shared" si="31"/>
        <v>Green</v>
      </c>
      <c r="W105" t="str">
        <f t="shared" si="32"/>
        <v>Red</v>
      </c>
      <c r="X105" t="str">
        <f t="shared" si="33"/>
        <v>Red</v>
      </c>
      <c r="Y105" t="str">
        <f t="shared" si="34"/>
        <v>Green</v>
      </c>
      <c r="Z105" t="str">
        <f t="shared" si="35"/>
        <v>Red</v>
      </c>
      <c r="AA105" t="str">
        <f t="shared" si="36"/>
        <v>Green</v>
      </c>
      <c r="AB105" t="str">
        <f t="shared" si="37"/>
        <v>Green</v>
      </c>
      <c r="AC105" t="str">
        <f t="shared" si="38"/>
        <v>Green</v>
      </c>
      <c r="AD105" t="str">
        <f t="shared" si="39"/>
        <v>Red</v>
      </c>
    </row>
    <row r="106" spans="1:30" x14ac:dyDescent="0.25">
      <c r="A106" t="str">
        <f t="shared" si="20"/>
        <v>21/07/2026Fagiano OkayamaFC Metalist 1925</v>
      </c>
      <c r="D106" s="2">
        <v>46224</v>
      </c>
      <c r="E106" s="3">
        <v>0.66666666666666663</v>
      </c>
      <c r="F106" t="s">
        <v>1461</v>
      </c>
      <c r="G106" t="s">
        <v>1462</v>
      </c>
      <c r="H106">
        <v>1</v>
      </c>
      <c r="I106">
        <v>0</v>
      </c>
      <c r="J106">
        <v>2</v>
      </c>
      <c r="K106">
        <v>1</v>
      </c>
      <c r="L106" s="22" t="str">
        <f t="shared" si="21"/>
        <v>21/07/2026</v>
      </c>
      <c r="M106" s="23">
        <f t="shared" si="22"/>
        <v>0.54166666666666663</v>
      </c>
      <c r="N106" t="str">
        <f t="shared" si="23"/>
        <v>2 - 1</v>
      </c>
      <c r="O106" t="str">
        <f t="shared" si="24"/>
        <v>Green</v>
      </c>
      <c r="P106" t="str">
        <f t="shared" si="25"/>
        <v>Red</v>
      </c>
      <c r="Q106" t="str">
        <f t="shared" si="26"/>
        <v>Red</v>
      </c>
      <c r="R106" t="str">
        <f t="shared" si="27"/>
        <v>Green</v>
      </c>
      <c r="S106" t="str">
        <f t="shared" si="28"/>
        <v>Red</v>
      </c>
      <c r="T106" t="str">
        <f t="shared" si="29"/>
        <v>Green</v>
      </c>
      <c r="U106" t="str">
        <f t="shared" si="30"/>
        <v>Green</v>
      </c>
      <c r="V106" t="str">
        <f t="shared" si="31"/>
        <v>Red</v>
      </c>
      <c r="W106" t="str">
        <f t="shared" si="32"/>
        <v>Red</v>
      </c>
      <c r="X106" t="str">
        <f t="shared" si="33"/>
        <v>Green</v>
      </c>
      <c r="Y106" t="str">
        <f t="shared" si="34"/>
        <v>Green</v>
      </c>
      <c r="Z106" t="str">
        <f t="shared" si="35"/>
        <v>Green</v>
      </c>
      <c r="AA106" t="str">
        <f t="shared" si="36"/>
        <v>Red</v>
      </c>
      <c r="AB106" t="str">
        <f t="shared" si="37"/>
        <v>Green</v>
      </c>
      <c r="AC106" t="str">
        <f t="shared" si="38"/>
        <v>Green</v>
      </c>
      <c r="AD106" t="str">
        <f t="shared" si="39"/>
        <v>Red</v>
      </c>
    </row>
    <row r="107" spans="1:30" x14ac:dyDescent="0.25">
      <c r="A107" t="str">
        <f t="shared" si="20"/>
        <v>21/07/2026Petro LuandaAl Ittihad Jeddah U21</v>
      </c>
      <c r="D107" s="2">
        <v>46224</v>
      </c>
      <c r="E107" s="3">
        <v>0.66666666666666663</v>
      </c>
      <c r="F107" t="s">
        <v>1463</v>
      </c>
      <c r="G107" t="s">
        <v>1464</v>
      </c>
      <c r="L107" s="22" t="str">
        <f t="shared" si="21"/>
        <v>21/07/2026</v>
      </c>
      <c r="M107" s="23">
        <f t="shared" si="22"/>
        <v>0.54166666666666663</v>
      </c>
      <c r="N107" t="str">
        <f t="shared" si="23"/>
        <v xml:space="preserve"> - </v>
      </c>
      <c r="O107" t="str">
        <f t="shared" si="24"/>
        <v>Red</v>
      </c>
      <c r="P107" t="str">
        <f t="shared" si="25"/>
        <v>Green</v>
      </c>
      <c r="Q107" t="str">
        <f t="shared" si="26"/>
        <v>Red</v>
      </c>
      <c r="R107" t="str">
        <f t="shared" si="27"/>
        <v>Green</v>
      </c>
      <c r="S107" t="str">
        <f t="shared" si="28"/>
        <v>Green</v>
      </c>
      <c r="T107" t="str">
        <f t="shared" si="29"/>
        <v>Red</v>
      </c>
      <c r="U107" t="str">
        <f t="shared" si="30"/>
        <v>Red</v>
      </c>
      <c r="V107" t="str">
        <f t="shared" si="31"/>
        <v>Green</v>
      </c>
      <c r="W107" t="str">
        <f t="shared" si="32"/>
        <v>Red</v>
      </c>
      <c r="X107" t="str">
        <f t="shared" si="33"/>
        <v>Red</v>
      </c>
      <c r="Y107" t="str">
        <f t="shared" si="34"/>
        <v>Red</v>
      </c>
      <c r="Z107" t="str">
        <f t="shared" si="35"/>
        <v>Red</v>
      </c>
      <c r="AA107" t="str">
        <f t="shared" si="36"/>
        <v>Green</v>
      </c>
      <c r="AB107" t="str">
        <f t="shared" si="37"/>
        <v>Green</v>
      </c>
      <c r="AC107" t="str">
        <f t="shared" si="38"/>
        <v>Red</v>
      </c>
      <c r="AD107" t="str">
        <f t="shared" si="39"/>
        <v>Green</v>
      </c>
    </row>
    <row r="108" spans="1:30" x14ac:dyDescent="0.25">
      <c r="A108" t="str">
        <f t="shared" si="20"/>
        <v>21/07/2026Shakhtar DonetskSlaven Belupo</v>
      </c>
      <c r="D108" s="2">
        <v>46224</v>
      </c>
      <c r="E108" s="3">
        <v>0.66666666666666663</v>
      </c>
      <c r="F108" t="s">
        <v>1465</v>
      </c>
      <c r="G108" t="s">
        <v>1466</v>
      </c>
      <c r="H108">
        <v>0</v>
      </c>
      <c r="I108">
        <v>0</v>
      </c>
      <c r="J108">
        <v>2</v>
      </c>
      <c r="K108">
        <v>2</v>
      </c>
      <c r="L108" s="22" t="str">
        <f t="shared" si="21"/>
        <v>21/07/2026</v>
      </c>
      <c r="M108" s="23">
        <f t="shared" si="22"/>
        <v>0.54166666666666663</v>
      </c>
      <c r="N108" t="str">
        <f t="shared" si="23"/>
        <v>2 - 2</v>
      </c>
      <c r="O108" t="str">
        <f t="shared" si="24"/>
        <v>Red</v>
      </c>
      <c r="P108" t="str">
        <f t="shared" si="25"/>
        <v>Green</v>
      </c>
      <c r="Q108" t="str">
        <f t="shared" si="26"/>
        <v>Red</v>
      </c>
      <c r="R108" t="str">
        <f t="shared" si="27"/>
        <v>Green</v>
      </c>
      <c r="S108" t="str">
        <f t="shared" si="28"/>
        <v>Green</v>
      </c>
      <c r="T108" t="str">
        <f t="shared" si="29"/>
        <v>Red</v>
      </c>
      <c r="U108" t="str">
        <f t="shared" si="30"/>
        <v>Red</v>
      </c>
      <c r="V108" t="str">
        <f t="shared" si="31"/>
        <v>Green</v>
      </c>
      <c r="W108" t="str">
        <f t="shared" si="32"/>
        <v>Red</v>
      </c>
      <c r="X108" t="str">
        <f t="shared" si="33"/>
        <v>Red</v>
      </c>
      <c r="Y108" t="str">
        <f t="shared" si="34"/>
        <v>Green</v>
      </c>
      <c r="Z108" t="str">
        <f t="shared" si="35"/>
        <v>Green</v>
      </c>
      <c r="AA108" t="str">
        <f t="shared" si="36"/>
        <v>Red</v>
      </c>
      <c r="AB108" t="str">
        <f t="shared" si="37"/>
        <v>Red</v>
      </c>
      <c r="AC108" t="str">
        <f t="shared" si="38"/>
        <v>Green</v>
      </c>
      <c r="AD108" t="str">
        <f t="shared" si="39"/>
        <v>Red</v>
      </c>
    </row>
    <row r="109" spans="1:30" x14ac:dyDescent="0.25">
      <c r="A109" t="str">
        <f t="shared" si="20"/>
        <v>21/07/2026Eintracht BambergWeiden</v>
      </c>
      <c r="D109" s="2">
        <v>46224</v>
      </c>
      <c r="E109" s="3">
        <v>0.6875</v>
      </c>
      <c r="F109" t="s">
        <v>1363</v>
      </c>
      <c r="G109" t="s">
        <v>1364</v>
      </c>
      <c r="H109">
        <v>1</v>
      </c>
      <c r="I109">
        <v>0</v>
      </c>
      <c r="J109">
        <v>4</v>
      </c>
      <c r="K109">
        <v>1</v>
      </c>
      <c r="L109" s="22" t="str">
        <f t="shared" si="21"/>
        <v>21/07/2026</v>
      </c>
      <c r="M109" s="23">
        <f t="shared" si="22"/>
        <v>0.5625</v>
      </c>
      <c r="N109" t="str">
        <f t="shared" si="23"/>
        <v>4 - 1</v>
      </c>
      <c r="O109" t="str">
        <f t="shared" si="24"/>
        <v>Green</v>
      </c>
      <c r="P109" t="str">
        <f t="shared" si="25"/>
        <v>Red</v>
      </c>
      <c r="Q109" t="str">
        <f t="shared" si="26"/>
        <v>Red</v>
      </c>
      <c r="R109" t="str">
        <f t="shared" si="27"/>
        <v>Green</v>
      </c>
      <c r="S109" t="str">
        <f t="shared" si="28"/>
        <v>Red</v>
      </c>
      <c r="T109" t="str">
        <f t="shared" si="29"/>
        <v>Green</v>
      </c>
      <c r="U109" t="str">
        <f t="shared" si="30"/>
        <v>Green</v>
      </c>
      <c r="V109" t="str">
        <f t="shared" si="31"/>
        <v>Red</v>
      </c>
      <c r="W109" t="str">
        <f t="shared" si="32"/>
        <v>Red</v>
      </c>
      <c r="X109" t="str">
        <f t="shared" si="33"/>
        <v>Green</v>
      </c>
      <c r="Y109" t="str">
        <f t="shared" si="34"/>
        <v>Green</v>
      </c>
      <c r="Z109" t="str">
        <f t="shared" si="35"/>
        <v>Green</v>
      </c>
      <c r="AA109" t="str">
        <f t="shared" si="36"/>
        <v>Red</v>
      </c>
      <c r="AB109" t="str">
        <f t="shared" si="37"/>
        <v>Red</v>
      </c>
      <c r="AC109" t="str">
        <f t="shared" si="38"/>
        <v>Green</v>
      </c>
      <c r="AD109" t="str">
        <f t="shared" si="39"/>
        <v>Red</v>
      </c>
    </row>
    <row r="110" spans="1:30" x14ac:dyDescent="0.25">
      <c r="A110" t="str">
        <f t="shared" si="20"/>
        <v>21/07/2026FC PipinsriedHeimstetten</v>
      </c>
      <c r="D110" s="2">
        <v>46224</v>
      </c>
      <c r="E110" s="3">
        <v>0.6875</v>
      </c>
      <c r="F110" t="s">
        <v>1371</v>
      </c>
      <c r="G110" t="s">
        <v>1372</v>
      </c>
      <c r="H110">
        <v>1</v>
      </c>
      <c r="I110">
        <v>2</v>
      </c>
      <c r="J110">
        <v>3</v>
      </c>
      <c r="K110">
        <v>2</v>
      </c>
      <c r="L110" s="22" t="str">
        <f t="shared" si="21"/>
        <v>21/07/2026</v>
      </c>
      <c r="M110" s="23">
        <f t="shared" si="22"/>
        <v>0.5625</v>
      </c>
      <c r="N110" t="str">
        <f t="shared" si="23"/>
        <v>3 - 2</v>
      </c>
      <c r="O110" t="str">
        <f t="shared" si="24"/>
        <v>Green</v>
      </c>
      <c r="P110" t="str">
        <f t="shared" si="25"/>
        <v>Red</v>
      </c>
      <c r="Q110" t="str">
        <f t="shared" si="26"/>
        <v>Red</v>
      </c>
      <c r="R110" t="str">
        <f t="shared" si="27"/>
        <v>Green</v>
      </c>
      <c r="S110" t="str">
        <f t="shared" si="28"/>
        <v>Red</v>
      </c>
      <c r="T110" t="str">
        <f t="shared" si="29"/>
        <v>Green</v>
      </c>
      <c r="U110" t="str">
        <f t="shared" si="30"/>
        <v>Red</v>
      </c>
      <c r="V110" t="str">
        <f t="shared" si="31"/>
        <v>Red</v>
      </c>
      <c r="W110" t="str">
        <f t="shared" si="32"/>
        <v>Green</v>
      </c>
      <c r="X110" t="str">
        <f t="shared" si="33"/>
        <v>Green</v>
      </c>
      <c r="Y110" t="str">
        <f t="shared" si="34"/>
        <v>Green</v>
      </c>
      <c r="Z110" t="str">
        <f t="shared" si="35"/>
        <v>Green</v>
      </c>
      <c r="AA110" t="str">
        <f t="shared" si="36"/>
        <v>Red</v>
      </c>
      <c r="AB110" t="str">
        <f t="shared" si="37"/>
        <v>Red</v>
      </c>
      <c r="AC110" t="str">
        <f t="shared" si="38"/>
        <v>Green</v>
      </c>
      <c r="AD110" t="str">
        <f t="shared" si="39"/>
        <v>Red</v>
      </c>
    </row>
    <row r="111" spans="1:30" x14ac:dyDescent="0.25">
      <c r="A111" t="str">
        <f t="shared" si="20"/>
        <v>21/07/2026Sportfreunde SchwaigTSV 1860 Wasserburg</v>
      </c>
      <c r="D111" s="2">
        <v>46224</v>
      </c>
      <c r="E111" s="3">
        <v>0.6875</v>
      </c>
      <c r="F111" t="s">
        <v>1373</v>
      </c>
      <c r="G111" t="s">
        <v>1374</v>
      </c>
      <c r="L111" s="22" t="str">
        <f t="shared" si="21"/>
        <v>21/07/2026</v>
      </c>
      <c r="M111" s="23">
        <f t="shared" si="22"/>
        <v>0.5625</v>
      </c>
      <c r="N111" t="str">
        <f t="shared" si="23"/>
        <v xml:space="preserve"> - </v>
      </c>
      <c r="O111" t="str">
        <f t="shared" si="24"/>
        <v>Red</v>
      </c>
      <c r="P111" t="str">
        <f t="shared" si="25"/>
        <v>Green</v>
      </c>
      <c r="Q111" t="str">
        <f t="shared" si="26"/>
        <v>Red</v>
      </c>
      <c r="R111" t="str">
        <f t="shared" si="27"/>
        <v>Green</v>
      </c>
      <c r="S111" t="str">
        <f t="shared" si="28"/>
        <v>Green</v>
      </c>
      <c r="T111" t="str">
        <f t="shared" si="29"/>
        <v>Red</v>
      </c>
      <c r="U111" t="str">
        <f t="shared" si="30"/>
        <v>Red</v>
      </c>
      <c r="V111" t="str">
        <f t="shared" si="31"/>
        <v>Green</v>
      </c>
      <c r="W111" t="str">
        <f t="shared" si="32"/>
        <v>Red</v>
      </c>
      <c r="X111" t="str">
        <f t="shared" si="33"/>
        <v>Red</v>
      </c>
      <c r="Y111" t="str">
        <f t="shared" si="34"/>
        <v>Red</v>
      </c>
      <c r="Z111" t="str">
        <f t="shared" si="35"/>
        <v>Red</v>
      </c>
      <c r="AA111" t="str">
        <f t="shared" si="36"/>
        <v>Green</v>
      </c>
      <c r="AB111" t="str">
        <f t="shared" si="37"/>
        <v>Green</v>
      </c>
      <c r="AC111" t="str">
        <f t="shared" si="38"/>
        <v>Red</v>
      </c>
      <c r="AD111" t="str">
        <f t="shared" si="39"/>
        <v>Green</v>
      </c>
    </row>
    <row r="112" spans="1:30" x14ac:dyDescent="0.25">
      <c r="A112" t="str">
        <f t="shared" si="20"/>
        <v>21/07/2026TSV 1860 RosenheimSchalding Heining</v>
      </c>
      <c r="D112" s="2">
        <v>46224</v>
      </c>
      <c r="E112" s="3">
        <v>0.6875</v>
      </c>
      <c r="F112" t="s">
        <v>1375</v>
      </c>
      <c r="G112" t="s">
        <v>1376</v>
      </c>
      <c r="H112">
        <v>1</v>
      </c>
      <c r="I112">
        <v>1</v>
      </c>
      <c r="J112">
        <v>2</v>
      </c>
      <c r="K112">
        <v>2</v>
      </c>
      <c r="L112" s="22" t="str">
        <f t="shared" si="21"/>
        <v>21/07/2026</v>
      </c>
      <c r="M112" s="23">
        <f t="shared" si="22"/>
        <v>0.5625</v>
      </c>
      <c r="N112" t="str">
        <f t="shared" si="23"/>
        <v>2 - 2</v>
      </c>
      <c r="O112" t="str">
        <f t="shared" si="24"/>
        <v>Red</v>
      </c>
      <c r="P112" t="str">
        <f t="shared" si="25"/>
        <v>Green</v>
      </c>
      <c r="Q112" t="str">
        <f t="shared" si="26"/>
        <v>Red</v>
      </c>
      <c r="R112" t="str">
        <f t="shared" si="27"/>
        <v>Green</v>
      </c>
      <c r="S112" t="str">
        <f t="shared" si="28"/>
        <v>Green</v>
      </c>
      <c r="T112" t="str">
        <f t="shared" si="29"/>
        <v>Red</v>
      </c>
      <c r="U112" t="str">
        <f t="shared" si="30"/>
        <v>Red</v>
      </c>
      <c r="V112" t="str">
        <f t="shared" si="31"/>
        <v>Green</v>
      </c>
      <c r="W112" t="str">
        <f t="shared" si="32"/>
        <v>Red</v>
      </c>
      <c r="X112" t="str">
        <f t="shared" si="33"/>
        <v>Green</v>
      </c>
      <c r="Y112" t="str">
        <f t="shared" si="34"/>
        <v>Green</v>
      </c>
      <c r="Z112" t="str">
        <f t="shared" si="35"/>
        <v>Green</v>
      </c>
      <c r="AA112" t="str">
        <f t="shared" si="36"/>
        <v>Red</v>
      </c>
      <c r="AB112" t="str">
        <f t="shared" si="37"/>
        <v>Red</v>
      </c>
      <c r="AC112" t="str">
        <f t="shared" si="38"/>
        <v>Green</v>
      </c>
      <c r="AD112" t="str">
        <f t="shared" si="39"/>
        <v>Red</v>
      </c>
    </row>
    <row r="113" spans="1:30" x14ac:dyDescent="0.25">
      <c r="A113" t="str">
        <f t="shared" si="20"/>
        <v>21/07/2026TSV KotternTSV Schwabmunchen</v>
      </c>
      <c r="D113" s="2">
        <v>46224</v>
      </c>
      <c r="E113" s="3">
        <v>0.6875</v>
      </c>
      <c r="F113" t="s">
        <v>1377</v>
      </c>
      <c r="G113" t="s">
        <v>1378</v>
      </c>
      <c r="H113">
        <v>1</v>
      </c>
      <c r="I113">
        <v>0</v>
      </c>
      <c r="J113">
        <v>1</v>
      </c>
      <c r="K113">
        <v>0</v>
      </c>
      <c r="L113" s="22" t="str">
        <f t="shared" si="21"/>
        <v>21/07/2026</v>
      </c>
      <c r="M113" s="23">
        <f t="shared" si="22"/>
        <v>0.5625</v>
      </c>
      <c r="N113" t="str">
        <f t="shared" si="23"/>
        <v>1 - 0</v>
      </c>
      <c r="O113" t="str">
        <f t="shared" si="24"/>
        <v>Green</v>
      </c>
      <c r="P113" t="str">
        <f t="shared" si="25"/>
        <v>Red</v>
      </c>
      <c r="Q113" t="str">
        <f t="shared" si="26"/>
        <v>Red</v>
      </c>
      <c r="R113" t="str">
        <f t="shared" si="27"/>
        <v>Green</v>
      </c>
      <c r="S113" t="str">
        <f t="shared" si="28"/>
        <v>Red</v>
      </c>
      <c r="T113" t="str">
        <f t="shared" si="29"/>
        <v>Green</v>
      </c>
      <c r="U113" t="str">
        <f t="shared" si="30"/>
        <v>Green</v>
      </c>
      <c r="V113" t="str">
        <f t="shared" si="31"/>
        <v>Red</v>
      </c>
      <c r="W113" t="str">
        <f t="shared" si="32"/>
        <v>Red</v>
      </c>
      <c r="X113" t="str">
        <f t="shared" si="33"/>
        <v>Green</v>
      </c>
      <c r="Y113" t="str">
        <f t="shared" si="34"/>
        <v>Red</v>
      </c>
      <c r="Z113" t="str">
        <f t="shared" si="35"/>
        <v>Red</v>
      </c>
      <c r="AA113" t="str">
        <f t="shared" si="36"/>
        <v>Green</v>
      </c>
      <c r="AB113" t="str">
        <f t="shared" si="37"/>
        <v>Green</v>
      </c>
      <c r="AC113" t="str">
        <f t="shared" si="38"/>
        <v>Red</v>
      </c>
      <c r="AD113" t="str">
        <f t="shared" si="39"/>
        <v>Green</v>
      </c>
    </row>
    <row r="114" spans="1:30" x14ac:dyDescent="0.25">
      <c r="A114" t="str">
        <f t="shared" si="20"/>
        <v>21/07/2026NK Istra 1961Orijent</v>
      </c>
      <c r="D114" s="2">
        <v>46224</v>
      </c>
      <c r="E114" s="3">
        <v>0.6875</v>
      </c>
      <c r="F114" t="s">
        <v>1467</v>
      </c>
      <c r="G114" t="s">
        <v>1468</v>
      </c>
      <c r="H114">
        <v>2</v>
      </c>
      <c r="I114">
        <v>1</v>
      </c>
      <c r="J114">
        <v>5</v>
      </c>
      <c r="K114">
        <v>2</v>
      </c>
      <c r="L114" s="22" t="str">
        <f t="shared" si="21"/>
        <v>21/07/2026</v>
      </c>
      <c r="M114" s="23">
        <f t="shared" si="22"/>
        <v>0.5625</v>
      </c>
      <c r="N114" t="str">
        <f t="shared" si="23"/>
        <v>5 - 2</v>
      </c>
      <c r="O114" t="str">
        <f t="shared" si="24"/>
        <v>Green</v>
      </c>
      <c r="P114" t="str">
        <f t="shared" si="25"/>
        <v>Red</v>
      </c>
      <c r="Q114" t="str">
        <f t="shared" si="26"/>
        <v>Red</v>
      </c>
      <c r="R114" t="str">
        <f t="shared" si="27"/>
        <v>Green</v>
      </c>
      <c r="S114" t="str">
        <f t="shared" si="28"/>
        <v>Red</v>
      </c>
      <c r="T114" t="str">
        <f t="shared" si="29"/>
        <v>Green</v>
      </c>
      <c r="U114" t="str">
        <f t="shared" si="30"/>
        <v>Green</v>
      </c>
      <c r="V114" t="str">
        <f t="shared" si="31"/>
        <v>Red</v>
      </c>
      <c r="W114" t="str">
        <f t="shared" si="32"/>
        <v>Red</v>
      </c>
      <c r="X114" t="str">
        <f t="shared" si="33"/>
        <v>Green</v>
      </c>
      <c r="Y114" t="str">
        <f t="shared" si="34"/>
        <v>Green</v>
      </c>
      <c r="Z114" t="str">
        <f t="shared" si="35"/>
        <v>Green</v>
      </c>
      <c r="AA114" t="str">
        <f t="shared" si="36"/>
        <v>Red</v>
      </c>
      <c r="AB114" t="str">
        <f t="shared" si="37"/>
        <v>Red</v>
      </c>
      <c r="AC114" t="str">
        <f t="shared" si="38"/>
        <v>Green</v>
      </c>
      <c r="AD114" t="str">
        <f t="shared" si="39"/>
        <v>Red</v>
      </c>
    </row>
    <row r="115" spans="1:30" x14ac:dyDescent="0.25">
      <c r="A115" t="str">
        <f t="shared" si="20"/>
        <v>21/07/2026VfR AalenSonnenhof Grossaspach</v>
      </c>
      <c r="D115" s="2">
        <v>46224</v>
      </c>
      <c r="E115" s="3">
        <v>0.6875</v>
      </c>
      <c r="F115" t="s">
        <v>1469</v>
      </c>
      <c r="G115" t="s">
        <v>1470</v>
      </c>
      <c r="H115">
        <v>1</v>
      </c>
      <c r="I115">
        <v>1</v>
      </c>
      <c r="J115">
        <v>2</v>
      </c>
      <c r="K115">
        <v>2</v>
      </c>
      <c r="L115" s="22" t="str">
        <f t="shared" si="21"/>
        <v>21/07/2026</v>
      </c>
      <c r="M115" s="23">
        <f t="shared" si="22"/>
        <v>0.5625</v>
      </c>
      <c r="N115" t="str">
        <f t="shared" si="23"/>
        <v>2 - 2</v>
      </c>
      <c r="O115" t="str">
        <f t="shared" si="24"/>
        <v>Red</v>
      </c>
      <c r="P115" t="str">
        <f t="shared" si="25"/>
        <v>Green</v>
      </c>
      <c r="Q115" t="str">
        <f t="shared" si="26"/>
        <v>Red</v>
      </c>
      <c r="R115" t="str">
        <f t="shared" si="27"/>
        <v>Green</v>
      </c>
      <c r="S115" t="str">
        <f t="shared" si="28"/>
        <v>Green</v>
      </c>
      <c r="T115" t="str">
        <f t="shared" si="29"/>
        <v>Red</v>
      </c>
      <c r="U115" t="str">
        <f t="shared" si="30"/>
        <v>Red</v>
      </c>
      <c r="V115" t="str">
        <f t="shared" si="31"/>
        <v>Green</v>
      </c>
      <c r="W115" t="str">
        <f t="shared" si="32"/>
        <v>Red</v>
      </c>
      <c r="X115" t="str">
        <f t="shared" si="33"/>
        <v>Green</v>
      </c>
      <c r="Y115" t="str">
        <f t="shared" si="34"/>
        <v>Green</v>
      </c>
      <c r="Z115" t="str">
        <f t="shared" si="35"/>
        <v>Green</v>
      </c>
      <c r="AA115" t="str">
        <f t="shared" si="36"/>
        <v>Red</v>
      </c>
      <c r="AB115" t="str">
        <f t="shared" si="37"/>
        <v>Red</v>
      </c>
      <c r="AC115" t="str">
        <f t="shared" si="38"/>
        <v>Green</v>
      </c>
      <c r="AD115" t="str">
        <f t="shared" si="39"/>
        <v>Red</v>
      </c>
    </row>
    <row r="116" spans="1:30" x14ac:dyDescent="0.25">
      <c r="A116" t="str">
        <f t="shared" si="20"/>
        <v>21/07/2026AGF AarhusLech Poznan</v>
      </c>
      <c r="B116" t="s">
        <v>820</v>
      </c>
      <c r="C116" t="s">
        <v>821</v>
      </c>
      <c r="D116" s="2">
        <v>46224</v>
      </c>
      <c r="E116" s="3">
        <v>0.70833333333333337</v>
      </c>
      <c r="F116" t="s">
        <v>362</v>
      </c>
      <c r="G116" t="s">
        <v>363</v>
      </c>
      <c r="H116">
        <v>0</v>
      </c>
      <c r="I116">
        <v>2</v>
      </c>
      <c r="J116">
        <v>1</v>
      </c>
      <c r="K116">
        <v>4</v>
      </c>
      <c r="L116" s="22" t="str">
        <f t="shared" si="21"/>
        <v>21/07/2026</v>
      </c>
      <c r="M116" s="23">
        <f t="shared" si="22"/>
        <v>0.58333333333333337</v>
      </c>
      <c r="N116" t="str">
        <f t="shared" si="23"/>
        <v>1 - 4</v>
      </c>
      <c r="O116" t="str">
        <f t="shared" si="24"/>
        <v>Red</v>
      </c>
      <c r="P116" t="str">
        <f t="shared" si="25"/>
        <v>Red</v>
      </c>
      <c r="Q116" t="str">
        <f t="shared" si="26"/>
        <v>Green</v>
      </c>
      <c r="R116" t="str">
        <f t="shared" si="27"/>
        <v>Red</v>
      </c>
      <c r="S116" t="str">
        <f t="shared" si="28"/>
        <v>Green</v>
      </c>
      <c r="T116" t="str">
        <f t="shared" si="29"/>
        <v>Green</v>
      </c>
      <c r="U116" t="str">
        <f t="shared" si="30"/>
        <v>Red</v>
      </c>
      <c r="V116" t="str">
        <f t="shared" si="31"/>
        <v>Red</v>
      </c>
      <c r="W116" t="str">
        <f t="shared" si="32"/>
        <v>Green</v>
      </c>
      <c r="X116" t="str">
        <f t="shared" si="33"/>
        <v>Green</v>
      </c>
      <c r="Y116" t="str">
        <f t="shared" si="34"/>
        <v>Green</v>
      </c>
      <c r="Z116" t="str">
        <f t="shared" si="35"/>
        <v>Green</v>
      </c>
      <c r="AA116" t="str">
        <f t="shared" si="36"/>
        <v>Red</v>
      </c>
      <c r="AB116" t="str">
        <f t="shared" si="37"/>
        <v>Red</v>
      </c>
      <c r="AC116" t="str">
        <f t="shared" si="38"/>
        <v>Green</v>
      </c>
      <c r="AD116" t="str">
        <f t="shared" si="39"/>
        <v>Red</v>
      </c>
    </row>
    <row r="117" spans="1:30" x14ac:dyDescent="0.25">
      <c r="A117" t="str">
        <f t="shared" si="20"/>
        <v>21/07/2026IFK GoteborgLevadia Tallinn</v>
      </c>
      <c r="B117" t="s">
        <v>820</v>
      </c>
      <c r="C117" t="s">
        <v>1344</v>
      </c>
      <c r="D117" s="2">
        <v>46224</v>
      </c>
      <c r="E117" s="3">
        <v>0.70833333333333337</v>
      </c>
      <c r="F117" t="s">
        <v>1345</v>
      </c>
      <c r="G117" t="s">
        <v>1346</v>
      </c>
      <c r="H117">
        <v>0</v>
      </c>
      <c r="I117">
        <v>2</v>
      </c>
      <c r="J117">
        <v>1</v>
      </c>
      <c r="K117">
        <v>2</v>
      </c>
      <c r="L117" s="22" t="str">
        <f t="shared" si="21"/>
        <v>21/07/2026</v>
      </c>
      <c r="M117" s="23">
        <f t="shared" si="22"/>
        <v>0.58333333333333337</v>
      </c>
      <c r="N117" t="str">
        <f t="shared" si="23"/>
        <v>1 - 2</v>
      </c>
      <c r="O117" t="str">
        <f t="shared" si="24"/>
        <v>Red</v>
      </c>
      <c r="P117" t="str">
        <f t="shared" si="25"/>
        <v>Red</v>
      </c>
      <c r="Q117" t="str">
        <f t="shared" si="26"/>
        <v>Green</v>
      </c>
      <c r="R117" t="str">
        <f t="shared" si="27"/>
        <v>Red</v>
      </c>
      <c r="S117" t="str">
        <f t="shared" si="28"/>
        <v>Green</v>
      </c>
      <c r="T117" t="str">
        <f t="shared" si="29"/>
        <v>Green</v>
      </c>
      <c r="U117" t="str">
        <f t="shared" si="30"/>
        <v>Red</v>
      </c>
      <c r="V117" t="str">
        <f t="shared" si="31"/>
        <v>Red</v>
      </c>
      <c r="W117" t="str">
        <f t="shared" si="32"/>
        <v>Green</v>
      </c>
      <c r="X117" t="str">
        <f t="shared" si="33"/>
        <v>Green</v>
      </c>
      <c r="Y117" t="str">
        <f t="shared" si="34"/>
        <v>Green</v>
      </c>
      <c r="Z117" t="str">
        <f t="shared" si="35"/>
        <v>Green</v>
      </c>
      <c r="AA117" t="str">
        <f t="shared" si="36"/>
        <v>Red</v>
      </c>
      <c r="AB117" t="str">
        <f t="shared" si="37"/>
        <v>Green</v>
      </c>
      <c r="AC117" t="str">
        <f t="shared" si="38"/>
        <v>Green</v>
      </c>
      <c r="AD117" t="str">
        <f t="shared" si="39"/>
        <v>Red</v>
      </c>
    </row>
    <row r="118" spans="1:30" x14ac:dyDescent="0.25">
      <c r="A118" t="str">
        <f t="shared" si="20"/>
        <v>21/07/2026Tabasalu UlasabatParnu JK Vaprus</v>
      </c>
      <c r="D118" s="2">
        <v>46224</v>
      </c>
      <c r="E118" s="3">
        <v>0.70833333333333337</v>
      </c>
      <c r="F118" t="s">
        <v>435</v>
      </c>
      <c r="G118" t="s">
        <v>436</v>
      </c>
      <c r="H118">
        <v>1</v>
      </c>
      <c r="I118">
        <v>1</v>
      </c>
      <c r="J118">
        <v>1</v>
      </c>
      <c r="K118">
        <v>4</v>
      </c>
      <c r="L118" s="22" t="str">
        <f t="shared" si="21"/>
        <v>21/07/2026</v>
      </c>
      <c r="M118" s="23">
        <f t="shared" si="22"/>
        <v>0.58333333333333337</v>
      </c>
      <c r="N118" t="str">
        <f t="shared" si="23"/>
        <v>1 - 4</v>
      </c>
      <c r="O118" t="str">
        <f t="shared" si="24"/>
        <v>Red</v>
      </c>
      <c r="P118" t="str">
        <f t="shared" si="25"/>
        <v>Red</v>
      </c>
      <c r="Q118" t="str">
        <f t="shared" si="26"/>
        <v>Green</v>
      </c>
      <c r="R118" t="str">
        <f t="shared" si="27"/>
        <v>Red</v>
      </c>
      <c r="S118" t="str">
        <f t="shared" si="28"/>
        <v>Green</v>
      </c>
      <c r="T118" t="str">
        <f t="shared" si="29"/>
        <v>Green</v>
      </c>
      <c r="U118" t="str">
        <f t="shared" si="30"/>
        <v>Red</v>
      </c>
      <c r="V118" t="str">
        <f t="shared" si="31"/>
        <v>Green</v>
      </c>
      <c r="W118" t="str">
        <f t="shared" si="32"/>
        <v>Red</v>
      </c>
      <c r="X118" t="str">
        <f t="shared" si="33"/>
        <v>Green</v>
      </c>
      <c r="Y118" t="str">
        <f t="shared" si="34"/>
        <v>Green</v>
      </c>
      <c r="Z118" t="str">
        <f t="shared" si="35"/>
        <v>Green</v>
      </c>
      <c r="AA118" t="str">
        <f t="shared" si="36"/>
        <v>Red</v>
      </c>
      <c r="AB118" t="str">
        <f t="shared" si="37"/>
        <v>Red</v>
      </c>
      <c r="AC118" t="str">
        <f t="shared" si="38"/>
        <v>Green</v>
      </c>
      <c r="AD118" t="str">
        <f t="shared" si="39"/>
        <v>Red</v>
      </c>
    </row>
    <row r="119" spans="1:30" x14ac:dyDescent="0.25">
      <c r="A119" t="str">
        <f t="shared" si="20"/>
        <v>21/07/2026DJK Don Bosco BambergTSV Kornburg</v>
      </c>
      <c r="D119" s="2">
        <v>46224</v>
      </c>
      <c r="E119" s="3">
        <v>0.70833333333333337</v>
      </c>
      <c r="F119" t="s">
        <v>1365</v>
      </c>
      <c r="G119" t="s">
        <v>1366</v>
      </c>
      <c r="H119">
        <v>1</v>
      </c>
      <c r="I119">
        <v>1</v>
      </c>
      <c r="J119">
        <v>2</v>
      </c>
      <c r="K119">
        <v>2</v>
      </c>
      <c r="L119" s="22" t="str">
        <f t="shared" si="21"/>
        <v>21/07/2026</v>
      </c>
      <c r="M119" s="23">
        <f t="shared" si="22"/>
        <v>0.58333333333333337</v>
      </c>
      <c r="N119" t="str">
        <f t="shared" si="23"/>
        <v>2 - 2</v>
      </c>
      <c r="O119" t="str">
        <f t="shared" si="24"/>
        <v>Red</v>
      </c>
      <c r="P119" t="str">
        <f t="shared" si="25"/>
        <v>Green</v>
      </c>
      <c r="Q119" t="str">
        <f t="shared" si="26"/>
        <v>Red</v>
      </c>
      <c r="R119" t="str">
        <f t="shared" si="27"/>
        <v>Green</v>
      </c>
      <c r="S119" t="str">
        <f t="shared" si="28"/>
        <v>Green</v>
      </c>
      <c r="T119" t="str">
        <f t="shared" si="29"/>
        <v>Red</v>
      </c>
      <c r="U119" t="str">
        <f t="shared" si="30"/>
        <v>Red</v>
      </c>
      <c r="V119" t="str">
        <f t="shared" si="31"/>
        <v>Green</v>
      </c>
      <c r="W119" t="str">
        <f t="shared" si="32"/>
        <v>Red</v>
      </c>
      <c r="X119" t="str">
        <f t="shared" si="33"/>
        <v>Green</v>
      </c>
      <c r="Y119" t="str">
        <f t="shared" si="34"/>
        <v>Green</v>
      </c>
      <c r="Z119" t="str">
        <f t="shared" si="35"/>
        <v>Green</v>
      </c>
      <c r="AA119" t="str">
        <f t="shared" si="36"/>
        <v>Red</v>
      </c>
      <c r="AB119" t="str">
        <f t="shared" si="37"/>
        <v>Red</v>
      </c>
      <c r="AC119" t="str">
        <f t="shared" si="38"/>
        <v>Green</v>
      </c>
      <c r="AD119" t="str">
        <f t="shared" si="39"/>
        <v>Red</v>
      </c>
    </row>
    <row r="120" spans="1:30" x14ac:dyDescent="0.25">
      <c r="A120" t="str">
        <f t="shared" si="20"/>
        <v>21/07/2026NeudrossenfeldSV Fortuna Regensburg</v>
      </c>
      <c r="D120" s="2">
        <v>46224</v>
      </c>
      <c r="E120" s="3">
        <v>0.70833333333333337</v>
      </c>
      <c r="F120" t="s">
        <v>1367</v>
      </c>
      <c r="G120" t="s">
        <v>1368</v>
      </c>
      <c r="H120">
        <v>0</v>
      </c>
      <c r="I120">
        <v>0</v>
      </c>
      <c r="J120">
        <v>1</v>
      </c>
      <c r="K120">
        <v>0</v>
      </c>
      <c r="L120" s="22" t="str">
        <f t="shared" si="21"/>
        <v>21/07/2026</v>
      </c>
      <c r="M120" s="23">
        <f t="shared" si="22"/>
        <v>0.58333333333333337</v>
      </c>
      <c r="N120" t="str">
        <f t="shared" si="23"/>
        <v>1 - 0</v>
      </c>
      <c r="O120" t="str">
        <f t="shared" si="24"/>
        <v>Green</v>
      </c>
      <c r="P120" t="str">
        <f t="shared" si="25"/>
        <v>Red</v>
      </c>
      <c r="Q120" t="str">
        <f t="shared" si="26"/>
        <v>Red</v>
      </c>
      <c r="R120" t="str">
        <f t="shared" si="27"/>
        <v>Green</v>
      </c>
      <c r="S120" t="str">
        <f t="shared" si="28"/>
        <v>Red</v>
      </c>
      <c r="T120" t="str">
        <f t="shared" si="29"/>
        <v>Green</v>
      </c>
      <c r="U120" t="str">
        <f t="shared" si="30"/>
        <v>Red</v>
      </c>
      <c r="V120" t="str">
        <f t="shared" si="31"/>
        <v>Green</v>
      </c>
      <c r="W120" t="str">
        <f t="shared" si="32"/>
        <v>Red</v>
      </c>
      <c r="X120" t="str">
        <f t="shared" si="33"/>
        <v>Red</v>
      </c>
      <c r="Y120" t="str">
        <f t="shared" si="34"/>
        <v>Red</v>
      </c>
      <c r="Z120" t="str">
        <f t="shared" si="35"/>
        <v>Red</v>
      </c>
      <c r="AA120" t="str">
        <f t="shared" si="36"/>
        <v>Green</v>
      </c>
      <c r="AB120" t="str">
        <f t="shared" si="37"/>
        <v>Green</v>
      </c>
      <c r="AC120" t="str">
        <f t="shared" si="38"/>
        <v>Red</v>
      </c>
      <c r="AD120" t="str">
        <f t="shared" si="39"/>
        <v>Green</v>
      </c>
    </row>
    <row r="121" spans="1:30" x14ac:dyDescent="0.25">
      <c r="A121" t="str">
        <f t="shared" si="20"/>
        <v>21/07/2026TSV GrossbardorfWÃ¼rzburger FV</v>
      </c>
      <c r="D121" s="2">
        <v>46224</v>
      </c>
      <c r="E121" s="3">
        <v>0.70833333333333337</v>
      </c>
      <c r="F121" t="s">
        <v>1369</v>
      </c>
      <c r="G121" t="s">
        <v>1370</v>
      </c>
      <c r="H121">
        <v>0</v>
      </c>
      <c r="I121">
        <v>2</v>
      </c>
      <c r="J121">
        <v>0</v>
      </c>
      <c r="K121">
        <v>2</v>
      </c>
      <c r="L121" s="22" t="str">
        <f t="shared" si="21"/>
        <v>21/07/2026</v>
      </c>
      <c r="M121" s="23">
        <f t="shared" si="22"/>
        <v>0.58333333333333337</v>
      </c>
      <c r="N121" t="str">
        <f t="shared" si="23"/>
        <v>0 - 2</v>
      </c>
      <c r="O121" t="str">
        <f t="shared" si="24"/>
        <v>Red</v>
      </c>
      <c r="P121" t="str">
        <f t="shared" si="25"/>
        <v>Red</v>
      </c>
      <c r="Q121" t="str">
        <f t="shared" si="26"/>
        <v>Green</v>
      </c>
      <c r="R121" t="str">
        <f t="shared" si="27"/>
        <v>Red</v>
      </c>
      <c r="S121" t="str">
        <f t="shared" si="28"/>
        <v>Green</v>
      </c>
      <c r="T121" t="str">
        <f t="shared" si="29"/>
        <v>Green</v>
      </c>
      <c r="U121" t="str">
        <f t="shared" si="30"/>
        <v>Red</v>
      </c>
      <c r="V121" t="str">
        <f t="shared" si="31"/>
        <v>Red</v>
      </c>
      <c r="W121" t="str">
        <f t="shared" si="32"/>
        <v>Green</v>
      </c>
      <c r="X121" t="str">
        <f t="shared" si="33"/>
        <v>Green</v>
      </c>
      <c r="Y121" t="str">
        <f t="shared" si="34"/>
        <v>Green</v>
      </c>
      <c r="Z121" t="str">
        <f t="shared" si="35"/>
        <v>Red</v>
      </c>
      <c r="AA121" t="str">
        <f t="shared" si="36"/>
        <v>Green</v>
      </c>
      <c r="AB121" t="str">
        <f t="shared" si="37"/>
        <v>Green</v>
      </c>
      <c r="AC121" t="str">
        <f t="shared" si="38"/>
        <v>Red</v>
      </c>
      <c r="AD121" t="str">
        <f t="shared" si="39"/>
        <v>Green</v>
      </c>
    </row>
    <row r="122" spans="1:30" x14ac:dyDescent="0.25">
      <c r="A122" t="str">
        <f t="shared" si="20"/>
        <v>21/07/2026FalkenbergHelsingborg</v>
      </c>
      <c r="D122" s="2">
        <v>46224</v>
      </c>
      <c r="E122" s="3">
        <v>0.70833333333333337</v>
      </c>
      <c r="F122" t="s">
        <v>1436</v>
      </c>
      <c r="G122" t="s">
        <v>229</v>
      </c>
      <c r="H122">
        <v>2</v>
      </c>
      <c r="I122">
        <v>3</v>
      </c>
      <c r="J122">
        <v>2</v>
      </c>
      <c r="K122">
        <v>3</v>
      </c>
      <c r="L122" s="22" t="str">
        <f t="shared" si="21"/>
        <v>21/07/2026</v>
      </c>
      <c r="M122" s="23">
        <f t="shared" si="22"/>
        <v>0.58333333333333337</v>
      </c>
      <c r="N122" t="str">
        <f t="shared" si="23"/>
        <v>2 - 3</v>
      </c>
      <c r="O122" t="str">
        <f t="shared" si="24"/>
        <v>Red</v>
      </c>
      <c r="P122" t="str">
        <f t="shared" si="25"/>
        <v>Red</v>
      </c>
      <c r="Q122" t="str">
        <f t="shared" si="26"/>
        <v>Green</v>
      </c>
      <c r="R122" t="str">
        <f t="shared" si="27"/>
        <v>Red</v>
      </c>
      <c r="S122" t="str">
        <f t="shared" si="28"/>
        <v>Green</v>
      </c>
      <c r="T122" t="str">
        <f t="shared" si="29"/>
        <v>Green</v>
      </c>
      <c r="U122" t="str">
        <f t="shared" si="30"/>
        <v>Red</v>
      </c>
      <c r="V122" t="str">
        <f t="shared" si="31"/>
        <v>Red</v>
      </c>
      <c r="W122" t="str">
        <f t="shared" si="32"/>
        <v>Green</v>
      </c>
      <c r="X122" t="str">
        <f t="shared" si="33"/>
        <v>Green</v>
      </c>
      <c r="Y122" t="str">
        <f t="shared" si="34"/>
        <v>Green</v>
      </c>
      <c r="Z122" t="str">
        <f t="shared" si="35"/>
        <v>Green</v>
      </c>
      <c r="AA122" t="str">
        <f t="shared" si="36"/>
        <v>Red</v>
      </c>
      <c r="AB122" t="str">
        <f t="shared" si="37"/>
        <v>Red</v>
      </c>
      <c r="AC122" t="str">
        <f t="shared" si="38"/>
        <v>Green</v>
      </c>
      <c r="AD122" t="str">
        <f t="shared" si="39"/>
        <v>Red</v>
      </c>
    </row>
    <row r="123" spans="1:30" x14ac:dyDescent="0.25">
      <c r="A123" t="str">
        <f t="shared" si="20"/>
        <v>21/07/2026Al Ittihad JeddahOrlando Pirates</v>
      </c>
      <c r="D123" s="2">
        <v>46224</v>
      </c>
      <c r="E123" s="3">
        <v>0.70833333333333337</v>
      </c>
      <c r="F123" t="s">
        <v>1471</v>
      </c>
      <c r="G123" t="s">
        <v>1472</v>
      </c>
      <c r="H123">
        <v>2</v>
      </c>
      <c r="I123">
        <v>1</v>
      </c>
      <c r="J123">
        <v>3</v>
      </c>
      <c r="K123">
        <v>2</v>
      </c>
      <c r="L123" s="22" t="str">
        <f t="shared" si="21"/>
        <v>21/07/2026</v>
      </c>
      <c r="M123" s="23">
        <f t="shared" si="22"/>
        <v>0.58333333333333337</v>
      </c>
      <c r="N123" t="str">
        <f t="shared" si="23"/>
        <v>3 - 2</v>
      </c>
      <c r="O123" t="str">
        <f t="shared" si="24"/>
        <v>Green</v>
      </c>
      <c r="P123" t="str">
        <f t="shared" si="25"/>
        <v>Red</v>
      </c>
      <c r="Q123" t="str">
        <f t="shared" si="26"/>
        <v>Red</v>
      </c>
      <c r="R123" t="str">
        <f t="shared" si="27"/>
        <v>Green</v>
      </c>
      <c r="S123" t="str">
        <f t="shared" si="28"/>
        <v>Red</v>
      </c>
      <c r="T123" t="str">
        <f t="shared" si="29"/>
        <v>Green</v>
      </c>
      <c r="U123" t="str">
        <f t="shared" si="30"/>
        <v>Green</v>
      </c>
      <c r="V123" t="str">
        <f t="shared" si="31"/>
        <v>Red</v>
      </c>
      <c r="W123" t="str">
        <f t="shared" si="32"/>
        <v>Red</v>
      </c>
      <c r="X123" t="str">
        <f t="shared" si="33"/>
        <v>Green</v>
      </c>
      <c r="Y123" t="str">
        <f t="shared" si="34"/>
        <v>Green</v>
      </c>
      <c r="Z123" t="str">
        <f t="shared" si="35"/>
        <v>Green</v>
      </c>
      <c r="AA123" t="str">
        <f t="shared" si="36"/>
        <v>Red</v>
      </c>
      <c r="AB123" t="str">
        <f t="shared" si="37"/>
        <v>Red</v>
      </c>
      <c r="AC123" t="str">
        <f t="shared" si="38"/>
        <v>Green</v>
      </c>
      <c r="AD123" t="str">
        <f t="shared" si="39"/>
        <v>Red</v>
      </c>
    </row>
    <row r="124" spans="1:30" x14ac:dyDescent="0.25">
      <c r="A124" t="str">
        <f t="shared" si="20"/>
        <v>21/07/2026EVV EchtMVV Maastricht</v>
      </c>
      <c r="D124" s="2">
        <v>46224</v>
      </c>
      <c r="E124" s="3">
        <v>0.70833333333333337</v>
      </c>
      <c r="F124" t="s">
        <v>1473</v>
      </c>
      <c r="G124" t="s">
        <v>1474</v>
      </c>
      <c r="H124">
        <v>1</v>
      </c>
      <c r="I124">
        <v>2</v>
      </c>
      <c r="J124">
        <v>2</v>
      </c>
      <c r="K124">
        <v>2</v>
      </c>
      <c r="L124" s="22" t="str">
        <f t="shared" si="21"/>
        <v>21/07/2026</v>
      </c>
      <c r="M124" s="23">
        <f t="shared" si="22"/>
        <v>0.58333333333333337</v>
      </c>
      <c r="N124" t="str">
        <f t="shared" si="23"/>
        <v>2 - 2</v>
      </c>
      <c r="O124" t="str">
        <f t="shared" si="24"/>
        <v>Red</v>
      </c>
      <c r="P124" t="str">
        <f t="shared" si="25"/>
        <v>Green</v>
      </c>
      <c r="Q124" t="str">
        <f t="shared" si="26"/>
        <v>Red</v>
      </c>
      <c r="R124" t="str">
        <f t="shared" si="27"/>
        <v>Green</v>
      </c>
      <c r="S124" t="str">
        <f t="shared" si="28"/>
        <v>Green</v>
      </c>
      <c r="T124" t="str">
        <f t="shared" si="29"/>
        <v>Red</v>
      </c>
      <c r="U124" t="str">
        <f t="shared" si="30"/>
        <v>Red</v>
      </c>
      <c r="V124" t="str">
        <f t="shared" si="31"/>
        <v>Red</v>
      </c>
      <c r="W124" t="str">
        <f t="shared" si="32"/>
        <v>Green</v>
      </c>
      <c r="X124" t="str">
        <f t="shared" si="33"/>
        <v>Green</v>
      </c>
      <c r="Y124" t="str">
        <f t="shared" si="34"/>
        <v>Green</v>
      </c>
      <c r="Z124" t="str">
        <f t="shared" si="35"/>
        <v>Green</v>
      </c>
      <c r="AA124" t="str">
        <f t="shared" si="36"/>
        <v>Red</v>
      </c>
      <c r="AB124" t="str">
        <f t="shared" si="37"/>
        <v>Red</v>
      </c>
      <c r="AC124" t="str">
        <f t="shared" si="38"/>
        <v>Green</v>
      </c>
      <c r="AD124" t="str">
        <f t="shared" si="39"/>
        <v>Red</v>
      </c>
    </row>
    <row r="125" spans="1:30" x14ac:dyDescent="0.25">
      <c r="A125" t="str">
        <f t="shared" si="20"/>
        <v>21/07/2026Sollentuna FFKarlbergs BK</v>
      </c>
      <c r="D125" s="2">
        <v>46224</v>
      </c>
      <c r="E125" s="3">
        <v>0.70833333333333337</v>
      </c>
      <c r="F125" t="s">
        <v>1475</v>
      </c>
      <c r="G125" t="s">
        <v>1476</v>
      </c>
      <c r="H125">
        <v>1</v>
      </c>
      <c r="I125">
        <v>1</v>
      </c>
      <c r="J125">
        <v>1</v>
      </c>
      <c r="K125">
        <v>2</v>
      </c>
      <c r="L125" s="22" t="str">
        <f t="shared" si="21"/>
        <v>21/07/2026</v>
      </c>
      <c r="M125" s="23">
        <f t="shared" si="22"/>
        <v>0.58333333333333337</v>
      </c>
      <c r="N125" t="str">
        <f t="shared" si="23"/>
        <v>1 - 2</v>
      </c>
      <c r="O125" t="str">
        <f t="shared" si="24"/>
        <v>Red</v>
      </c>
      <c r="P125" t="str">
        <f t="shared" si="25"/>
        <v>Red</v>
      </c>
      <c r="Q125" t="str">
        <f t="shared" si="26"/>
        <v>Green</v>
      </c>
      <c r="R125" t="str">
        <f t="shared" si="27"/>
        <v>Red</v>
      </c>
      <c r="S125" t="str">
        <f t="shared" si="28"/>
        <v>Green</v>
      </c>
      <c r="T125" t="str">
        <f t="shared" si="29"/>
        <v>Green</v>
      </c>
      <c r="U125" t="str">
        <f t="shared" si="30"/>
        <v>Red</v>
      </c>
      <c r="V125" t="str">
        <f t="shared" si="31"/>
        <v>Green</v>
      </c>
      <c r="W125" t="str">
        <f t="shared" si="32"/>
        <v>Red</v>
      </c>
      <c r="X125" t="str">
        <f t="shared" si="33"/>
        <v>Green</v>
      </c>
      <c r="Y125" t="str">
        <f t="shared" si="34"/>
        <v>Green</v>
      </c>
      <c r="Z125" t="str">
        <f t="shared" si="35"/>
        <v>Green</v>
      </c>
      <c r="AA125" t="str">
        <f t="shared" si="36"/>
        <v>Red</v>
      </c>
      <c r="AB125" t="str">
        <f t="shared" si="37"/>
        <v>Green</v>
      </c>
      <c r="AC125" t="str">
        <f t="shared" si="38"/>
        <v>Green</v>
      </c>
      <c r="AD125" t="str">
        <f t="shared" si="39"/>
        <v>Red</v>
      </c>
    </row>
    <row r="126" spans="1:30" x14ac:dyDescent="0.25">
      <c r="A126" t="str">
        <f t="shared" si="20"/>
        <v>21/07/2026SV DonauSimmeringer SC</v>
      </c>
      <c r="D126" s="2">
        <v>46224</v>
      </c>
      <c r="E126" s="3">
        <v>0.70833333333333337</v>
      </c>
      <c r="F126" t="s">
        <v>1477</v>
      </c>
      <c r="G126" t="s">
        <v>1478</v>
      </c>
      <c r="H126">
        <v>2</v>
      </c>
      <c r="I126">
        <v>0</v>
      </c>
      <c r="J126">
        <v>5</v>
      </c>
      <c r="K126">
        <v>0</v>
      </c>
      <c r="L126" s="22" t="str">
        <f t="shared" si="21"/>
        <v>21/07/2026</v>
      </c>
      <c r="M126" s="23">
        <f t="shared" si="22"/>
        <v>0.58333333333333337</v>
      </c>
      <c r="N126" t="str">
        <f t="shared" si="23"/>
        <v>5 - 0</v>
      </c>
      <c r="O126" t="str">
        <f t="shared" si="24"/>
        <v>Green</v>
      </c>
      <c r="P126" t="str">
        <f t="shared" si="25"/>
        <v>Red</v>
      </c>
      <c r="Q126" t="str">
        <f t="shared" si="26"/>
        <v>Red</v>
      </c>
      <c r="R126" t="str">
        <f t="shared" si="27"/>
        <v>Green</v>
      </c>
      <c r="S126" t="str">
        <f t="shared" si="28"/>
        <v>Red</v>
      </c>
      <c r="T126" t="str">
        <f t="shared" si="29"/>
        <v>Green</v>
      </c>
      <c r="U126" t="str">
        <f t="shared" si="30"/>
        <v>Green</v>
      </c>
      <c r="V126" t="str">
        <f t="shared" si="31"/>
        <v>Red</v>
      </c>
      <c r="W126" t="str">
        <f t="shared" si="32"/>
        <v>Red</v>
      </c>
      <c r="X126" t="str">
        <f t="shared" si="33"/>
        <v>Green</v>
      </c>
      <c r="Y126" t="str">
        <f t="shared" si="34"/>
        <v>Green</v>
      </c>
      <c r="Z126" t="str">
        <f t="shared" si="35"/>
        <v>Green</v>
      </c>
      <c r="AA126" t="str">
        <f t="shared" si="36"/>
        <v>Red</v>
      </c>
      <c r="AB126" t="str">
        <f t="shared" si="37"/>
        <v>Red</v>
      </c>
      <c r="AC126" t="str">
        <f t="shared" si="38"/>
        <v>Red</v>
      </c>
      <c r="AD126" t="str">
        <f t="shared" si="39"/>
        <v>Green</v>
      </c>
    </row>
    <row r="127" spans="1:30" x14ac:dyDescent="0.25">
      <c r="A127" t="str">
        <f t="shared" si="20"/>
        <v>21/07/2026TreibachSirnitz</v>
      </c>
      <c r="D127" s="2">
        <v>46224</v>
      </c>
      <c r="E127" s="3">
        <v>0.70833333333333337</v>
      </c>
      <c r="F127" t="s">
        <v>1479</v>
      </c>
      <c r="G127" t="s">
        <v>1480</v>
      </c>
      <c r="H127">
        <v>7</v>
      </c>
      <c r="I127">
        <v>0</v>
      </c>
      <c r="J127">
        <v>12</v>
      </c>
      <c r="K127">
        <v>0</v>
      </c>
      <c r="L127" s="22" t="str">
        <f t="shared" si="21"/>
        <v>21/07/2026</v>
      </c>
      <c r="M127" s="23">
        <f t="shared" si="22"/>
        <v>0.58333333333333337</v>
      </c>
      <c r="N127" t="str">
        <f t="shared" si="23"/>
        <v>12 - 0</v>
      </c>
      <c r="O127" t="str">
        <f t="shared" si="24"/>
        <v>Green</v>
      </c>
      <c r="P127" t="str">
        <f t="shared" si="25"/>
        <v>Red</v>
      </c>
      <c r="Q127" t="str">
        <f t="shared" si="26"/>
        <v>Red</v>
      </c>
      <c r="R127" t="str">
        <f t="shared" si="27"/>
        <v>Green</v>
      </c>
      <c r="S127" t="str">
        <f t="shared" si="28"/>
        <v>Red</v>
      </c>
      <c r="T127" t="str">
        <f t="shared" si="29"/>
        <v>Green</v>
      </c>
      <c r="U127" t="str">
        <f t="shared" si="30"/>
        <v>Green</v>
      </c>
      <c r="V127" t="str">
        <f t="shared" si="31"/>
        <v>Red</v>
      </c>
      <c r="W127" t="str">
        <f t="shared" si="32"/>
        <v>Red</v>
      </c>
      <c r="X127" t="str">
        <f t="shared" si="33"/>
        <v>Green</v>
      </c>
      <c r="Y127" t="str">
        <f t="shared" si="34"/>
        <v>Green</v>
      </c>
      <c r="Z127" t="str">
        <f t="shared" si="35"/>
        <v>Green</v>
      </c>
      <c r="AA127" t="str">
        <f t="shared" si="36"/>
        <v>Red</v>
      </c>
      <c r="AB127" t="str">
        <f t="shared" si="37"/>
        <v>Red</v>
      </c>
      <c r="AC127" t="str">
        <f t="shared" si="38"/>
        <v>Red</v>
      </c>
      <c r="AD127" t="str">
        <f t="shared" si="39"/>
        <v>Green</v>
      </c>
    </row>
    <row r="128" spans="1:30" x14ac:dyDescent="0.25">
      <c r="A128" t="str">
        <f t="shared" si="20"/>
        <v>21/07/2026LangenrohrRed Star Penzing</v>
      </c>
      <c r="D128" s="2">
        <v>46224</v>
      </c>
      <c r="E128" s="3">
        <v>0.71875</v>
      </c>
      <c r="F128" t="s">
        <v>1481</v>
      </c>
      <c r="G128" t="s">
        <v>1482</v>
      </c>
      <c r="H128">
        <v>2</v>
      </c>
      <c r="I128">
        <v>0</v>
      </c>
      <c r="J128">
        <v>2</v>
      </c>
      <c r="K128">
        <v>4</v>
      </c>
      <c r="L128" s="22" t="str">
        <f t="shared" si="21"/>
        <v>21/07/2026</v>
      </c>
      <c r="M128" s="23">
        <f t="shared" si="22"/>
        <v>0.59375</v>
      </c>
      <c r="N128" t="str">
        <f t="shared" si="23"/>
        <v>2 - 4</v>
      </c>
      <c r="O128" t="str">
        <f t="shared" si="24"/>
        <v>Red</v>
      </c>
      <c r="P128" t="str">
        <f t="shared" si="25"/>
        <v>Red</v>
      </c>
      <c r="Q128" t="str">
        <f t="shared" si="26"/>
        <v>Green</v>
      </c>
      <c r="R128" t="str">
        <f t="shared" si="27"/>
        <v>Red</v>
      </c>
      <c r="S128" t="str">
        <f t="shared" si="28"/>
        <v>Green</v>
      </c>
      <c r="T128" t="str">
        <f t="shared" si="29"/>
        <v>Green</v>
      </c>
      <c r="U128" t="str">
        <f t="shared" si="30"/>
        <v>Green</v>
      </c>
      <c r="V128" t="str">
        <f t="shared" si="31"/>
        <v>Red</v>
      </c>
      <c r="W128" t="str">
        <f t="shared" si="32"/>
        <v>Red</v>
      </c>
      <c r="X128" t="str">
        <f t="shared" si="33"/>
        <v>Green</v>
      </c>
      <c r="Y128" t="str">
        <f t="shared" si="34"/>
        <v>Green</v>
      </c>
      <c r="Z128" t="str">
        <f t="shared" si="35"/>
        <v>Green</v>
      </c>
      <c r="AA128" t="str">
        <f t="shared" si="36"/>
        <v>Red</v>
      </c>
      <c r="AB128" t="str">
        <f t="shared" si="37"/>
        <v>Red</v>
      </c>
      <c r="AC128" t="str">
        <f t="shared" si="38"/>
        <v>Green</v>
      </c>
      <c r="AD128" t="str">
        <f t="shared" si="39"/>
        <v>Red</v>
      </c>
    </row>
    <row r="129" spans="1:30" x14ac:dyDescent="0.25">
      <c r="A129" t="str">
        <f t="shared" si="20"/>
        <v>21/07/2026FlorianaKF Drita</v>
      </c>
      <c r="B129" t="s">
        <v>820</v>
      </c>
      <c r="C129" t="s">
        <v>1344</v>
      </c>
      <c r="D129" s="2">
        <v>46224</v>
      </c>
      <c r="E129" s="3">
        <v>0.72916666666666663</v>
      </c>
      <c r="F129" t="s">
        <v>1347</v>
      </c>
      <c r="G129" t="s">
        <v>1348</v>
      </c>
      <c r="H129">
        <v>0</v>
      </c>
      <c r="I129">
        <v>0</v>
      </c>
      <c r="J129">
        <v>1</v>
      </c>
      <c r="K129">
        <v>1</v>
      </c>
      <c r="L129" s="22" t="str">
        <f t="shared" si="21"/>
        <v>21/07/2026</v>
      </c>
      <c r="M129" s="23">
        <f t="shared" si="22"/>
        <v>0.60416666666666663</v>
      </c>
      <c r="N129" t="str">
        <f t="shared" si="23"/>
        <v>1 - 1</v>
      </c>
      <c r="O129" t="str">
        <f t="shared" si="24"/>
        <v>Red</v>
      </c>
      <c r="P129" t="str">
        <f t="shared" si="25"/>
        <v>Green</v>
      </c>
      <c r="Q129" t="str">
        <f t="shared" si="26"/>
        <v>Red</v>
      </c>
      <c r="R129" t="str">
        <f t="shared" si="27"/>
        <v>Green</v>
      </c>
      <c r="S129" t="str">
        <f t="shared" si="28"/>
        <v>Green</v>
      </c>
      <c r="T129" t="str">
        <f t="shared" si="29"/>
        <v>Red</v>
      </c>
      <c r="U129" t="str">
        <f t="shared" si="30"/>
        <v>Red</v>
      </c>
      <c r="V129" t="str">
        <f t="shared" si="31"/>
        <v>Green</v>
      </c>
      <c r="W129" t="str">
        <f t="shared" si="32"/>
        <v>Red</v>
      </c>
      <c r="X129" t="str">
        <f t="shared" si="33"/>
        <v>Red</v>
      </c>
      <c r="Y129" t="str">
        <f t="shared" si="34"/>
        <v>Green</v>
      </c>
      <c r="Z129" t="str">
        <f t="shared" si="35"/>
        <v>Red</v>
      </c>
      <c r="AA129" t="str">
        <f t="shared" si="36"/>
        <v>Green</v>
      </c>
      <c r="AB129" t="str">
        <f t="shared" si="37"/>
        <v>Green</v>
      </c>
      <c r="AC129" t="str">
        <f t="shared" si="38"/>
        <v>Green</v>
      </c>
      <c r="AD129" t="str">
        <f t="shared" si="39"/>
        <v>Red</v>
      </c>
    </row>
    <row r="130" spans="1:30" x14ac:dyDescent="0.25">
      <c r="A130" t="str">
        <f t="shared" si="20"/>
        <v>21/07/2026Kristiine JKJogeva Wolves</v>
      </c>
      <c r="D130" s="2">
        <v>46224</v>
      </c>
      <c r="E130" s="3">
        <v>0.72916666666666663</v>
      </c>
      <c r="F130" t="s">
        <v>437</v>
      </c>
      <c r="G130" t="s">
        <v>438</v>
      </c>
      <c r="H130">
        <v>5</v>
      </c>
      <c r="I130">
        <v>1</v>
      </c>
      <c r="J130">
        <v>8</v>
      </c>
      <c r="K130">
        <v>3</v>
      </c>
      <c r="L130" s="22" t="str">
        <f t="shared" si="21"/>
        <v>21/07/2026</v>
      </c>
      <c r="M130" s="23">
        <f t="shared" si="22"/>
        <v>0.60416666666666663</v>
      </c>
      <c r="N130" t="str">
        <f t="shared" si="23"/>
        <v>8 - 3</v>
      </c>
      <c r="O130" t="str">
        <f t="shared" si="24"/>
        <v>Green</v>
      </c>
      <c r="P130" t="str">
        <f t="shared" si="25"/>
        <v>Red</v>
      </c>
      <c r="Q130" t="str">
        <f t="shared" si="26"/>
        <v>Red</v>
      </c>
      <c r="R130" t="str">
        <f t="shared" si="27"/>
        <v>Green</v>
      </c>
      <c r="S130" t="str">
        <f t="shared" si="28"/>
        <v>Red</v>
      </c>
      <c r="T130" t="str">
        <f t="shared" si="29"/>
        <v>Green</v>
      </c>
      <c r="U130" t="str">
        <f t="shared" si="30"/>
        <v>Green</v>
      </c>
      <c r="V130" t="str">
        <f t="shared" si="31"/>
        <v>Red</v>
      </c>
      <c r="W130" t="str">
        <f t="shared" si="32"/>
        <v>Red</v>
      </c>
      <c r="X130" t="str">
        <f t="shared" si="33"/>
        <v>Green</v>
      </c>
      <c r="Y130" t="str">
        <f t="shared" si="34"/>
        <v>Green</v>
      </c>
      <c r="Z130" t="str">
        <f t="shared" si="35"/>
        <v>Green</v>
      </c>
      <c r="AA130" t="str">
        <f t="shared" si="36"/>
        <v>Red</v>
      </c>
      <c r="AB130" t="str">
        <f t="shared" si="37"/>
        <v>Red</v>
      </c>
      <c r="AC130" t="str">
        <f t="shared" si="38"/>
        <v>Green</v>
      </c>
      <c r="AD130" t="str">
        <f t="shared" si="39"/>
        <v>Red</v>
      </c>
    </row>
    <row r="131" spans="1:30" x14ac:dyDescent="0.25">
      <c r="A131" t="str">
        <f t="shared" ref="A131:A194" si="40">L131&amp;F131&amp;G131</f>
        <v>21/07/2026PauEspanyol</v>
      </c>
      <c r="D131" s="2">
        <v>46224</v>
      </c>
      <c r="E131" s="3">
        <v>0.72916666666666663</v>
      </c>
      <c r="F131" t="s">
        <v>1483</v>
      </c>
      <c r="G131" t="s">
        <v>1484</v>
      </c>
      <c r="H131">
        <v>0</v>
      </c>
      <c r="I131">
        <v>2</v>
      </c>
      <c r="J131">
        <v>0</v>
      </c>
      <c r="K131">
        <v>4</v>
      </c>
      <c r="L131" s="22" t="str">
        <f t="shared" ref="L131:L194" si="41">DAY(D131)&amp;"/"&amp;"07"&amp;"/"&amp;YEAR(D131)</f>
        <v>21/07/2026</v>
      </c>
      <c r="M131" s="23">
        <f t="shared" ref="M131:M194" si="42">E131-TIME(3,0,0)</f>
        <v>0.60416666666666663</v>
      </c>
      <c r="N131" t="str">
        <f t="shared" ref="N131:N194" si="43">J131&amp;" - "&amp;K131</f>
        <v>0 - 4</v>
      </c>
      <c r="O131" t="str">
        <f t="shared" ref="O131:O194" si="44">IF($J131&gt;$K131,"Green","Red")</f>
        <v>Red</v>
      </c>
      <c r="P131" t="str">
        <f t="shared" ref="P131:P194" si="45">IF($J131=$K131,"Green","Red")</f>
        <v>Red</v>
      </c>
      <c r="Q131" t="str">
        <f t="shared" ref="Q131:Q194" si="46">IF($J131&lt;$K131,"Green","Red")</f>
        <v>Green</v>
      </c>
      <c r="R131" t="str">
        <f t="shared" ref="R131:R194" si="47">IF($J131&gt;=$K131,"Green","Red")</f>
        <v>Red</v>
      </c>
      <c r="S131" t="str">
        <f t="shared" ref="S131:S194" si="48">IF($J131&lt;=$K131,"Green","Red")</f>
        <v>Green</v>
      </c>
      <c r="T131" t="str">
        <f t="shared" ref="T131:T194" si="49">IF(OR($J131&gt;$K131,$J131&lt;$K131),"Green","Red")</f>
        <v>Green</v>
      </c>
      <c r="U131" t="str">
        <f t="shared" ref="U131:U194" si="50">IF($H131&gt;$I131,"Green","Red")</f>
        <v>Red</v>
      </c>
      <c r="V131" t="str">
        <f t="shared" ref="V131:V194" si="51">IF($H131=$I131,"Green","Red")</f>
        <v>Red</v>
      </c>
      <c r="W131" t="str">
        <f t="shared" ref="W131:W194" si="52">IF($H131&lt;$I131,"Green","Red")</f>
        <v>Green</v>
      </c>
      <c r="X131" t="str">
        <f t="shared" ref="X131:X194" si="53">IF($H131+$I131&gt;0,"Green","Red")</f>
        <v>Green</v>
      </c>
      <c r="Y131" t="str">
        <f t="shared" ref="Y131:Y194" si="54">IF($J131+$K131&gt;1.5,"Green","Red")</f>
        <v>Green</v>
      </c>
      <c r="Z131" t="str">
        <f t="shared" ref="Z131:Z194" si="55">IF($J131+$K131&gt;2.5,"Green","Red")</f>
        <v>Green</v>
      </c>
      <c r="AA131" t="str">
        <f t="shared" ref="AA131:AA194" si="56">IF($J131+$K131&lt;2.5,"Green","Red")</f>
        <v>Red</v>
      </c>
      <c r="AB131" t="str">
        <f t="shared" ref="AB131:AB194" si="57">IF($J131+$K131&lt;3.5,"Green","Red")</f>
        <v>Red</v>
      </c>
      <c r="AC131" t="str">
        <f t="shared" ref="AC131:AC194" si="58">IF(AND($J131&gt;0,$K131&gt;0),"Green","Red")</f>
        <v>Red</v>
      </c>
      <c r="AD131" t="str">
        <f t="shared" ref="AD131:AD194" si="59">IF(OR($J131=0,$K131=0),"Green","Red")</f>
        <v>Green</v>
      </c>
    </row>
    <row r="132" spans="1:30" x14ac:dyDescent="0.25">
      <c r="A132" t="str">
        <f t="shared" si="40"/>
        <v>21/07/2026FC ThunDinamo Zagreb</v>
      </c>
      <c r="B132" t="s">
        <v>820</v>
      </c>
      <c r="C132" t="s">
        <v>821</v>
      </c>
      <c r="D132" s="2">
        <v>46224</v>
      </c>
      <c r="E132" s="3">
        <v>0.75</v>
      </c>
      <c r="F132" t="s">
        <v>364</v>
      </c>
      <c r="G132" t="s">
        <v>365</v>
      </c>
      <c r="H132">
        <v>1</v>
      </c>
      <c r="I132">
        <v>0</v>
      </c>
      <c r="J132">
        <v>1</v>
      </c>
      <c r="K132">
        <v>1</v>
      </c>
      <c r="L132" s="22" t="str">
        <f t="shared" si="41"/>
        <v>21/07/2026</v>
      </c>
      <c r="M132" s="23">
        <f t="shared" si="42"/>
        <v>0.625</v>
      </c>
      <c r="N132" t="str">
        <f t="shared" si="43"/>
        <v>1 - 1</v>
      </c>
      <c r="O132" t="str">
        <f t="shared" si="44"/>
        <v>Red</v>
      </c>
      <c r="P132" t="str">
        <f t="shared" si="45"/>
        <v>Green</v>
      </c>
      <c r="Q132" t="str">
        <f t="shared" si="46"/>
        <v>Red</v>
      </c>
      <c r="R132" t="str">
        <f t="shared" si="47"/>
        <v>Green</v>
      </c>
      <c r="S132" t="str">
        <f t="shared" si="48"/>
        <v>Green</v>
      </c>
      <c r="T132" t="str">
        <f t="shared" si="49"/>
        <v>Red</v>
      </c>
      <c r="U132" t="str">
        <f t="shared" si="50"/>
        <v>Green</v>
      </c>
      <c r="V132" t="str">
        <f t="shared" si="51"/>
        <v>Red</v>
      </c>
      <c r="W132" t="str">
        <f t="shared" si="52"/>
        <v>Red</v>
      </c>
      <c r="X132" t="str">
        <f t="shared" si="53"/>
        <v>Green</v>
      </c>
      <c r="Y132" t="str">
        <f t="shared" si="54"/>
        <v>Green</v>
      </c>
      <c r="Z132" t="str">
        <f t="shared" si="55"/>
        <v>Red</v>
      </c>
      <c r="AA132" t="str">
        <f t="shared" si="56"/>
        <v>Green</v>
      </c>
      <c r="AB132" t="str">
        <f t="shared" si="57"/>
        <v>Green</v>
      </c>
      <c r="AC132" t="str">
        <f t="shared" si="58"/>
        <v>Green</v>
      </c>
      <c r="AD132" t="str">
        <f t="shared" si="59"/>
        <v>Red</v>
      </c>
    </row>
    <row r="133" spans="1:30" x14ac:dyDescent="0.25">
      <c r="A133" t="str">
        <f t="shared" si="40"/>
        <v>21/07/2026FenerbahceGornik Zabrze</v>
      </c>
      <c r="B133" t="s">
        <v>820</v>
      </c>
      <c r="C133" t="s">
        <v>821</v>
      </c>
      <c r="D133" s="2">
        <v>46224</v>
      </c>
      <c r="E133" s="3">
        <v>0.75</v>
      </c>
      <c r="F133" t="s">
        <v>366</v>
      </c>
      <c r="G133" t="s">
        <v>367</v>
      </c>
      <c r="H133">
        <v>1</v>
      </c>
      <c r="I133">
        <v>0</v>
      </c>
      <c r="J133">
        <v>1</v>
      </c>
      <c r="K133">
        <v>0</v>
      </c>
      <c r="L133" s="22" t="str">
        <f t="shared" si="41"/>
        <v>21/07/2026</v>
      </c>
      <c r="M133" s="23">
        <f t="shared" si="42"/>
        <v>0.625</v>
      </c>
      <c r="N133" t="str">
        <f t="shared" si="43"/>
        <v>1 - 0</v>
      </c>
      <c r="O133" t="str">
        <f t="shared" si="44"/>
        <v>Green</v>
      </c>
      <c r="P133" t="str">
        <f t="shared" si="45"/>
        <v>Red</v>
      </c>
      <c r="Q133" t="str">
        <f t="shared" si="46"/>
        <v>Red</v>
      </c>
      <c r="R133" t="str">
        <f t="shared" si="47"/>
        <v>Green</v>
      </c>
      <c r="S133" t="str">
        <f t="shared" si="48"/>
        <v>Red</v>
      </c>
      <c r="T133" t="str">
        <f t="shared" si="49"/>
        <v>Green</v>
      </c>
      <c r="U133" t="str">
        <f t="shared" si="50"/>
        <v>Green</v>
      </c>
      <c r="V133" t="str">
        <f t="shared" si="51"/>
        <v>Red</v>
      </c>
      <c r="W133" t="str">
        <f t="shared" si="52"/>
        <v>Red</v>
      </c>
      <c r="X133" t="str">
        <f t="shared" si="53"/>
        <v>Green</v>
      </c>
      <c r="Y133" t="str">
        <f t="shared" si="54"/>
        <v>Red</v>
      </c>
      <c r="Z133" t="str">
        <f t="shared" si="55"/>
        <v>Red</v>
      </c>
      <c r="AA133" t="str">
        <f t="shared" si="56"/>
        <v>Green</v>
      </c>
      <c r="AB133" t="str">
        <f t="shared" si="57"/>
        <v>Green</v>
      </c>
      <c r="AC133" t="str">
        <f t="shared" si="58"/>
        <v>Red</v>
      </c>
      <c r="AD133" t="str">
        <f t="shared" si="59"/>
        <v>Green</v>
      </c>
    </row>
    <row r="134" spans="1:30" x14ac:dyDescent="0.25">
      <c r="A134" t="str">
        <f t="shared" si="40"/>
        <v>21/07/2026Club AlmagroGimnasia y Tiro</v>
      </c>
      <c r="B134" t="s">
        <v>824</v>
      </c>
      <c r="C134" t="s">
        <v>825</v>
      </c>
      <c r="D134" s="2">
        <v>46224</v>
      </c>
      <c r="E134" s="3">
        <v>0.75</v>
      </c>
      <c r="F134" t="s">
        <v>376</v>
      </c>
      <c r="G134" t="s">
        <v>377</v>
      </c>
      <c r="L134" s="22" t="str">
        <f t="shared" si="41"/>
        <v>21/07/2026</v>
      </c>
      <c r="M134" s="23">
        <f t="shared" si="42"/>
        <v>0.625</v>
      </c>
      <c r="N134" t="str">
        <f t="shared" si="43"/>
        <v xml:space="preserve"> - </v>
      </c>
      <c r="O134" t="str">
        <f t="shared" si="44"/>
        <v>Red</v>
      </c>
      <c r="P134" t="str">
        <f t="shared" si="45"/>
        <v>Green</v>
      </c>
      <c r="Q134" t="str">
        <f t="shared" si="46"/>
        <v>Red</v>
      </c>
      <c r="R134" t="str">
        <f t="shared" si="47"/>
        <v>Green</v>
      </c>
      <c r="S134" t="str">
        <f t="shared" si="48"/>
        <v>Green</v>
      </c>
      <c r="T134" t="str">
        <f t="shared" si="49"/>
        <v>Red</v>
      </c>
      <c r="U134" t="str">
        <f t="shared" si="50"/>
        <v>Red</v>
      </c>
      <c r="V134" t="str">
        <f t="shared" si="51"/>
        <v>Green</v>
      </c>
      <c r="W134" t="str">
        <f t="shared" si="52"/>
        <v>Red</v>
      </c>
      <c r="X134" t="str">
        <f t="shared" si="53"/>
        <v>Red</v>
      </c>
      <c r="Y134" t="str">
        <f t="shared" si="54"/>
        <v>Red</v>
      </c>
      <c r="Z134" t="str">
        <f t="shared" si="55"/>
        <v>Red</v>
      </c>
      <c r="AA134" t="str">
        <f t="shared" si="56"/>
        <v>Green</v>
      </c>
      <c r="AB134" t="str">
        <f t="shared" si="57"/>
        <v>Green</v>
      </c>
      <c r="AC134" t="str">
        <f t="shared" si="58"/>
        <v>Red</v>
      </c>
      <c r="AD134" t="str">
        <f t="shared" si="59"/>
        <v>Green</v>
      </c>
    </row>
    <row r="135" spans="1:30" x14ac:dyDescent="0.25">
      <c r="A135" t="str">
        <f t="shared" si="40"/>
        <v>21/07/2026CA ClaypoleJuventud Unida San Miguel</v>
      </c>
      <c r="B135" t="s">
        <v>824</v>
      </c>
      <c r="C135" t="s">
        <v>826</v>
      </c>
      <c r="D135" s="2">
        <v>46224</v>
      </c>
      <c r="E135" s="3">
        <v>0.75</v>
      </c>
      <c r="F135" t="s">
        <v>380</v>
      </c>
      <c r="G135" t="s">
        <v>381</v>
      </c>
      <c r="L135" s="22" t="str">
        <f t="shared" si="41"/>
        <v>21/07/2026</v>
      </c>
      <c r="M135" s="23">
        <f t="shared" si="42"/>
        <v>0.625</v>
      </c>
      <c r="N135" t="str">
        <f t="shared" si="43"/>
        <v xml:space="preserve"> - </v>
      </c>
      <c r="O135" t="str">
        <f t="shared" si="44"/>
        <v>Red</v>
      </c>
      <c r="P135" t="str">
        <f t="shared" si="45"/>
        <v>Green</v>
      </c>
      <c r="Q135" t="str">
        <f t="shared" si="46"/>
        <v>Red</v>
      </c>
      <c r="R135" t="str">
        <f t="shared" si="47"/>
        <v>Green</v>
      </c>
      <c r="S135" t="str">
        <f t="shared" si="48"/>
        <v>Green</v>
      </c>
      <c r="T135" t="str">
        <f t="shared" si="49"/>
        <v>Red</v>
      </c>
      <c r="U135" t="str">
        <f t="shared" si="50"/>
        <v>Red</v>
      </c>
      <c r="V135" t="str">
        <f t="shared" si="51"/>
        <v>Green</v>
      </c>
      <c r="W135" t="str">
        <f t="shared" si="52"/>
        <v>Red</v>
      </c>
      <c r="X135" t="str">
        <f t="shared" si="53"/>
        <v>Red</v>
      </c>
      <c r="Y135" t="str">
        <f t="shared" si="54"/>
        <v>Red</v>
      </c>
      <c r="Z135" t="str">
        <f t="shared" si="55"/>
        <v>Red</v>
      </c>
      <c r="AA135" t="str">
        <f t="shared" si="56"/>
        <v>Green</v>
      </c>
      <c r="AB135" t="str">
        <f t="shared" si="57"/>
        <v>Green</v>
      </c>
      <c r="AC135" t="str">
        <f t="shared" si="58"/>
        <v>Red</v>
      </c>
      <c r="AD135" t="str">
        <f t="shared" si="59"/>
        <v>Green</v>
      </c>
    </row>
    <row r="136" spans="1:30" x14ac:dyDescent="0.25">
      <c r="A136" t="str">
        <f t="shared" si="40"/>
        <v>21/07/2026SC Brasil CapixabaEC Tupy</v>
      </c>
      <c r="B136" t="s">
        <v>822</v>
      </c>
      <c r="C136" t="s">
        <v>836</v>
      </c>
      <c r="D136" s="2">
        <v>46224</v>
      </c>
      <c r="E136" s="3">
        <v>0.75</v>
      </c>
      <c r="F136" t="s">
        <v>439</v>
      </c>
      <c r="G136" t="s">
        <v>440</v>
      </c>
      <c r="H136">
        <v>0</v>
      </c>
      <c r="I136">
        <v>0</v>
      </c>
      <c r="J136">
        <v>5</v>
      </c>
      <c r="K136">
        <v>1</v>
      </c>
      <c r="L136" s="22" t="str">
        <f t="shared" si="41"/>
        <v>21/07/2026</v>
      </c>
      <c r="M136" s="23">
        <f t="shared" si="42"/>
        <v>0.625</v>
      </c>
      <c r="N136" t="str">
        <f t="shared" si="43"/>
        <v>5 - 1</v>
      </c>
      <c r="O136" t="str">
        <f t="shared" si="44"/>
        <v>Green</v>
      </c>
      <c r="P136" t="str">
        <f t="shared" si="45"/>
        <v>Red</v>
      </c>
      <c r="Q136" t="str">
        <f t="shared" si="46"/>
        <v>Red</v>
      </c>
      <c r="R136" t="str">
        <f t="shared" si="47"/>
        <v>Green</v>
      </c>
      <c r="S136" t="str">
        <f t="shared" si="48"/>
        <v>Red</v>
      </c>
      <c r="T136" t="str">
        <f t="shared" si="49"/>
        <v>Green</v>
      </c>
      <c r="U136" t="str">
        <f t="shared" si="50"/>
        <v>Red</v>
      </c>
      <c r="V136" t="str">
        <f t="shared" si="51"/>
        <v>Green</v>
      </c>
      <c r="W136" t="str">
        <f t="shared" si="52"/>
        <v>Red</v>
      </c>
      <c r="X136" t="str">
        <f t="shared" si="53"/>
        <v>Red</v>
      </c>
      <c r="Y136" t="str">
        <f t="shared" si="54"/>
        <v>Green</v>
      </c>
      <c r="Z136" t="str">
        <f t="shared" si="55"/>
        <v>Green</v>
      </c>
      <c r="AA136" t="str">
        <f t="shared" si="56"/>
        <v>Red</v>
      </c>
      <c r="AB136" t="str">
        <f t="shared" si="57"/>
        <v>Red</v>
      </c>
      <c r="AC136" t="str">
        <f t="shared" si="58"/>
        <v>Green</v>
      </c>
      <c r="AD136" t="str">
        <f t="shared" si="59"/>
        <v>Red</v>
      </c>
    </row>
    <row r="137" spans="1:30" x14ac:dyDescent="0.25">
      <c r="A137" t="str">
        <f t="shared" si="40"/>
        <v>21/07/2026Olympique DcheiraUS Amal Tiznit</v>
      </c>
      <c r="D137" s="2">
        <v>46224</v>
      </c>
      <c r="E137" s="3">
        <v>0.75</v>
      </c>
      <c r="F137" t="s">
        <v>1396</v>
      </c>
      <c r="G137" t="s">
        <v>1397</v>
      </c>
      <c r="H137">
        <v>0</v>
      </c>
      <c r="I137">
        <v>0</v>
      </c>
      <c r="J137">
        <v>1</v>
      </c>
      <c r="K137">
        <v>1</v>
      </c>
      <c r="L137" s="22" t="str">
        <f t="shared" si="41"/>
        <v>21/07/2026</v>
      </c>
      <c r="M137" s="23">
        <f t="shared" si="42"/>
        <v>0.625</v>
      </c>
      <c r="N137" t="str">
        <f t="shared" si="43"/>
        <v>1 - 1</v>
      </c>
      <c r="O137" t="str">
        <f t="shared" si="44"/>
        <v>Red</v>
      </c>
      <c r="P137" t="str">
        <f t="shared" si="45"/>
        <v>Green</v>
      </c>
      <c r="Q137" t="str">
        <f t="shared" si="46"/>
        <v>Red</v>
      </c>
      <c r="R137" t="str">
        <f t="shared" si="47"/>
        <v>Green</v>
      </c>
      <c r="S137" t="str">
        <f t="shared" si="48"/>
        <v>Green</v>
      </c>
      <c r="T137" t="str">
        <f t="shared" si="49"/>
        <v>Red</v>
      </c>
      <c r="U137" t="str">
        <f t="shared" si="50"/>
        <v>Red</v>
      </c>
      <c r="V137" t="str">
        <f t="shared" si="51"/>
        <v>Green</v>
      </c>
      <c r="W137" t="str">
        <f t="shared" si="52"/>
        <v>Red</v>
      </c>
      <c r="X137" t="str">
        <f t="shared" si="53"/>
        <v>Red</v>
      </c>
      <c r="Y137" t="str">
        <f t="shared" si="54"/>
        <v>Green</v>
      </c>
      <c r="Z137" t="str">
        <f t="shared" si="55"/>
        <v>Red</v>
      </c>
      <c r="AA137" t="str">
        <f t="shared" si="56"/>
        <v>Green</v>
      </c>
      <c r="AB137" t="str">
        <f t="shared" si="57"/>
        <v>Green</v>
      </c>
      <c r="AC137" t="str">
        <f t="shared" si="58"/>
        <v>Green</v>
      </c>
      <c r="AD137" t="str">
        <f t="shared" si="59"/>
        <v>Red</v>
      </c>
    </row>
    <row r="138" spans="1:30" x14ac:dyDescent="0.25">
      <c r="A138" t="str">
        <f t="shared" si="40"/>
        <v>21/07/2026Union de TouargaJSM Massira</v>
      </c>
      <c r="D138" s="2">
        <v>46224</v>
      </c>
      <c r="E138" s="3">
        <v>0.75</v>
      </c>
      <c r="F138" t="s">
        <v>1398</v>
      </c>
      <c r="G138" t="s">
        <v>1399</v>
      </c>
      <c r="H138">
        <v>0</v>
      </c>
      <c r="I138">
        <v>0</v>
      </c>
      <c r="J138">
        <v>3</v>
      </c>
      <c r="K138">
        <v>0</v>
      </c>
      <c r="L138" s="22" t="str">
        <f t="shared" si="41"/>
        <v>21/07/2026</v>
      </c>
      <c r="M138" s="23">
        <f t="shared" si="42"/>
        <v>0.625</v>
      </c>
      <c r="N138" t="str">
        <f t="shared" si="43"/>
        <v>3 - 0</v>
      </c>
      <c r="O138" t="str">
        <f t="shared" si="44"/>
        <v>Green</v>
      </c>
      <c r="P138" t="str">
        <f t="shared" si="45"/>
        <v>Red</v>
      </c>
      <c r="Q138" t="str">
        <f t="shared" si="46"/>
        <v>Red</v>
      </c>
      <c r="R138" t="str">
        <f t="shared" si="47"/>
        <v>Green</v>
      </c>
      <c r="S138" t="str">
        <f t="shared" si="48"/>
        <v>Red</v>
      </c>
      <c r="T138" t="str">
        <f t="shared" si="49"/>
        <v>Green</v>
      </c>
      <c r="U138" t="str">
        <f t="shared" si="50"/>
        <v>Red</v>
      </c>
      <c r="V138" t="str">
        <f t="shared" si="51"/>
        <v>Green</v>
      </c>
      <c r="W138" t="str">
        <f t="shared" si="52"/>
        <v>Red</v>
      </c>
      <c r="X138" t="str">
        <f t="shared" si="53"/>
        <v>Red</v>
      </c>
      <c r="Y138" t="str">
        <f t="shared" si="54"/>
        <v>Green</v>
      </c>
      <c r="Z138" t="str">
        <f t="shared" si="55"/>
        <v>Green</v>
      </c>
      <c r="AA138" t="str">
        <f t="shared" si="56"/>
        <v>Red</v>
      </c>
      <c r="AB138" t="str">
        <f t="shared" si="57"/>
        <v>Green</v>
      </c>
      <c r="AC138" t="str">
        <f t="shared" si="58"/>
        <v>Red</v>
      </c>
      <c r="AD138" t="str">
        <f t="shared" si="59"/>
        <v>Green</v>
      </c>
    </row>
    <row r="139" spans="1:30" x14ac:dyDescent="0.25">
      <c r="A139" t="str">
        <f t="shared" si="40"/>
        <v>21/07/2026AlbaceteAl Kholood</v>
      </c>
      <c r="D139" s="2">
        <v>46224</v>
      </c>
      <c r="E139" s="3">
        <v>0.75</v>
      </c>
      <c r="F139" t="s">
        <v>1485</v>
      </c>
      <c r="G139" t="s">
        <v>1486</v>
      </c>
      <c r="H139">
        <v>0</v>
      </c>
      <c r="I139">
        <v>1</v>
      </c>
      <c r="J139">
        <v>2</v>
      </c>
      <c r="K139">
        <v>1</v>
      </c>
      <c r="L139" s="22" t="str">
        <f t="shared" si="41"/>
        <v>21/07/2026</v>
      </c>
      <c r="M139" s="23">
        <f t="shared" si="42"/>
        <v>0.625</v>
      </c>
      <c r="N139" t="str">
        <f t="shared" si="43"/>
        <v>2 - 1</v>
      </c>
      <c r="O139" t="str">
        <f t="shared" si="44"/>
        <v>Green</v>
      </c>
      <c r="P139" t="str">
        <f t="shared" si="45"/>
        <v>Red</v>
      </c>
      <c r="Q139" t="str">
        <f t="shared" si="46"/>
        <v>Red</v>
      </c>
      <c r="R139" t="str">
        <f t="shared" si="47"/>
        <v>Green</v>
      </c>
      <c r="S139" t="str">
        <f t="shared" si="48"/>
        <v>Red</v>
      </c>
      <c r="T139" t="str">
        <f t="shared" si="49"/>
        <v>Green</v>
      </c>
      <c r="U139" t="str">
        <f t="shared" si="50"/>
        <v>Red</v>
      </c>
      <c r="V139" t="str">
        <f t="shared" si="51"/>
        <v>Red</v>
      </c>
      <c r="W139" t="str">
        <f t="shared" si="52"/>
        <v>Green</v>
      </c>
      <c r="X139" t="str">
        <f t="shared" si="53"/>
        <v>Green</v>
      </c>
      <c r="Y139" t="str">
        <f t="shared" si="54"/>
        <v>Green</v>
      </c>
      <c r="Z139" t="str">
        <f t="shared" si="55"/>
        <v>Green</v>
      </c>
      <c r="AA139" t="str">
        <f t="shared" si="56"/>
        <v>Red</v>
      </c>
      <c r="AB139" t="str">
        <f t="shared" si="57"/>
        <v>Green</v>
      </c>
      <c r="AC139" t="str">
        <f t="shared" si="58"/>
        <v>Green</v>
      </c>
      <c r="AD139" t="str">
        <f t="shared" si="59"/>
        <v>Red</v>
      </c>
    </row>
    <row r="140" spans="1:30" x14ac:dyDescent="0.25">
      <c r="A140" t="str">
        <f t="shared" si="40"/>
        <v>21/07/2026Aldershot TownOxford United</v>
      </c>
      <c r="D140" s="2">
        <v>46224</v>
      </c>
      <c r="E140" s="3">
        <v>0.75</v>
      </c>
      <c r="F140" t="s">
        <v>1487</v>
      </c>
      <c r="G140" t="s">
        <v>1488</v>
      </c>
      <c r="H140">
        <v>1</v>
      </c>
      <c r="I140">
        <v>2</v>
      </c>
      <c r="J140">
        <v>1</v>
      </c>
      <c r="K140">
        <v>3</v>
      </c>
      <c r="L140" s="22" t="str">
        <f t="shared" si="41"/>
        <v>21/07/2026</v>
      </c>
      <c r="M140" s="23">
        <f t="shared" si="42"/>
        <v>0.625</v>
      </c>
      <c r="N140" t="str">
        <f t="shared" si="43"/>
        <v>1 - 3</v>
      </c>
      <c r="O140" t="str">
        <f t="shared" si="44"/>
        <v>Red</v>
      </c>
      <c r="P140" t="str">
        <f t="shared" si="45"/>
        <v>Red</v>
      </c>
      <c r="Q140" t="str">
        <f t="shared" si="46"/>
        <v>Green</v>
      </c>
      <c r="R140" t="str">
        <f t="shared" si="47"/>
        <v>Red</v>
      </c>
      <c r="S140" t="str">
        <f t="shared" si="48"/>
        <v>Green</v>
      </c>
      <c r="T140" t="str">
        <f t="shared" si="49"/>
        <v>Green</v>
      </c>
      <c r="U140" t="str">
        <f t="shared" si="50"/>
        <v>Red</v>
      </c>
      <c r="V140" t="str">
        <f t="shared" si="51"/>
        <v>Red</v>
      </c>
      <c r="W140" t="str">
        <f t="shared" si="52"/>
        <v>Green</v>
      </c>
      <c r="X140" t="str">
        <f t="shared" si="53"/>
        <v>Green</v>
      </c>
      <c r="Y140" t="str">
        <f t="shared" si="54"/>
        <v>Green</v>
      </c>
      <c r="Z140" t="str">
        <f t="shared" si="55"/>
        <v>Green</v>
      </c>
      <c r="AA140" t="str">
        <f t="shared" si="56"/>
        <v>Red</v>
      </c>
      <c r="AB140" t="str">
        <f t="shared" si="57"/>
        <v>Red</v>
      </c>
      <c r="AC140" t="str">
        <f t="shared" si="58"/>
        <v>Green</v>
      </c>
      <c r="AD140" t="str">
        <f t="shared" si="59"/>
        <v>Red</v>
      </c>
    </row>
    <row r="141" spans="1:30" x14ac:dyDescent="0.25">
      <c r="A141" t="str">
        <f t="shared" si="40"/>
        <v>21/07/2026CheshuntLeyton Orient</v>
      </c>
      <c r="D141" s="2">
        <v>46224</v>
      </c>
      <c r="E141" s="3">
        <v>0.75</v>
      </c>
      <c r="F141" t="s">
        <v>1489</v>
      </c>
      <c r="G141" t="s">
        <v>1490</v>
      </c>
      <c r="H141">
        <v>1</v>
      </c>
      <c r="I141">
        <v>0</v>
      </c>
      <c r="J141">
        <v>2</v>
      </c>
      <c r="K141">
        <v>1</v>
      </c>
      <c r="L141" s="22" t="str">
        <f t="shared" si="41"/>
        <v>21/07/2026</v>
      </c>
      <c r="M141" s="23">
        <f t="shared" si="42"/>
        <v>0.625</v>
      </c>
      <c r="N141" t="str">
        <f t="shared" si="43"/>
        <v>2 - 1</v>
      </c>
      <c r="O141" t="str">
        <f t="shared" si="44"/>
        <v>Green</v>
      </c>
      <c r="P141" t="str">
        <f t="shared" si="45"/>
        <v>Red</v>
      </c>
      <c r="Q141" t="str">
        <f t="shared" si="46"/>
        <v>Red</v>
      </c>
      <c r="R141" t="str">
        <f t="shared" si="47"/>
        <v>Green</v>
      </c>
      <c r="S141" t="str">
        <f t="shared" si="48"/>
        <v>Red</v>
      </c>
      <c r="T141" t="str">
        <f t="shared" si="49"/>
        <v>Green</v>
      </c>
      <c r="U141" t="str">
        <f t="shared" si="50"/>
        <v>Green</v>
      </c>
      <c r="V141" t="str">
        <f t="shared" si="51"/>
        <v>Red</v>
      </c>
      <c r="W141" t="str">
        <f t="shared" si="52"/>
        <v>Red</v>
      </c>
      <c r="X141" t="str">
        <f t="shared" si="53"/>
        <v>Green</v>
      </c>
      <c r="Y141" t="str">
        <f t="shared" si="54"/>
        <v>Green</v>
      </c>
      <c r="Z141" t="str">
        <f t="shared" si="55"/>
        <v>Green</v>
      </c>
      <c r="AA141" t="str">
        <f t="shared" si="56"/>
        <v>Red</v>
      </c>
      <c r="AB141" t="str">
        <f t="shared" si="57"/>
        <v>Green</v>
      </c>
      <c r="AC141" t="str">
        <f t="shared" si="58"/>
        <v>Green</v>
      </c>
      <c r="AD141" t="str">
        <f t="shared" si="59"/>
        <v>Red</v>
      </c>
    </row>
    <row r="142" spans="1:30" x14ac:dyDescent="0.25">
      <c r="A142" t="str">
        <f t="shared" si="40"/>
        <v>21/07/2026Ebbsfleet UnitedWest Ham U21</v>
      </c>
      <c r="D142" s="2">
        <v>46224</v>
      </c>
      <c r="E142" s="3">
        <v>0.75</v>
      </c>
      <c r="F142" t="s">
        <v>1491</v>
      </c>
      <c r="G142" t="s">
        <v>1492</v>
      </c>
      <c r="H142">
        <v>1</v>
      </c>
      <c r="I142">
        <v>2</v>
      </c>
      <c r="J142">
        <v>1</v>
      </c>
      <c r="K142">
        <v>2</v>
      </c>
      <c r="L142" s="22" t="str">
        <f t="shared" si="41"/>
        <v>21/07/2026</v>
      </c>
      <c r="M142" s="23">
        <f t="shared" si="42"/>
        <v>0.625</v>
      </c>
      <c r="N142" t="str">
        <f t="shared" si="43"/>
        <v>1 - 2</v>
      </c>
      <c r="O142" t="str">
        <f t="shared" si="44"/>
        <v>Red</v>
      </c>
      <c r="P142" t="str">
        <f t="shared" si="45"/>
        <v>Red</v>
      </c>
      <c r="Q142" t="str">
        <f t="shared" si="46"/>
        <v>Green</v>
      </c>
      <c r="R142" t="str">
        <f t="shared" si="47"/>
        <v>Red</v>
      </c>
      <c r="S142" t="str">
        <f t="shared" si="48"/>
        <v>Green</v>
      </c>
      <c r="T142" t="str">
        <f t="shared" si="49"/>
        <v>Green</v>
      </c>
      <c r="U142" t="str">
        <f t="shared" si="50"/>
        <v>Red</v>
      </c>
      <c r="V142" t="str">
        <f t="shared" si="51"/>
        <v>Red</v>
      </c>
      <c r="W142" t="str">
        <f t="shared" si="52"/>
        <v>Green</v>
      </c>
      <c r="X142" t="str">
        <f t="shared" si="53"/>
        <v>Green</v>
      </c>
      <c r="Y142" t="str">
        <f t="shared" si="54"/>
        <v>Green</v>
      </c>
      <c r="Z142" t="str">
        <f t="shared" si="55"/>
        <v>Green</v>
      </c>
      <c r="AA142" t="str">
        <f t="shared" si="56"/>
        <v>Red</v>
      </c>
      <c r="AB142" t="str">
        <f t="shared" si="57"/>
        <v>Green</v>
      </c>
      <c r="AC142" t="str">
        <f t="shared" si="58"/>
        <v>Green</v>
      </c>
      <c r="AD142" t="str">
        <f t="shared" si="59"/>
        <v>Red</v>
      </c>
    </row>
    <row r="143" spans="1:30" x14ac:dyDescent="0.25">
      <c r="A143" t="str">
        <f t="shared" si="40"/>
        <v>21/07/2026Forest Green RoversBristol Rovers</v>
      </c>
      <c r="D143" s="2">
        <v>46224</v>
      </c>
      <c r="E143" s="3">
        <v>0.75</v>
      </c>
      <c r="F143" t="s">
        <v>1493</v>
      </c>
      <c r="G143" t="s">
        <v>1494</v>
      </c>
      <c r="H143">
        <v>2</v>
      </c>
      <c r="I143">
        <v>0</v>
      </c>
      <c r="J143">
        <v>2</v>
      </c>
      <c r="K143">
        <v>2</v>
      </c>
      <c r="L143" s="22" t="str">
        <f t="shared" si="41"/>
        <v>21/07/2026</v>
      </c>
      <c r="M143" s="23">
        <f t="shared" si="42"/>
        <v>0.625</v>
      </c>
      <c r="N143" t="str">
        <f t="shared" si="43"/>
        <v>2 - 2</v>
      </c>
      <c r="O143" t="str">
        <f t="shared" si="44"/>
        <v>Red</v>
      </c>
      <c r="P143" t="str">
        <f t="shared" si="45"/>
        <v>Green</v>
      </c>
      <c r="Q143" t="str">
        <f t="shared" si="46"/>
        <v>Red</v>
      </c>
      <c r="R143" t="str">
        <f t="shared" si="47"/>
        <v>Green</v>
      </c>
      <c r="S143" t="str">
        <f t="shared" si="48"/>
        <v>Green</v>
      </c>
      <c r="T143" t="str">
        <f t="shared" si="49"/>
        <v>Red</v>
      </c>
      <c r="U143" t="str">
        <f t="shared" si="50"/>
        <v>Green</v>
      </c>
      <c r="V143" t="str">
        <f t="shared" si="51"/>
        <v>Red</v>
      </c>
      <c r="W143" t="str">
        <f t="shared" si="52"/>
        <v>Red</v>
      </c>
      <c r="X143" t="str">
        <f t="shared" si="53"/>
        <v>Green</v>
      </c>
      <c r="Y143" t="str">
        <f t="shared" si="54"/>
        <v>Green</v>
      </c>
      <c r="Z143" t="str">
        <f t="shared" si="55"/>
        <v>Green</v>
      </c>
      <c r="AA143" t="str">
        <f t="shared" si="56"/>
        <v>Red</v>
      </c>
      <c r="AB143" t="str">
        <f t="shared" si="57"/>
        <v>Red</v>
      </c>
      <c r="AC143" t="str">
        <f t="shared" si="58"/>
        <v>Green</v>
      </c>
      <c r="AD143" t="str">
        <f t="shared" si="59"/>
        <v>Red</v>
      </c>
    </row>
    <row r="144" spans="1:30" x14ac:dyDescent="0.25">
      <c r="A144" t="str">
        <f t="shared" si="40"/>
        <v>21/07/2026GillinghamMillwall</v>
      </c>
      <c r="D144" s="2">
        <v>46224</v>
      </c>
      <c r="E144" s="3">
        <v>0.75</v>
      </c>
      <c r="F144" t="s">
        <v>1495</v>
      </c>
      <c r="G144" t="s">
        <v>1496</v>
      </c>
      <c r="H144">
        <v>1</v>
      </c>
      <c r="I144">
        <v>0</v>
      </c>
      <c r="J144">
        <v>1</v>
      </c>
      <c r="K144">
        <v>0</v>
      </c>
      <c r="L144" s="22" t="str">
        <f t="shared" si="41"/>
        <v>21/07/2026</v>
      </c>
      <c r="M144" s="23">
        <f t="shared" si="42"/>
        <v>0.625</v>
      </c>
      <c r="N144" t="str">
        <f t="shared" si="43"/>
        <v>1 - 0</v>
      </c>
      <c r="O144" t="str">
        <f t="shared" si="44"/>
        <v>Green</v>
      </c>
      <c r="P144" t="str">
        <f t="shared" si="45"/>
        <v>Red</v>
      </c>
      <c r="Q144" t="str">
        <f t="shared" si="46"/>
        <v>Red</v>
      </c>
      <c r="R144" t="str">
        <f t="shared" si="47"/>
        <v>Green</v>
      </c>
      <c r="S144" t="str">
        <f t="shared" si="48"/>
        <v>Red</v>
      </c>
      <c r="T144" t="str">
        <f t="shared" si="49"/>
        <v>Green</v>
      </c>
      <c r="U144" t="str">
        <f t="shared" si="50"/>
        <v>Green</v>
      </c>
      <c r="V144" t="str">
        <f t="shared" si="51"/>
        <v>Red</v>
      </c>
      <c r="W144" t="str">
        <f t="shared" si="52"/>
        <v>Red</v>
      </c>
      <c r="X144" t="str">
        <f t="shared" si="53"/>
        <v>Green</v>
      </c>
      <c r="Y144" t="str">
        <f t="shared" si="54"/>
        <v>Red</v>
      </c>
      <c r="Z144" t="str">
        <f t="shared" si="55"/>
        <v>Red</v>
      </c>
      <c r="AA144" t="str">
        <f t="shared" si="56"/>
        <v>Green</v>
      </c>
      <c r="AB144" t="str">
        <f t="shared" si="57"/>
        <v>Green</v>
      </c>
      <c r="AC144" t="str">
        <f t="shared" si="58"/>
        <v>Red</v>
      </c>
      <c r="AD144" t="str">
        <f t="shared" si="59"/>
        <v>Green</v>
      </c>
    </row>
    <row r="145" spans="1:30" x14ac:dyDescent="0.25">
      <c r="A145" t="str">
        <f t="shared" si="40"/>
        <v>21/07/2026Hebburn TownHartlepool</v>
      </c>
      <c r="D145" s="2">
        <v>46224</v>
      </c>
      <c r="E145" s="3">
        <v>0.75</v>
      </c>
      <c r="F145" t="s">
        <v>1497</v>
      </c>
      <c r="G145" t="s">
        <v>1498</v>
      </c>
      <c r="H145">
        <v>1</v>
      </c>
      <c r="I145">
        <v>1</v>
      </c>
      <c r="J145">
        <v>2</v>
      </c>
      <c r="K145">
        <v>3</v>
      </c>
      <c r="L145" s="22" t="str">
        <f t="shared" si="41"/>
        <v>21/07/2026</v>
      </c>
      <c r="M145" s="23">
        <f t="shared" si="42"/>
        <v>0.625</v>
      </c>
      <c r="N145" t="str">
        <f t="shared" si="43"/>
        <v>2 - 3</v>
      </c>
      <c r="O145" t="str">
        <f t="shared" si="44"/>
        <v>Red</v>
      </c>
      <c r="P145" t="str">
        <f t="shared" si="45"/>
        <v>Red</v>
      </c>
      <c r="Q145" t="str">
        <f t="shared" si="46"/>
        <v>Green</v>
      </c>
      <c r="R145" t="str">
        <f t="shared" si="47"/>
        <v>Red</v>
      </c>
      <c r="S145" t="str">
        <f t="shared" si="48"/>
        <v>Green</v>
      </c>
      <c r="T145" t="str">
        <f t="shared" si="49"/>
        <v>Green</v>
      </c>
      <c r="U145" t="str">
        <f t="shared" si="50"/>
        <v>Red</v>
      </c>
      <c r="V145" t="str">
        <f t="shared" si="51"/>
        <v>Green</v>
      </c>
      <c r="W145" t="str">
        <f t="shared" si="52"/>
        <v>Red</v>
      </c>
      <c r="X145" t="str">
        <f t="shared" si="53"/>
        <v>Green</v>
      </c>
      <c r="Y145" t="str">
        <f t="shared" si="54"/>
        <v>Green</v>
      </c>
      <c r="Z145" t="str">
        <f t="shared" si="55"/>
        <v>Green</v>
      </c>
      <c r="AA145" t="str">
        <f t="shared" si="56"/>
        <v>Red</v>
      </c>
      <c r="AB145" t="str">
        <f t="shared" si="57"/>
        <v>Red</v>
      </c>
      <c r="AC145" t="str">
        <f t="shared" si="58"/>
        <v>Green</v>
      </c>
      <c r="AD145" t="str">
        <f t="shared" si="59"/>
        <v>Red</v>
      </c>
    </row>
    <row r="146" spans="1:30" x14ac:dyDescent="0.25">
      <c r="A146" t="str">
        <f t="shared" si="40"/>
        <v>21/07/2026LeamingtonWalsall</v>
      </c>
      <c r="D146" s="2">
        <v>46224</v>
      </c>
      <c r="E146" s="3">
        <v>0.75</v>
      </c>
      <c r="F146" t="s">
        <v>1499</v>
      </c>
      <c r="G146" t="s">
        <v>1500</v>
      </c>
      <c r="L146" s="22" t="str">
        <f t="shared" si="41"/>
        <v>21/07/2026</v>
      </c>
      <c r="M146" s="23">
        <f t="shared" si="42"/>
        <v>0.625</v>
      </c>
      <c r="N146" t="str">
        <f t="shared" si="43"/>
        <v xml:space="preserve"> - </v>
      </c>
      <c r="O146" t="str">
        <f t="shared" si="44"/>
        <v>Red</v>
      </c>
      <c r="P146" t="str">
        <f t="shared" si="45"/>
        <v>Green</v>
      </c>
      <c r="Q146" t="str">
        <f t="shared" si="46"/>
        <v>Red</v>
      </c>
      <c r="R146" t="str">
        <f t="shared" si="47"/>
        <v>Green</v>
      </c>
      <c r="S146" t="str">
        <f t="shared" si="48"/>
        <v>Green</v>
      </c>
      <c r="T146" t="str">
        <f t="shared" si="49"/>
        <v>Red</v>
      </c>
      <c r="U146" t="str">
        <f t="shared" si="50"/>
        <v>Red</v>
      </c>
      <c r="V146" t="str">
        <f t="shared" si="51"/>
        <v>Green</v>
      </c>
      <c r="W146" t="str">
        <f t="shared" si="52"/>
        <v>Red</v>
      </c>
      <c r="X146" t="str">
        <f t="shared" si="53"/>
        <v>Red</v>
      </c>
      <c r="Y146" t="str">
        <f t="shared" si="54"/>
        <v>Red</v>
      </c>
      <c r="Z146" t="str">
        <f t="shared" si="55"/>
        <v>Red</v>
      </c>
      <c r="AA146" t="str">
        <f t="shared" si="56"/>
        <v>Green</v>
      </c>
      <c r="AB146" t="str">
        <f t="shared" si="57"/>
        <v>Green</v>
      </c>
      <c r="AC146" t="str">
        <f t="shared" si="58"/>
        <v>Red</v>
      </c>
      <c r="AD146" t="str">
        <f t="shared" si="59"/>
        <v>Green</v>
      </c>
    </row>
    <row r="147" spans="1:30" x14ac:dyDescent="0.25">
      <c r="A147" t="str">
        <f t="shared" si="40"/>
        <v>21/07/2026OldhamBolton Wanderers</v>
      </c>
      <c r="D147" s="2">
        <v>46224</v>
      </c>
      <c r="E147" s="3">
        <v>0.75</v>
      </c>
      <c r="F147" t="s">
        <v>1501</v>
      </c>
      <c r="G147" t="s">
        <v>1502</v>
      </c>
      <c r="H147">
        <v>0</v>
      </c>
      <c r="I147">
        <v>2</v>
      </c>
      <c r="J147">
        <v>1</v>
      </c>
      <c r="K147">
        <v>3</v>
      </c>
      <c r="L147" s="22" t="str">
        <f t="shared" si="41"/>
        <v>21/07/2026</v>
      </c>
      <c r="M147" s="23">
        <f t="shared" si="42"/>
        <v>0.625</v>
      </c>
      <c r="N147" t="str">
        <f t="shared" si="43"/>
        <v>1 - 3</v>
      </c>
      <c r="O147" t="str">
        <f t="shared" si="44"/>
        <v>Red</v>
      </c>
      <c r="P147" t="str">
        <f t="shared" si="45"/>
        <v>Red</v>
      </c>
      <c r="Q147" t="str">
        <f t="shared" si="46"/>
        <v>Green</v>
      </c>
      <c r="R147" t="str">
        <f t="shared" si="47"/>
        <v>Red</v>
      </c>
      <c r="S147" t="str">
        <f t="shared" si="48"/>
        <v>Green</v>
      </c>
      <c r="T147" t="str">
        <f t="shared" si="49"/>
        <v>Green</v>
      </c>
      <c r="U147" t="str">
        <f t="shared" si="50"/>
        <v>Red</v>
      </c>
      <c r="V147" t="str">
        <f t="shared" si="51"/>
        <v>Red</v>
      </c>
      <c r="W147" t="str">
        <f t="shared" si="52"/>
        <v>Green</v>
      </c>
      <c r="X147" t="str">
        <f t="shared" si="53"/>
        <v>Green</v>
      </c>
      <c r="Y147" t="str">
        <f t="shared" si="54"/>
        <v>Green</v>
      </c>
      <c r="Z147" t="str">
        <f t="shared" si="55"/>
        <v>Green</v>
      </c>
      <c r="AA147" t="str">
        <f t="shared" si="56"/>
        <v>Red</v>
      </c>
      <c r="AB147" t="str">
        <f t="shared" si="57"/>
        <v>Red</v>
      </c>
      <c r="AC147" t="str">
        <f t="shared" si="58"/>
        <v>Green</v>
      </c>
      <c r="AD147" t="str">
        <f t="shared" si="59"/>
        <v>Red</v>
      </c>
    </row>
    <row r="148" spans="1:30" x14ac:dyDescent="0.25">
      <c r="A148" t="str">
        <f t="shared" si="40"/>
        <v>21/07/2026WokingSwindon Town</v>
      </c>
      <c r="D148" s="2">
        <v>46224</v>
      </c>
      <c r="E148" s="3">
        <v>0.75</v>
      </c>
      <c r="F148" t="s">
        <v>1503</v>
      </c>
      <c r="G148" t="s">
        <v>1504</v>
      </c>
      <c r="L148" s="22" t="str">
        <f t="shared" si="41"/>
        <v>21/07/2026</v>
      </c>
      <c r="M148" s="23">
        <f t="shared" si="42"/>
        <v>0.625</v>
      </c>
      <c r="N148" t="str">
        <f t="shared" si="43"/>
        <v xml:space="preserve"> - </v>
      </c>
      <c r="O148" t="str">
        <f t="shared" si="44"/>
        <v>Red</v>
      </c>
      <c r="P148" t="str">
        <f t="shared" si="45"/>
        <v>Green</v>
      </c>
      <c r="Q148" t="str">
        <f t="shared" si="46"/>
        <v>Red</v>
      </c>
      <c r="R148" t="str">
        <f t="shared" si="47"/>
        <v>Green</v>
      </c>
      <c r="S148" t="str">
        <f t="shared" si="48"/>
        <v>Green</v>
      </c>
      <c r="T148" t="str">
        <f t="shared" si="49"/>
        <v>Red</v>
      </c>
      <c r="U148" t="str">
        <f t="shared" si="50"/>
        <v>Red</v>
      </c>
      <c r="V148" t="str">
        <f t="shared" si="51"/>
        <v>Green</v>
      </c>
      <c r="W148" t="str">
        <f t="shared" si="52"/>
        <v>Red</v>
      </c>
      <c r="X148" t="str">
        <f t="shared" si="53"/>
        <v>Red</v>
      </c>
      <c r="Y148" t="str">
        <f t="shared" si="54"/>
        <v>Red</v>
      </c>
      <c r="Z148" t="str">
        <f t="shared" si="55"/>
        <v>Red</v>
      </c>
      <c r="AA148" t="str">
        <f t="shared" si="56"/>
        <v>Green</v>
      </c>
      <c r="AB148" t="str">
        <f t="shared" si="57"/>
        <v>Green</v>
      </c>
      <c r="AC148" t="str">
        <f t="shared" si="58"/>
        <v>Red</v>
      </c>
      <c r="AD148" t="str">
        <f t="shared" si="59"/>
        <v>Green</v>
      </c>
    </row>
    <row r="149" spans="1:30" x14ac:dyDescent="0.25">
      <c r="A149" t="str">
        <f t="shared" si="40"/>
        <v>21/07/2026Atert BissenGyori ETO</v>
      </c>
      <c r="B149" t="s">
        <v>820</v>
      </c>
      <c r="C149" t="s">
        <v>1344</v>
      </c>
      <c r="D149" s="2">
        <v>46224</v>
      </c>
      <c r="E149" s="3">
        <v>0.76041666666666663</v>
      </c>
      <c r="F149" t="s">
        <v>1349</v>
      </c>
      <c r="G149" t="s">
        <v>1044</v>
      </c>
      <c r="H149">
        <v>1</v>
      </c>
      <c r="I149">
        <v>3</v>
      </c>
      <c r="J149">
        <v>2</v>
      </c>
      <c r="K149">
        <v>6</v>
      </c>
      <c r="L149" s="22" t="str">
        <f t="shared" si="41"/>
        <v>21/07/2026</v>
      </c>
      <c r="M149" s="23">
        <f t="shared" si="42"/>
        <v>0.63541666666666663</v>
      </c>
      <c r="N149" t="str">
        <f t="shared" si="43"/>
        <v>2 - 6</v>
      </c>
      <c r="O149" t="str">
        <f t="shared" si="44"/>
        <v>Red</v>
      </c>
      <c r="P149" t="str">
        <f t="shared" si="45"/>
        <v>Red</v>
      </c>
      <c r="Q149" t="str">
        <f t="shared" si="46"/>
        <v>Green</v>
      </c>
      <c r="R149" t="str">
        <f t="shared" si="47"/>
        <v>Red</v>
      </c>
      <c r="S149" t="str">
        <f t="shared" si="48"/>
        <v>Green</v>
      </c>
      <c r="T149" t="str">
        <f t="shared" si="49"/>
        <v>Green</v>
      </c>
      <c r="U149" t="str">
        <f t="shared" si="50"/>
        <v>Red</v>
      </c>
      <c r="V149" t="str">
        <f t="shared" si="51"/>
        <v>Red</v>
      </c>
      <c r="W149" t="str">
        <f t="shared" si="52"/>
        <v>Green</v>
      </c>
      <c r="X149" t="str">
        <f t="shared" si="53"/>
        <v>Green</v>
      </c>
      <c r="Y149" t="str">
        <f t="shared" si="54"/>
        <v>Green</v>
      </c>
      <c r="Z149" t="str">
        <f t="shared" si="55"/>
        <v>Green</v>
      </c>
      <c r="AA149" t="str">
        <f t="shared" si="56"/>
        <v>Red</v>
      </c>
      <c r="AB149" t="str">
        <f t="shared" si="57"/>
        <v>Red</v>
      </c>
      <c r="AC149" t="str">
        <f t="shared" si="58"/>
        <v>Green</v>
      </c>
      <c r="AD149" t="str">
        <f t="shared" si="59"/>
        <v>Red</v>
      </c>
    </row>
    <row r="150" spans="1:30" x14ac:dyDescent="0.25">
      <c r="A150" t="str">
        <f t="shared" si="40"/>
        <v>21/07/2026CrusadersGlenavon</v>
      </c>
      <c r="D150" s="2">
        <v>46224</v>
      </c>
      <c r="E150" s="3">
        <v>0.76736111111111116</v>
      </c>
      <c r="F150" t="s">
        <v>1505</v>
      </c>
      <c r="G150" t="s">
        <v>1506</v>
      </c>
      <c r="H150">
        <v>0</v>
      </c>
      <c r="I150">
        <v>0</v>
      </c>
      <c r="J150">
        <v>2</v>
      </c>
      <c r="K150">
        <v>0</v>
      </c>
      <c r="L150" s="22" t="str">
        <f t="shared" si="41"/>
        <v>21/07/2026</v>
      </c>
      <c r="M150" s="23">
        <f t="shared" si="42"/>
        <v>0.64236111111111116</v>
      </c>
      <c r="N150" t="str">
        <f t="shared" si="43"/>
        <v>2 - 0</v>
      </c>
      <c r="O150" t="str">
        <f t="shared" si="44"/>
        <v>Green</v>
      </c>
      <c r="P150" t="str">
        <f t="shared" si="45"/>
        <v>Red</v>
      </c>
      <c r="Q150" t="str">
        <f t="shared" si="46"/>
        <v>Red</v>
      </c>
      <c r="R150" t="str">
        <f t="shared" si="47"/>
        <v>Green</v>
      </c>
      <c r="S150" t="str">
        <f t="shared" si="48"/>
        <v>Red</v>
      </c>
      <c r="T150" t="str">
        <f t="shared" si="49"/>
        <v>Green</v>
      </c>
      <c r="U150" t="str">
        <f t="shared" si="50"/>
        <v>Red</v>
      </c>
      <c r="V150" t="str">
        <f t="shared" si="51"/>
        <v>Green</v>
      </c>
      <c r="W150" t="str">
        <f t="shared" si="52"/>
        <v>Red</v>
      </c>
      <c r="X150" t="str">
        <f t="shared" si="53"/>
        <v>Red</v>
      </c>
      <c r="Y150" t="str">
        <f t="shared" si="54"/>
        <v>Green</v>
      </c>
      <c r="Z150" t="str">
        <f t="shared" si="55"/>
        <v>Red</v>
      </c>
      <c r="AA150" t="str">
        <f t="shared" si="56"/>
        <v>Green</v>
      </c>
      <c r="AB150" t="str">
        <f t="shared" si="57"/>
        <v>Green</v>
      </c>
      <c r="AC150" t="str">
        <f t="shared" si="58"/>
        <v>Red</v>
      </c>
      <c r="AD150" t="str">
        <f t="shared" si="59"/>
        <v>Green</v>
      </c>
    </row>
    <row r="151" spans="1:30" x14ac:dyDescent="0.25">
      <c r="A151" t="str">
        <f t="shared" si="40"/>
        <v>21/07/2026Sturm GrazHearts</v>
      </c>
      <c r="B151" t="s">
        <v>820</v>
      </c>
      <c r="C151" t="s">
        <v>821</v>
      </c>
      <c r="D151" s="2">
        <v>46224</v>
      </c>
      <c r="E151" s="3">
        <v>0.77083333333333337</v>
      </c>
      <c r="F151" t="s">
        <v>368</v>
      </c>
      <c r="G151" t="s">
        <v>369</v>
      </c>
      <c r="H151">
        <v>1</v>
      </c>
      <c r="I151">
        <v>0</v>
      </c>
      <c r="J151">
        <v>4</v>
      </c>
      <c r="K151">
        <v>0</v>
      </c>
      <c r="L151" s="22" t="str">
        <f t="shared" si="41"/>
        <v>21/07/2026</v>
      </c>
      <c r="M151" s="23">
        <f t="shared" si="42"/>
        <v>0.64583333333333337</v>
      </c>
      <c r="N151" t="str">
        <f t="shared" si="43"/>
        <v>4 - 0</v>
      </c>
      <c r="O151" t="str">
        <f t="shared" si="44"/>
        <v>Green</v>
      </c>
      <c r="P151" t="str">
        <f t="shared" si="45"/>
        <v>Red</v>
      </c>
      <c r="Q151" t="str">
        <f t="shared" si="46"/>
        <v>Red</v>
      </c>
      <c r="R151" t="str">
        <f t="shared" si="47"/>
        <v>Green</v>
      </c>
      <c r="S151" t="str">
        <f t="shared" si="48"/>
        <v>Red</v>
      </c>
      <c r="T151" t="str">
        <f t="shared" si="49"/>
        <v>Green</v>
      </c>
      <c r="U151" t="str">
        <f t="shared" si="50"/>
        <v>Green</v>
      </c>
      <c r="V151" t="str">
        <f t="shared" si="51"/>
        <v>Red</v>
      </c>
      <c r="W151" t="str">
        <f t="shared" si="52"/>
        <v>Red</v>
      </c>
      <c r="X151" t="str">
        <f t="shared" si="53"/>
        <v>Green</v>
      </c>
      <c r="Y151" t="str">
        <f t="shared" si="54"/>
        <v>Green</v>
      </c>
      <c r="Z151" t="str">
        <f t="shared" si="55"/>
        <v>Green</v>
      </c>
      <c r="AA151" t="str">
        <f t="shared" si="56"/>
        <v>Red</v>
      </c>
      <c r="AB151" t="str">
        <f t="shared" si="57"/>
        <v>Red</v>
      </c>
      <c r="AC151" t="str">
        <f t="shared" si="58"/>
        <v>Red</v>
      </c>
      <c r="AD151" t="str">
        <f t="shared" si="59"/>
        <v>Green</v>
      </c>
    </row>
    <row r="152" spans="1:30" x14ac:dyDescent="0.25">
      <c r="A152" t="str">
        <f t="shared" si="40"/>
        <v>21/07/2026Alfreton TownRotherham United</v>
      </c>
      <c r="D152" s="2">
        <v>46224</v>
      </c>
      <c r="E152" s="3">
        <v>0.77083333333333337</v>
      </c>
      <c r="F152" t="s">
        <v>1507</v>
      </c>
      <c r="G152" t="s">
        <v>1508</v>
      </c>
      <c r="H152">
        <v>0</v>
      </c>
      <c r="I152">
        <v>1</v>
      </c>
      <c r="J152">
        <v>0</v>
      </c>
      <c r="K152">
        <v>1</v>
      </c>
      <c r="L152" s="22" t="str">
        <f t="shared" si="41"/>
        <v>21/07/2026</v>
      </c>
      <c r="M152" s="23">
        <f t="shared" si="42"/>
        <v>0.64583333333333337</v>
      </c>
      <c r="N152" t="str">
        <f t="shared" si="43"/>
        <v>0 - 1</v>
      </c>
      <c r="O152" t="str">
        <f t="shared" si="44"/>
        <v>Red</v>
      </c>
      <c r="P152" t="str">
        <f t="shared" si="45"/>
        <v>Red</v>
      </c>
      <c r="Q152" t="str">
        <f t="shared" si="46"/>
        <v>Green</v>
      </c>
      <c r="R152" t="str">
        <f t="shared" si="47"/>
        <v>Red</v>
      </c>
      <c r="S152" t="str">
        <f t="shared" si="48"/>
        <v>Green</v>
      </c>
      <c r="T152" t="str">
        <f t="shared" si="49"/>
        <v>Green</v>
      </c>
      <c r="U152" t="str">
        <f t="shared" si="50"/>
        <v>Red</v>
      </c>
      <c r="V152" t="str">
        <f t="shared" si="51"/>
        <v>Red</v>
      </c>
      <c r="W152" t="str">
        <f t="shared" si="52"/>
        <v>Green</v>
      </c>
      <c r="X152" t="str">
        <f t="shared" si="53"/>
        <v>Green</v>
      </c>
      <c r="Y152" t="str">
        <f t="shared" si="54"/>
        <v>Red</v>
      </c>
      <c r="Z152" t="str">
        <f t="shared" si="55"/>
        <v>Red</v>
      </c>
      <c r="AA152" t="str">
        <f t="shared" si="56"/>
        <v>Green</v>
      </c>
      <c r="AB152" t="str">
        <f t="shared" si="57"/>
        <v>Green</v>
      </c>
      <c r="AC152" t="str">
        <f t="shared" si="58"/>
        <v>Red</v>
      </c>
      <c r="AD152" t="str">
        <f t="shared" si="59"/>
        <v>Green</v>
      </c>
    </row>
    <row r="153" spans="1:30" x14ac:dyDescent="0.25">
      <c r="A153" t="str">
        <f t="shared" si="40"/>
        <v>21/07/2026Bishop AucklandSpennymoor Town</v>
      </c>
      <c r="D153" s="2">
        <v>46224</v>
      </c>
      <c r="E153" s="3">
        <v>0.77083333333333337</v>
      </c>
      <c r="F153" t="s">
        <v>1509</v>
      </c>
      <c r="G153" t="s">
        <v>1510</v>
      </c>
      <c r="H153">
        <v>2</v>
      </c>
      <c r="I153">
        <v>0</v>
      </c>
      <c r="J153">
        <v>4</v>
      </c>
      <c r="K153">
        <v>0</v>
      </c>
      <c r="L153" s="22" t="str">
        <f t="shared" si="41"/>
        <v>21/07/2026</v>
      </c>
      <c r="M153" s="23">
        <f t="shared" si="42"/>
        <v>0.64583333333333337</v>
      </c>
      <c r="N153" t="str">
        <f t="shared" si="43"/>
        <v>4 - 0</v>
      </c>
      <c r="O153" t="str">
        <f t="shared" si="44"/>
        <v>Green</v>
      </c>
      <c r="P153" t="str">
        <f t="shared" si="45"/>
        <v>Red</v>
      </c>
      <c r="Q153" t="str">
        <f t="shared" si="46"/>
        <v>Red</v>
      </c>
      <c r="R153" t="str">
        <f t="shared" si="47"/>
        <v>Green</v>
      </c>
      <c r="S153" t="str">
        <f t="shared" si="48"/>
        <v>Red</v>
      </c>
      <c r="T153" t="str">
        <f t="shared" si="49"/>
        <v>Green</v>
      </c>
      <c r="U153" t="str">
        <f t="shared" si="50"/>
        <v>Green</v>
      </c>
      <c r="V153" t="str">
        <f t="shared" si="51"/>
        <v>Red</v>
      </c>
      <c r="W153" t="str">
        <f t="shared" si="52"/>
        <v>Red</v>
      </c>
      <c r="X153" t="str">
        <f t="shared" si="53"/>
        <v>Green</v>
      </c>
      <c r="Y153" t="str">
        <f t="shared" si="54"/>
        <v>Green</v>
      </c>
      <c r="Z153" t="str">
        <f t="shared" si="55"/>
        <v>Green</v>
      </c>
      <c r="AA153" t="str">
        <f t="shared" si="56"/>
        <v>Red</v>
      </c>
      <c r="AB153" t="str">
        <f t="shared" si="57"/>
        <v>Red</v>
      </c>
      <c r="AC153" t="str">
        <f t="shared" si="58"/>
        <v>Red</v>
      </c>
      <c r="AD153" t="str">
        <f t="shared" si="59"/>
        <v>Green</v>
      </c>
    </row>
    <row r="154" spans="1:30" x14ac:dyDescent="0.25">
      <c r="A154" t="str">
        <f t="shared" si="40"/>
        <v>21/07/2026Chertsey TownWealdstone</v>
      </c>
      <c r="D154" s="2">
        <v>46224</v>
      </c>
      <c r="E154" s="3">
        <v>0.77083333333333337</v>
      </c>
      <c r="F154" t="s">
        <v>1511</v>
      </c>
      <c r="G154" t="s">
        <v>1512</v>
      </c>
      <c r="H154">
        <v>0</v>
      </c>
      <c r="I154">
        <v>0</v>
      </c>
      <c r="J154">
        <v>2</v>
      </c>
      <c r="K154">
        <v>0</v>
      </c>
      <c r="L154" s="22" t="str">
        <f t="shared" si="41"/>
        <v>21/07/2026</v>
      </c>
      <c r="M154" s="23">
        <f t="shared" si="42"/>
        <v>0.64583333333333337</v>
      </c>
      <c r="N154" t="str">
        <f t="shared" si="43"/>
        <v>2 - 0</v>
      </c>
      <c r="O154" t="str">
        <f t="shared" si="44"/>
        <v>Green</v>
      </c>
      <c r="P154" t="str">
        <f t="shared" si="45"/>
        <v>Red</v>
      </c>
      <c r="Q154" t="str">
        <f t="shared" si="46"/>
        <v>Red</v>
      </c>
      <c r="R154" t="str">
        <f t="shared" si="47"/>
        <v>Green</v>
      </c>
      <c r="S154" t="str">
        <f t="shared" si="48"/>
        <v>Red</v>
      </c>
      <c r="T154" t="str">
        <f t="shared" si="49"/>
        <v>Green</v>
      </c>
      <c r="U154" t="str">
        <f t="shared" si="50"/>
        <v>Red</v>
      </c>
      <c r="V154" t="str">
        <f t="shared" si="51"/>
        <v>Green</v>
      </c>
      <c r="W154" t="str">
        <f t="shared" si="52"/>
        <v>Red</v>
      </c>
      <c r="X154" t="str">
        <f t="shared" si="53"/>
        <v>Red</v>
      </c>
      <c r="Y154" t="str">
        <f t="shared" si="54"/>
        <v>Green</v>
      </c>
      <c r="Z154" t="str">
        <f t="shared" si="55"/>
        <v>Red</v>
      </c>
      <c r="AA154" t="str">
        <f t="shared" si="56"/>
        <v>Green</v>
      </c>
      <c r="AB154" t="str">
        <f t="shared" si="57"/>
        <v>Green</v>
      </c>
      <c r="AC154" t="str">
        <f t="shared" si="58"/>
        <v>Red</v>
      </c>
      <c r="AD154" t="str">
        <f t="shared" si="59"/>
        <v>Green</v>
      </c>
    </row>
    <row r="155" spans="1:30" x14ac:dyDescent="0.25">
      <c r="A155" t="str">
        <f t="shared" si="40"/>
        <v>21/07/2026Dagenham &amp; RedbridgeCrystal Palace U21</v>
      </c>
      <c r="D155" s="2">
        <v>46224</v>
      </c>
      <c r="E155" s="3">
        <v>0.77083333333333337</v>
      </c>
      <c r="F155" t="s">
        <v>1513</v>
      </c>
      <c r="G155" t="s">
        <v>1514</v>
      </c>
      <c r="H155">
        <v>3</v>
      </c>
      <c r="I155">
        <v>0</v>
      </c>
      <c r="J155">
        <v>5</v>
      </c>
      <c r="K155">
        <v>0</v>
      </c>
      <c r="L155" s="22" t="str">
        <f t="shared" si="41"/>
        <v>21/07/2026</v>
      </c>
      <c r="M155" s="23">
        <f t="shared" si="42"/>
        <v>0.64583333333333337</v>
      </c>
      <c r="N155" t="str">
        <f t="shared" si="43"/>
        <v>5 - 0</v>
      </c>
      <c r="O155" t="str">
        <f t="shared" si="44"/>
        <v>Green</v>
      </c>
      <c r="P155" t="str">
        <f t="shared" si="45"/>
        <v>Red</v>
      </c>
      <c r="Q155" t="str">
        <f t="shared" si="46"/>
        <v>Red</v>
      </c>
      <c r="R155" t="str">
        <f t="shared" si="47"/>
        <v>Green</v>
      </c>
      <c r="S155" t="str">
        <f t="shared" si="48"/>
        <v>Red</v>
      </c>
      <c r="T155" t="str">
        <f t="shared" si="49"/>
        <v>Green</v>
      </c>
      <c r="U155" t="str">
        <f t="shared" si="50"/>
        <v>Green</v>
      </c>
      <c r="V155" t="str">
        <f t="shared" si="51"/>
        <v>Red</v>
      </c>
      <c r="W155" t="str">
        <f t="shared" si="52"/>
        <v>Red</v>
      </c>
      <c r="X155" t="str">
        <f t="shared" si="53"/>
        <v>Green</v>
      </c>
      <c r="Y155" t="str">
        <f t="shared" si="54"/>
        <v>Green</v>
      </c>
      <c r="Z155" t="str">
        <f t="shared" si="55"/>
        <v>Green</v>
      </c>
      <c r="AA155" t="str">
        <f t="shared" si="56"/>
        <v>Red</v>
      </c>
      <c r="AB155" t="str">
        <f t="shared" si="57"/>
        <v>Red</v>
      </c>
      <c r="AC155" t="str">
        <f t="shared" si="58"/>
        <v>Red</v>
      </c>
      <c r="AD155" t="str">
        <f t="shared" si="59"/>
        <v>Green</v>
      </c>
    </row>
    <row r="156" spans="1:30" x14ac:dyDescent="0.25">
      <c r="A156" t="str">
        <f t="shared" si="40"/>
        <v>21/07/2026Fleetwood TownHuddersfield Town</v>
      </c>
      <c r="D156" s="2">
        <v>46224</v>
      </c>
      <c r="E156" s="3">
        <v>0.77083333333333337</v>
      </c>
      <c r="F156" t="s">
        <v>1515</v>
      </c>
      <c r="G156" t="s">
        <v>1444</v>
      </c>
      <c r="H156">
        <v>1</v>
      </c>
      <c r="I156">
        <v>1</v>
      </c>
      <c r="J156">
        <v>2</v>
      </c>
      <c r="K156">
        <v>1</v>
      </c>
      <c r="L156" s="22" t="str">
        <f t="shared" si="41"/>
        <v>21/07/2026</v>
      </c>
      <c r="M156" s="23">
        <f t="shared" si="42"/>
        <v>0.64583333333333337</v>
      </c>
      <c r="N156" t="str">
        <f t="shared" si="43"/>
        <v>2 - 1</v>
      </c>
      <c r="O156" t="str">
        <f t="shared" si="44"/>
        <v>Green</v>
      </c>
      <c r="P156" t="str">
        <f t="shared" si="45"/>
        <v>Red</v>
      </c>
      <c r="Q156" t="str">
        <f t="shared" si="46"/>
        <v>Red</v>
      </c>
      <c r="R156" t="str">
        <f t="shared" si="47"/>
        <v>Green</v>
      </c>
      <c r="S156" t="str">
        <f t="shared" si="48"/>
        <v>Red</v>
      </c>
      <c r="T156" t="str">
        <f t="shared" si="49"/>
        <v>Green</v>
      </c>
      <c r="U156" t="str">
        <f t="shared" si="50"/>
        <v>Red</v>
      </c>
      <c r="V156" t="str">
        <f t="shared" si="51"/>
        <v>Green</v>
      </c>
      <c r="W156" t="str">
        <f t="shared" si="52"/>
        <v>Red</v>
      </c>
      <c r="X156" t="str">
        <f t="shared" si="53"/>
        <v>Green</v>
      </c>
      <c r="Y156" t="str">
        <f t="shared" si="54"/>
        <v>Green</v>
      </c>
      <c r="Z156" t="str">
        <f t="shared" si="55"/>
        <v>Green</v>
      </c>
      <c r="AA156" t="str">
        <f t="shared" si="56"/>
        <v>Red</v>
      </c>
      <c r="AB156" t="str">
        <f t="shared" si="57"/>
        <v>Green</v>
      </c>
      <c r="AC156" t="str">
        <f t="shared" si="58"/>
        <v>Green</v>
      </c>
      <c r="AD156" t="str">
        <f t="shared" si="59"/>
        <v>Red</v>
      </c>
    </row>
    <row r="157" spans="1:30" x14ac:dyDescent="0.25">
      <c r="A157" t="str">
        <f t="shared" si="40"/>
        <v>21/07/2026Garforth Town AFCGuiseley AFC</v>
      </c>
      <c r="D157" s="2">
        <v>46224</v>
      </c>
      <c r="E157" s="3">
        <v>0.77083333333333337</v>
      </c>
      <c r="F157" t="s">
        <v>1516</v>
      </c>
      <c r="G157" t="s">
        <v>1517</v>
      </c>
      <c r="H157">
        <v>0</v>
      </c>
      <c r="I157">
        <v>1</v>
      </c>
      <c r="J157">
        <v>0</v>
      </c>
      <c r="K157">
        <v>1</v>
      </c>
      <c r="L157" s="22" t="str">
        <f t="shared" si="41"/>
        <v>21/07/2026</v>
      </c>
      <c r="M157" s="23">
        <f t="shared" si="42"/>
        <v>0.64583333333333337</v>
      </c>
      <c r="N157" t="str">
        <f t="shared" si="43"/>
        <v>0 - 1</v>
      </c>
      <c r="O157" t="str">
        <f t="shared" si="44"/>
        <v>Red</v>
      </c>
      <c r="P157" t="str">
        <f t="shared" si="45"/>
        <v>Red</v>
      </c>
      <c r="Q157" t="str">
        <f t="shared" si="46"/>
        <v>Green</v>
      </c>
      <c r="R157" t="str">
        <f t="shared" si="47"/>
        <v>Red</v>
      </c>
      <c r="S157" t="str">
        <f t="shared" si="48"/>
        <v>Green</v>
      </c>
      <c r="T157" t="str">
        <f t="shared" si="49"/>
        <v>Green</v>
      </c>
      <c r="U157" t="str">
        <f t="shared" si="50"/>
        <v>Red</v>
      </c>
      <c r="V157" t="str">
        <f t="shared" si="51"/>
        <v>Red</v>
      </c>
      <c r="W157" t="str">
        <f t="shared" si="52"/>
        <v>Green</v>
      </c>
      <c r="X157" t="str">
        <f t="shared" si="53"/>
        <v>Green</v>
      </c>
      <c r="Y157" t="str">
        <f t="shared" si="54"/>
        <v>Red</v>
      </c>
      <c r="Z157" t="str">
        <f t="shared" si="55"/>
        <v>Red</v>
      </c>
      <c r="AA157" t="str">
        <f t="shared" si="56"/>
        <v>Green</v>
      </c>
      <c r="AB157" t="str">
        <f t="shared" si="57"/>
        <v>Green</v>
      </c>
      <c r="AC157" t="str">
        <f t="shared" si="58"/>
        <v>Red</v>
      </c>
      <c r="AD157" t="str">
        <f t="shared" si="59"/>
        <v>Green</v>
      </c>
    </row>
    <row r="158" spans="1:30" x14ac:dyDescent="0.25">
      <c r="A158" t="str">
        <f t="shared" si="40"/>
        <v>21/07/2026Kidsgrove AthleticLeek Town</v>
      </c>
      <c r="D158" s="2">
        <v>46224</v>
      </c>
      <c r="E158" s="3">
        <v>0.77083333333333337</v>
      </c>
      <c r="F158" t="s">
        <v>1518</v>
      </c>
      <c r="G158" t="s">
        <v>1519</v>
      </c>
      <c r="H158">
        <v>0</v>
      </c>
      <c r="I158">
        <v>1</v>
      </c>
      <c r="J158">
        <v>0</v>
      </c>
      <c r="K158">
        <v>1</v>
      </c>
      <c r="L158" s="22" t="str">
        <f t="shared" si="41"/>
        <v>21/07/2026</v>
      </c>
      <c r="M158" s="23">
        <f t="shared" si="42"/>
        <v>0.64583333333333337</v>
      </c>
      <c r="N158" t="str">
        <f t="shared" si="43"/>
        <v>0 - 1</v>
      </c>
      <c r="O158" t="str">
        <f t="shared" si="44"/>
        <v>Red</v>
      </c>
      <c r="P158" t="str">
        <f t="shared" si="45"/>
        <v>Red</v>
      </c>
      <c r="Q158" t="str">
        <f t="shared" si="46"/>
        <v>Green</v>
      </c>
      <c r="R158" t="str">
        <f t="shared" si="47"/>
        <v>Red</v>
      </c>
      <c r="S158" t="str">
        <f t="shared" si="48"/>
        <v>Green</v>
      </c>
      <c r="T158" t="str">
        <f t="shared" si="49"/>
        <v>Green</v>
      </c>
      <c r="U158" t="str">
        <f t="shared" si="50"/>
        <v>Red</v>
      </c>
      <c r="V158" t="str">
        <f t="shared" si="51"/>
        <v>Red</v>
      </c>
      <c r="W158" t="str">
        <f t="shared" si="52"/>
        <v>Green</v>
      </c>
      <c r="X158" t="str">
        <f t="shared" si="53"/>
        <v>Green</v>
      </c>
      <c r="Y158" t="str">
        <f t="shared" si="54"/>
        <v>Red</v>
      </c>
      <c r="Z158" t="str">
        <f t="shared" si="55"/>
        <v>Red</v>
      </c>
      <c r="AA158" t="str">
        <f t="shared" si="56"/>
        <v>Green</v>
      </c>
      <c r="AB158" t="str">
        <f t="shared" si="57"/>
        <v>Green</v>
      </c>
      <c r="AC158" t="str">
        <f t="shared" si="58"/>
        <v>Red</v>
      </c>
      <c r="AD158" t="str">
        <f t="shared" si="59"/>
        <v>Green</v>
      </c>
    </row>
    <row r="159" spans="1:30" x14ac:dyDescent="0.25">
      <c r="A159" t="str">
        <f t="shared" si="40"/>
        <v>21/07/2026Merthyr TownBriton Ferry</v>
      </c>
      <c r="D159" s="2">
        <v>46224</v>
      </c>
      <c r="E159" s="3">
        <v>0.77083333333333337</v>
      </c>
      <c r="F159" t="s">
        <v>1520</v>
      </c>
      <c r="G159" t="s">
        <v>1521</v>
      </c>
      <c r="H159">
        <v>2</v>
      </c>
      <c r="I159">
        <v>0</v>
      </c>
      <c r="J159">
        <v>3</v>
      </c>
      <c r="K159">
        <v>0</v>
      </c>
      <c r="L159" s="22" t="str">
        <f t="shared" si="41"/>
        <v>21/07/2026</v>
      </c>
      <c r="M159" s="23">
        <f t="shared" si="42"/>
        <v>0.64583333333333337</v>
      </c>
      <c r="N159" t="str">
        <f t="shared" si="43"/>
        <v>3 - 0</v>
      </c>
      <c r="O159" t="str">
        <f t="shared" si="44"/>
        <v>Green</v>
      </c>
      <c r="P159" t="str">
        <f t="shared" si="45"/>
        <v>Red</v>
      </c>
      <c r="Q159" t="str">
        <f t="shared" si="46"/>
        <v>Red</v>
      </c>
      <c r="R159" t="str">
        <f t="shared" si="47"/>
        <v>Green</v>
      </c>
      <c r="S159" t="str">
        <f t="shared" si="48"/>
        <v>Red</v>
      </c>
      <c r="T159" t="str">
        <f t="shared" si="49"/>
        <v>Green</v>
      </c>
      <c r="U159" t="str">
        <f t="shared" si="50"/>
        <v>Green</v>
      </c>
      <c r="V159" t="str">
        <f t="shared" si="51"/>
        <v>Red</v>
      </c>
      <c r="W159" t="str">
        <f t="shared" si="52"/>
        <v>Red</v>
      </c>
      <c r="X159" t="str">
        <f t="shared" si="53"/>
        <v>Green</v>
      </c>
      <c r="Y159" t="str">
        <f t="shared" si="54"/>
        <v>Green</v>
      </c>
      <c r="Z159" t="str">
        <f t="shared" si="55"/>
        <v>Green</v>
      </c>
      <c r="AA159" t="str">
        <f t="shared" si="56"/>
        <v>Red</v>
      </c>
      <c r="AB159" t="str">
        <f t="shared" si="57"/>
        <v>Green</v>
      </c>
      <c r="AC159" t="str">
        <f t="shared" si="58"/>
        <v>Red</v>
      </c>
      <c r="AD159" t="str">
        <f t="shared" si="59"/>
        <v>Green</v>
      </c>
    </row>
    <row r="160" spans="1:30" x14ac:dyDescent="0.25">
      <c r="A160" t="str">
        <f t="shared" si="40"/>
        <v>21/07/2026Northallerton TownWhitby Town</v>
      </c>
      <c r="D160" s="2">
        <v>46224</v>
      </c>
      <c r="E160" s="3">
        <v>0.77083333333333337</v>
      </c>
      <c r="F160" t="s">
        <v>1522</v>
      </c>
      <c r="G160" t="s">
        <v>1523</v>
      </c>
      <c r="H160">
        <v>2</v>
      </c>
      <c r="I160">
        <v>0</v>
      </c>
      <c r="J160">
        <v>2</v>
      </c>
      <c r="K160">
        <v>1</v>
      </c>
      <c r="L160" s="22" t="str">
        <f t="shared" si="41"/>
        <v>21/07/2026</v>
      </c>
      <c r="M160" s="23">
        <f t="shared" si="42"/>
        <v>0.64583333333333337</v>
      </c>
      <c r="N160" t="str">
        <f t="shared" si="43"/>
        <v>2 - 1</v>
      </c>
      <c r="O160" t="str">
        <f t="shared" si="44"/>
        <v>Green</v>
      </c>
      <c r="P160" t="str">
        <f t="shared" si="45"/>
        <v>Red</v>
      </c>
      <c r="Q160" t="str">
        <f t="shared" si="46"/>
        <v>Red</v>
      </c>
      <c r="R160" t="str">
        <f t="shared" si="47"/>
        <v>Green</v>
      </c>
      <c r="S160" t="str">
        <f t="shared" si="48"/>
        <v>Red</v>
      </c>
      <c r="T160" t="str">
        <f t="shared" si="49"/>
        <v>Green</v>
      </c>
      <c r="U160" t="str">
        <f t="shared" si="50"/>
        <v>Green</v>
      </c>
      <c r="V160" t="str">
        <f t="shared" si="51"/>
        <v>Red</v>
      </c>
      <c r="W160" t="str">
        <f t="shared" si="52"/>
        <v>Red</v>
      </c>
      <c r="X160" t="str">
        <f t="shared" si="53"/>
        <v>Green</v>
      </c>
      <c r="Y160" t="str">
        <f t="shared" si="54"/>
        <v>Green</v>
      </c>
      <c r="Z160" t="str">
        <f t="shared" si="55"/>
        <v>Green</v>
      </c>
      <c r="AA160" t="str">
        <f t="shared" si="56"/>
        <v>Red</v>
      </c>
      <c r="AB160" t="str">
        <f t="shared" si="57"/>
        <v>Green</v>
      </c>
      <c r="AC160" t="str">
        <f t="shared" si="58"/>
        <v>Green</v>
      </c>
      <c r="AD160" t="str">
        <f t="shared" si="59"/>
        <v>Red</v>
      </c>
    </row>
    <row r="161" spans="1:30" x14ac:dyDescent="0.25">
      <c r="A161" t="str">
        <f t="shared" si="40"/>
        <v>21/07/2026Prescot CablesMarine</v>
      </c>
      <c r="D161" s="2">
        <v>46224</v>
      </c>
      <c r="E161" s="3">
        <v>0.77083333333333337</v>
      </c>
      <c r="F161" t="s">
        <v>1524</v>
      </c>
      <c r="G161" t="s">
        <v>1525</v>
      </c>
      <c r="H161">
        <v>0</v>
      </c>
      <c r="I161">
        <v>0</v>
      </c>
      <c r="J161">
        <v>0</v>
      </c>
      <c r="K161">
        <v>1</v>
      </c>
      <c r="L161" s="22" t="str">
        <f t="shared" si="41"/>
        <v>21/07/2026</v>
      </c>
      <c r="M161" s="23">
        <f t="shared" si="42"/>
        <v>0.64583333333333337</v>
      </c>
      <c r="N161" t="str">
        <f t="shared" si="43"/>
        <v>0 - 1</v>
      </c>
      <c r="O161" t="str">
        <f t="shared" si="44"/>
        <v>Red</v>
      </c>
      <c r="P161" t="str">
        <f t="shared" si="45"/>
        <v>Red</v>
      </c>
      <c r="Q161" t="str">
        <f t="shared" si="46"/>
        <v>Green</v>
      </c>
      <c r="R161" t="str">
        <f t="shared" si="47"/>
        <v>Red</v>
      </c>
      <c r="S161" t="str">
        <f t="shared" si="48"/>
        <v>Green</v>
      </c>
      <c r="T161" t="str">
        <f t="shared" si="49"/>
        <v>Green</v>
      </c>
      <c r="U161" t="str">
        <f t="shared" si="50"/>
        <v>Red</v>
      </c>
      <c r="V161" t="str">
        <f t="shared" si="51"/>
        <v>Green</v>
      </c>
      <c r="W161" t="str">
        <f t="shared" si="52"/>
        <v>Red</v>
      </c>
      <c r="X161" t="str">
        <f t="shared" si="53"/>
        <v>Red</v>
      </c>
      <c r="Y161" t="str">
        <f t="shared" si="54"/>
        <v>Red</v>
      </c>
      <c r="Z161" t="str">
        <f t="shared" si="55"/>
        <v>Red</v>
      </c>
      <c r="AA161" t="str">
        <f t="shared" si="56"/>
        <v>Green</v>
      </c>
      <c r="AB161" t="str">
        <f t="shared" si="57"/>
        <v>Green</v>
      </c>
      <c r="AC161" t="str">
        <f t="shared" si="58"/>
        <v>Red</v>
      </c>
      <c r="AD161" t="str">
        <f t="shared" si="59"/>
        <v>Green</v>
      </c>
    </row>
    <row r="162" spans="1:30" x14ac:dyDescent="0.25">
      <c r="A162" t="str">
        <f t="shared" si="40"/>
        <v>21/07/2026Radcliffe BoroughBarrow AFC</v>
      </c>
      <c r="D162" s="2">
        <v>46224</v>
      </c>
      <c r="E162" s="3">
        <v>0.77083333333333337</v>
      </c>
      <c r="F162" t="s">
        <v>1526</v>
      </c>
      <c r="G162" t="s">
        <v>1527</v>
      </c>
      <c r="H162">
        <v>0</v>
      </c>
      <c r="I162">
        <v>0</v>
      </c>
      <c r="J162">
        <v>0</v>
      </c>
      <c r="K162">
        <v>0</v>
      </c>
      <c r="L162" s="22" t="str">
        <f t="shared" si="41"/>
        <v>21/07/2026</v>
      </c>
      <c r="M162" s="23">
        <f t="shared" si="42"/>
        <v>0.64583333333333337</v>
      </c>
      <c r="N162" t="str">
        <f t="shared" si="43"/>
        <v>0 - 0</v>
      </c>
      <c r="O162" t="str">
        <f t="shared" si="44"/>
        <v>Red</v>
      </c>
      <c r="P162" t="str">
        <f t="shared" si="45"/>
        <v>Green</v>
      </c>
      <c r="Q162" t="str">
        <f t="shared" si="46"/>
        <v>Red</v>
      </c>
      <c r="R162" t="str">
        <f t="shared" si="47"/>
        <v>Green</v>
      </c>
      <c r="S162" t="str">
        <f t="shared" si="48"/>
        <v>Green</v>
      </c>
      <c r="T162" t="str">
        <f t="shared" si="49"/>
        <v>Red</v>
      </c>
      <c r="U162" t="str">
        <f t="shared" si="50"/>
        <v>Red</v>
      </c>
      <c r="V162" t="str">
        <f t="shared" si="51"/>
        <v>Green</v>
      </c>
      <c r="W162" t="str">
        <f t="shared" si="52"/>
        <v>Red</v>
      </c>
      <c r="X162" t="str">
        <f t="shared" si="53"/>
        <v>Red</v>
      </c>
      <c r="Y162" t="str">
        <f t="shared" si="54"/>
        <v>Red</v>
      </c>
      <c r="Z162" t="str">
        <f t="shared" si="55"/>
        <v>Red</v>
      </c>
      <c r="AA162" t="str">
        <f t="shared" si="56"/>
        <v>Green</v>
      </c>
      <c r="AB162" t="str">
        <f t="shared" si="57"/>
        <v>Green</v>
      </c>
      <c r="AC162" t="str">
        <f t="shared" si="58"/>
        <v>Red</v>
      </c>
      <c r="AD162" t="str">
        <f t="shared" si="59"/>
        <v>Green</v>
      </c>
    </row>
    <row r="163" spans="1:30" x14ac:dyDescent="0.25">
      <c r="A163" t="str">
        <f t="shared" si="40"/>
        <v>21/07/2026Shrewsbury TownEverton U21</v>
      </c>
      <c r="D163" s="2">
        <v>46224</v>
      </c>
      <c r="E163" s="3">
        <v>0.77083333333333337</v>
      </c>
      <c r="F163" t="s">
        <v>1528</v>
      </c>
      <c r="G163" t="s">
        <v>1529</v>
      </c>
      <c r="H163">
        <v>0</v>
      </c>
      <c r="I163">
        <v>0</v>
      </c>
      <c r="J163">
        <v>1</v>
      </c>
      <c r="K163">
        <v>0</v>
      </c>
      <c r="L163" s="22" t="str">
        <f t="shared" si="41"/>
        <v>21/07/2026</v>
      </c>
      <c r="M163" s="23">
        <f t="shared" si="42"/>
        <v>0.64583333333333337</v>
      </c>
      <c r="N163" t="str">
        <f t="shared" si="43"/>
        <v>1 - 0</v>
      </c>
      <c r="O163" t="str">
        <f t="shared" si="44"/>
        <v>Green</v>
      </c>
      <c r="P163" t="str">
        <f t="shared" si="45"/>
        <v>Red</v>
      </c>
      <c r="Q163" t="str">
        <f t="shared" si="46"/>
        <v>Red</v>
      </c>
      <c r="R163" t="str">
        <f t="shared" si="47"/>
        <v>Green</v>
      </c>
      <c r="S163" t="str">
        <f t="shared" si="48"/>
        <v>Red</v>
      </c>
      <c r="T163" t="str">
        <f t="shared" si="49"/>
        <v>Green</v>
      </c>
      <c r="U163" t="str">
        <f t="shared" si="50"/>
        <v>Red</v>
      </c>
      <c r="V163" t="str">
        <f t="shared" si="51"/>
        <v>Green</v>
      </c>
      <c r="W163" t="str">
        <f t="shared" si="52"/>
        <v>Red</v>
      </c>
      <c r="X163" t="str">
        <f t="shared" si="53"/>
        <v>Red</v>
      </c>
      <c r="Y163" t="str">
        <f t="shared" si="54"/>
        <v>Red</v>
      </c>
      <c r="Z163" t="str">
        <f t="shared" si="55"/>
        <v>Red</v>
      </c>
      <c r="AA163" t="str">
        <f t="shared" si="56"/>
        <v>Green</v>
      </c>
      <c r="AB163" t="str">
        <f t="shared" si="57"/>
        <v>Green</v>
      </c>
      <c r="AC163" t="str">
        <f t="shared" si="58"/>
        <v>Red</v>
      </c>
      <c r="AD163" t="str">
        <f t="shared" si="59"/>
        <v>Green</v>
      </c>
    </row>
    <row r="164" spans="1:30" x14ac:dyDescent="0.25">
      <c r="A164" t="str">
        <f t="shared" si="40"/>
        <v>21/07/2026South ShieldsHarrogate Town</v>
      </c>
      <c r="D164" s="2">
        <v>46224</v>
      </c>
      <c r="E164" s="3">
        <v>0.77083333333333337</v>
      </c>
      <c r="F164" t="s">
        <v>1530</v>
      </c>
      <c r="G164" t="s">
        <v>1531</v>
      </c>
      <c r="H164">
        <v>0</v>
      </c>
      <c r="I164">
        <v>0</v>
      </c>
      <c r="J164">
        <v>1</v>
      </c>
      <c r="K164">
        <v>2</v>
      </c>
      <c r="L164" s="22" t="str">
        <f t="shared" si="41"/>
        <v>21/07/2026</v>
      </c>
      <c r="M164" s="23">
        <f t="shared" si="42"/>
        <v>0.64583333333333337</v>
      </c>
      <c r="N164" t="str">
        <f t="shared" si="43"/>
        <v>1 - 2</v>
      </c>
      <c r="O164" t="str">
        <f t="shared" si="44"/>
        <v>Red</v>
      </c>
      <c r="P164" t="str">
        <f t="shared" si="45"/>
        <v>Red</v>
      </c>
      <c r="Q164" t="str">
        <f t="shared" si="46"/>
        <v>Green</v>
      </c>
      <c r="R164" t="str">
        <f t="shared" si="47"/>
        <v>Red</v>
      </c>
      <c r="S164" t="str">
        <f t="shared" si="48"/>
        <v>Green</v>
      </c>
      <c r="T164" t="str">
        <f t="shared" si="49"/>
        <v>Green</v>
      </c>
      <c r="U164" t="str">
        <f t="shared" si="50"/>
        <v>Red</v>
      </c>
      <c r="V164" t="str">
        <f t="shared" si="51"/>
        <v>Green</v>
      </c>
      <c r="W164" t="str">
        <f t="shared" si="52"/>
        <v>Red</v>
      </c>
      <c r="X164" t="str">
        <f t="shared" si="53"/>
        <v>Red</v>
      </c>
      <c r="Y164" t="str">
        <f t="shared" si="54"/>
        <v>Green</v>
      </c>
      <c r="Z164" t="str">
        <f t="shared" si="55"/>
        <v>Green</v>
      </c>
      <c r="AA164" t="str">
        <f t="shared" si="56"/>
        <v>Red</v>
      </c>
      <c r="AB164" t="str">
        <f t="shared" si="57"/>
        <v>Green</v>
      </c>
      <c r="AC164" t="str">
        <f t="shared" si="58"/>
        <v>Green</v>
      </c>
      <c r="AD164" t="str">
        <f t="shared" si="59"/>
        <v>Red</v>
      </c>
    </row>
    <row r="165" spans="1:30" x14ac:dyDescent="0.25">
      <c r="A165" t="str">
        <f t="shared" si="40"/>
        <v>21/07/2026Taunton TownWeston Super Mare</v>
      </c>
      <c r="D165" s="2">
        <v>46224</v>
      </c>
      <c r="E165" s="3">
        <v>0.77083333333333337</v>
      </c>
      <c r="F165" t="s">
        <v>1532</v>
      </c>
      <c r="G165" t="s">
        <v>1533</v>
      </c>
      <c r="H165">
        <v>0</v>
      </c>
      <c r="I165">
        <v>3</v>
      </c>
      <c r="J165">
        <v>0</v>
      </c>
      <c r="K165">
        <v>4</v>
      </c>
      <c r="L165" s="22" t="str">
        <f t="shared" si="41"/>
        <v>21/07/2026</v>
      </c>
      <c r="M165" s="23">
        <f t="shared" si="42"/>
        <v>0.64583333333333337</v>
      </c>
      <c r="N165" t="str">
        <f t="shared" si="43"/>
        <v>0 - 4</v>
      </c>
      <c r="O165" t="str">
        <f t="shared" si="44"/>
        <v>Red</v>
      </c>
      <c r="P165" t="str">
        <f t="shared" si="45"/>
        <v>Red</v>
      </c>
      <c r="Q165" t="str">
        <f t="shared" si="46"/>
        <v>Green</v>
      </c>
      <c r="R165" t="str">
        <f t="shared" si="47"/>
        <v>Red</v>
      </c>
      <c r="S165" t="str">
        <f t="shared" si="48"/>
        <v>Green</v>
      </c>
      <c r="T165" t="str">
        <f t="shared" si="49"/>
        <v>Green</v>
      </c>
      <c r="U165" t="str">
        <f t="shared" si="50"/>
        <v>Red</v>
      </c>
      <c r="V165" t="str">
        <f t="shared" si="51"/>
        <v>Red</v>
      </c>
      <c r="W165" t="str">
        <f t="shared" si="52"/>
        <v>Green</v>
      </c>
      <c r="X165" t="str">
        <f t="shared" si="53"/>
        <v>Green</v>
      </c>
      <c r="Y165" t="str">
        <f t="shared" si="54"/>
        <v>Green</v>
      </c>
      <c r="Z165" t="str">
        <f t="shared" si="55"/>
        <v>Green</v>
      </c>
      <c r="AA165" t="str">
        <f t="shared" si="56"/>
        <v>Red</v>
      </c>
      <c r="AB165" t="str">
        <f t="shared" si="57"/>
        <v>Red</v>
      </c>
      <c r="AC165" t="str">
        <f t="shared" si="58"/>
        <v>Red</v>
      </c>
      <c r="AD165" t="str">
        <f t="shared" si="59"/>
        <v>Green</v>
      </c>
    </row>
    <row r="166" spans="1:30" x14ac:dyDescent="0.25">
      <c r="A166" t="str">
        <f t="shared" si="40"/>
        <v>21/07/2026Telford UnitedCrewe Alexandra</v>
      </c>
      <c r="D166" s="2">
        <v>46224</v>
      </c>
      <c r="E166" s="3">
        <v>0.77083333333333337</v>
      </c>
      <c r="F166" t="s">
        <v>1534</v>
      </c>
      <c r="G166" t="s">
        <v>1535</v>
      </c>
      <c r="H166">
        <v>0</v>
      </c>
      <c r="I166">
        <v>1</v>
      </c>
      <c r="J166">
        <v>0</v>
      </c>
      <c r="K166">
        <v>3</v>
      </c>
      <c r="L166" s="22" t="str">
        <f t="shared" si="41"/>
        <v>21/07/2026</v>
      </c>
      <c r="M166" s="23">
        <f t="shared" si="42"/>
        <v>0.64583333333333337</v>
      </c>
      <c r="N166" t="str">
        <f t="shared" si="43"/>
        <v>0 - 3</v>
      </c>
      <c r="O166" t="str">
        <f t="shared" si="44"/>
        <v>Red</v>
      </c>
      <c r="P166" t="str">
        <f t="shared" si="45"/>
        <v>Red</v>
      </c>
      <c r="Q166" t="str">
        <f t="shared" si="46"/>
        <v>Green</v>
      </c>
      <c r="R166" t="str">
        <f t="shared" si="47"/>
        <v>Red</v>
      </c>
      <c r="S166" t="str">
        <f t="shared" si="48"/>
        <v>Green</v>
      </c>
      <c r="T166" t="str">
        <f t="shared" si="49"/>
        <v>Green</v>
      </c>
      <c r="U166" t="str">
        <f t="shared" si="50"/>
        <v>Red</v>
      </c>
      <c r="V166" t="str">
        <f t="shared" si="51"/>
        <v>Red</v>
      </c>
      <c r="W166" t="str">
        <f t="shared" si="52"/>
        <v>Green</v>
      </c>
      <c r="X166" t="str">
        <f t="shared" si="53"/>
        <v>Green</v>
      </c>
      <c r="Y166" t="str">
        <f t="shared" si="54"/>
        <v>Green</v>
      </c>
      <c r="Z166" t="str">
        <f t="shared" si="55"/>
        <v>Green</v>
      </c>
      <c r="AA166" t="str">
        <f t="shared" si="56"/>
        <v>Red</v>
      </c>
      <c r="AB166" t="str">
        <f t="shared" si="57"/>
        <v>Green</v>
      </c>
      <c r="AC166" t="str">
        <f t="shared" si="58"/>
        <v>Red</v>
      </c>
      <c r="AD166" t="str">
        <f t="shared" si="59"/>
        <v>Green</v>
      </c>
    </row>
    <row r="167" spans="1:30" x14ac:dyDescent="0.25">
      <c r="A167" t="str">
        <f t="shared" si="40"/>
        <v>21/07/2026Torquay UnitedPlymouth Argyle</v>
      </c>
      <c r="D167" s="2">
        <v>46224</v>
      </c>
      <c r="E167" s="3">
        <v>0.77083333333333337</v>
      </c>
      <c r="F167" t="s">
        <v>1536</v>
      </c>
      <c r="G167" t="s">
        <v>1537</v>
      </c>
      <c r="H167">
        <v>0</v>
      </c>
      <c r="I167">
        <v>1</v>
      </c>
      <c r="J167">
        <v>0</v>
      </c>
      <c r="K167">
        <v>1</v>
      </c>
      <c r="L167" s="22" t="str">
        <f t="shared" si="41"/>
        <v>21/07/2026</v>
      </c>
      <c r="M167" s="23">
        <f t="shared" si="42"/>
        <v>0.64583333333333337</v>
      </c>
      <c r="N167" t="str">
        <f t="shared" si="43"/>
        <v>0 - 1</v>
      </c>
      <c r="O167" t="str">
        <f t="shared" si="44"/>
        <v>Red</v>
      </c>
      <c r="P167" t="str">
        <f t="shared" si="45"/>
        <v>Red</v>
      </c>
      <c r="Q167" t="str">
        <f t="shared" si="46"/>
        <v>Green</v>
      </c>
      <c r="R167" t="str">
        <f t="shared" si="47"/>
        <v>Red</v>
      </c>
      <c r="S167" t="str">
        <f t="shared" si="48"/>
        <v>Green</v>
      </c>
      <c r="T167" t="str">
        <f t="shared" si="49"/>
        <v>Green</v>
      </c>
      <c r="U167" t="str">
        <f t="shared" si="50"/>
        <v>Red</v>
      </c>
      <c r="V167" t="str">
        <f t="shared" si="51"/>
        <v>Red</v>
      </c>
      <c r="W167" t="str">
        <f t="shared" si="52"/>
        <v>Green</v>
      </c>
      <c r="X167" t="str">
        <f t="shared" si="53"/>
        <v>Green</v>
      </c>
      <c r="Y167" t="str">
        <f t="shared" si="54"/>
        <v>Red</v>
      </c>
      <c r="Z167" t="str">
        <f t="shared" si="55"/>
        <v>Red</v>
      </c>
      <c r="AA167" t="str">
        <f t="shared" si="56"/>
        <v>Green</v>
      </c>
      <c r="AB167" t="str">
        <f t="shared" si="57"/>
        <v>Green</v>
      </c>
      <c r="AC167" t="str">
        <f t="shared" si="58"/>
        <v>Red</v>
      </c>
      <c r="AD167" t="str">
        <f t="shared" si="59"/>
        <v>Green</v>
      </c>
    </row>
    <row r="168" spans="1:30" x14ac:dyDescent="0.25">
      <c r="A168" t="str">
        <f t="shared" si="40"/>
        <v>21/07/2026WalsallAston Villa</v>
      </c>
      <c r="D168" s="2">
        <v>46224</v>
      </c>
      <c r="E168" s="3">
        <v>0.77083333333333337</v>
      </c>
      <c r="F168" t="s">
        <v>1500</v>
      </c>
      <c r="G168" t="s">
        <v>1538</v>
      </c>
      <c r="H168">
        <v>0</v>
      </c>
      <c r="I168">
        <v>3</v>
      </c>
      <c r="J168">
        <v>0</v>
      </c>
      <c r="K168">
        <v>5</v>
      </c>
      <c r="L168" s="22" t="str">
        <f t="shared" si="41"/>
        <v>21/07/2026</v>
      </c>
      <c r="M168" s="23">
        <f t="shared" si="42"/>
        <v>0.64583333333333337</v>
      </c>
      <c r="N168" t="str">
        <f t="shared" si="43"/>
        <v>0 - 5</v>
      </c>
      <c r="O168" t="str">
        <f t="shared" si="44"/>
        <v>Red</v>
      </c>
      <c r="P168" t="str">
        <f t="shared" si="45"/>
        <v>Red</v>
      </c>
      <c r="Q168" t="str">
        <f t="shared" si="46"/>
        <v>Green</v>
      </c>
      <c r="R168" t="str">
        <f t="shared" si="47"/>
        <v>Red</v>
      </c>
      <c r="S168" t="str">
        <f t="shared" si="48"/>
        <v>Green</v>
      </c>
      <c r="T168" t="str">
        <f t="shared" si="49"/>
        <v>Green</v>
      </c>
      <c r="U168" t="str">
        <f t="shared" si="50"/>
        <v>Red</v>
      </c>
      <c r="V168" t="str">
        <f t="shared" si="51"/>
        <v>Red</v>
      </c>
      <c r="W168" t="str">
        <f t="shared" si="52"/>
        <v>Green</v>
      </c>
      <c r="X168" t="str">
        <f t="shared" si="53"/>
        <v>Green</v>
      </c>
      <c r="Y168" t="str">
        <f t="shared" si="54"/>
        <v>Green</v>
      </c>
      <c r="Z168" t="str">
        <f t="shared" si="55"/>
        <v>Green</v>
      </c>
      <c r="AA168" t="str">
        <f t="shared" si="56"/>
        <v>Red</v>
      </c>
      <c r="AB168" t="str">
        <f t="shared" si="57"/>
        <v>Red</v>
      </c>
      <c r="AC168" t="str">
        <f t="shared" si="58"/>
        <v>Red</v>
      </c>
      <c r="AD168" t="str">
        <f t="shared" si="59"/>
        <v>Green</v>
      </c>
    </row>
    <row r="169" spans="1:30" x14ac:dyDescent="0.25">
      <c r="A169" t="str">
        <f t="shared" si="40"/>
        <v>21/07/2026KI KlaksvikKauno Zalgiris</v>
      </c>
      <c r="B169" t="s">
        <v>820</v>
      </c>
      <c r="C169" t="s">
        <v>821</v>
      </c>
      <c r="D169" s="2">
        <v>46224</v>
      </c>
      <c r="E169" s="3">
        <v>0.78125</v>
      </c>
      <c r="F169" t="s">
        <v>370</v>
      </c>
      <c r="G169" t="s">
        <v>371</v>
      </c>
      <c r="H169">
        <v>0</v>
      </c>
      <c r="I169">
        <v>0</v>
      </c>
      <c r="J169">
        <v>0</v>
      </c>
      <c r="K169">
        <v>0</v>
      </c>
      <c r="L169" s="22" t="str">
        <f t="shared" si="41"/>
        <v>21/07/2026</v>
      </c>
      <c r="M169" s="23">
        <f t="shared" si="42"/>
        <v>0.65625</v>
      </c>
      <c r="N169" t="str">
        <f t="shared" si="43"/>
        <v>0 - 0</v>
      </c>
      <c r="O169" t="str">
        <f t="shared" si="44"/>
        <v>Red</v>
      </c>
      <c r="P169" t="str">
        <f t="shared" si="45"/>
        <v>Green</v>
      </c>
      <c r="Q169" t="str">
        <f t="shared" si="46"/>
        <v>Red</v>
      </c>
      <c r="R169" t="str">
        <f t="shared" si="47"/>
        <v>Green</v>
      </c>
      <c r="S169" t="str">
        <f t="shared" si="48"/>
        <v>Green</v>
      </c>
      <c r="T169" t="str">
        <f t="shared" si="49"/>
        <v>Red</v>
      </c>
      <c r="U169" t="str">
        <f t="shared" si="50"/>
        <v>Red</v>
      </c>
      <c r="V169" t="str">
        <f t="shared" si="51"/>
        <v>Green</v>
      </c>
      <c r="W169" t="str">
        <f t="shared" si="52"/>
        <v>Red</v>
      </c>
      <c r="X169" t="str">
        <f t="shared" si="53"/>
        <v>Red</v>
      </c>
      <c r="Y169" t="str">
        <f t="shared" si="54"/>
        <v>Red</v>
      </c>
      <c r="Z169" t="str">
        <f t="shared" si="55"/>
        <v>Red</v>
      </c>
      <c r="AA169" t="str">
        <f t="shared" si="56"/>
        <v>Green</v>
      </c>
      <c r="AB169" t="str">
        <f t="shared" si="57"/>
        <v>Green</v>
      </c>
      <c r="AC169" t="str">
        <f t="shared" si="58"/>
        <v>Red</v>
      </c>
      <c r="AD169" t="str">
        <f t="shared" si="59"/>
        <v>Green</v>
      </c>
    </row>
    <row r="170" spans="1:30" x14ac:dyDescent="0.25">
      <c r="A170" t="str">
        <f t="shared" si="40"/>
        <v>21/07/2026Alloa AthleticFalkirk</v>
      </c>
      <c r="D170" s="2">
        <v>46224</v>
      </c>
      <c r="E170" s="3">
        <v>0.78125</v>
      </c>
      <c r="F170" t="s">
        <v>1402</v>
      </c>
      <c r="G170" t="s">
        <v>1403</v>
      </c>
      <c r="H170">
        <v>0</v>
      </c>
      <c r="I170">
        <v>1</v>
      </c>
      <c r="J170">
        <v>1</v>
      </c>
      <c r="K170">
        <v>1</v>
      </c>
      <c r="L170" s="22" t="str">
        <f t="shared" si="41"/>
        <v>21/07/2026</v>
      </c>
      <c r="M170" s="23">
        <f t="shared" si="42"/>
        <v>0.65625</v>
      </c>
      <c r="N170" t="str">
        <f t="shared" si="43"/>
        <v>1 - 1</v>
      </c>
      <c r="O170" t="str">
        <f t="shared" si="44"/>
        <v>Red</v>
      </c>
      <c r="P170" t="str">
        <f t="shared" si="45"/>
        <v>Green</v>
      </c>
      <c r="Q170" t="str">
        <f t="shared" si="46"/>
        <v>Red</v>
      </c>
      <c r="R170" t="str">
        <f t="shared" si="47"/>
        <v>Green</v>
      </c>
      <c r="S170" t="str">
        <f t="shared" si="48"/>
        <v>Green</v>
      </c>
      <c r="T170" t="str">
        <f t="shared" si="49"/>
        <v>Red</v>
      </c>
      <c r="U170" t="str">
        <f t="shared" si="50"/>
        <v>Red</v>
      </c>
      <c r="V170" t="str">
        <f t="shared" si="51"/>
        <v>Red</v>
      </c>
      <c r="W170" t="str">
        <f t="shared" si="52"/>
        <v>Green</v>
      </c>
      <c r="X170" t="str">
        <f t="shared" si="53"/>
        <v>Green</v>
      </c>
      <c r="Y170" t="str">
        <f t="shared" si="54"/>
        <v>Green</v>
      </c>
      <c r="Z170" t="str">
        <f t="shared" si="55"/>
        <v>Red</v>
      </c>
      <c r="AA170" t="str">
        <f t="shared" si="56"/>
        <v>Green</v>
      </c>
      <c r="AB170" t="str">
        <f t="shared" si="57"/>
        <v>Green</v>
      </c>
      <c r="AC170" t="str">
        <f t="shared" si="58"/>
        <v>Green</v>
      </c>
      <c r="AD170" t="str">
        <f t="shared" si="59"/>
        <v>Red</v>
      </c>
    </row>
    <row r="171" spans="1:30" x14ac:dyDescent="0.25">
      <c r="A171" t="str">
        <f t="shared" si="40"/>
        <v>21/07/2026ArbroathMontrose</v>
      </c>
      <c r="D171" s="2">
        <v>46224</v>
      </c>
      <c r="E171" s="3">
        <v>0.78125</v>
      </c>
      <c r="F171" t="s">
        <v>1404</v>
      </c>
      <c r="G171" t="s">
        <v>1405</v>
      </c>
      <c r="H171">
        <v>0</v>
      </c>
      <c r="I171">
        <v>2</v>
      </c>
      <c r="J171">
        <v>0</v>
      </c>
      <c r="K171">
        <v>2</v>
      </c>
      <c r="L171" s="22" t="str">
        <f t="shared" si="41"/>
        <v>21/07/2026</v>
      </c>
      <c r="M171" s="23">
        <f t="shared" si="42"/>
        <v>0.65625</v>
      </c>
      <c r="N171" t="str">
        <f t="shared" si="43"/>
        <v>0 - 2</v>
      </c>
      <c r="O171" t="str">
        <f t="shared" si="44"/>
        <v>Red</v>
      </c>
      <c r="P171" t="str">
        <f t="shared" si="45"/>
        <v>Red</v>
      </c>
      <c r="Q171" t="str">
        <f t="shared" si="46"/>
        <v>Green</v>
      </c>
      <c r="R171" t="str">
        <f t="shared" si="47"/>
        <v>Red</v>
      </c>
      <c r="S171" t="str">
        <f t="shared" si="48"/>
        <v>Green</v>
      </c>
      <c r="T171" t="str">
        <f t="shared" si="49"/>
        <v>Green</v>
      </c>
      <c r="U171" t="str">
        <f t="shared" si="50"/>
        <v>Red</v>
      </c>
      <c r="V171" t="str">
        <f t="shared" si="51"/>
        <v>Red</v>
      </c>
      <c r="W171" t="str">
        <f t="shared" si="52"/>
        <v>Green</v>
      </c>
      <c r="X171" t="str">
        <f t="shared" si="53"/>
        <v>Green</v>
      </c>
      <c r="Y171" t="str">
        <f t="shared" si="54"/>
        <v>Green</v>
      </c>
      <c r="Z171" t="str">
        <f t="shared" si="55"/>
        <v>Red</v>
      </c>
      <c r="AA171" t="str">
        <f t="shared" si="56"/>
        <v>Green</v>
      </c>
      <c r="AB171" t="str">
        <f t="shared" si="57"/>
        <v>Green</v>
      </c>
      <c r="AC171" t="str">
        <f t="shared" si="58"/>
        <v>Red</v>
      </c>
      <c r="AD171" t="str">
        <f t="shared" si="59"/>
        <v>Green</v>
      </c>
    </row>
    <row r="172" spans="1:30" x14ac:dyDescent="0.25">
      <c r="A172" t="str">
        <f t="shared" si="40"/>
        <v>21/07/2026ClydeAnnan Athletic</v>
      </c>
      <c r="D172" s="2">
        <v>46224</v>
      </c>
      <c r="E172" s="3">
        <v>0.78125</v>
      </c>
      <c r="F172" t="s">
        <v>1406</v>
      </c>
      <c r="G172" t="s">
        <v>1407</v>
      </c>
      <c r="H172">
        <v>4</v>
      </c>
      <c r="I172">
        <v>1</v>
      </c>
      <c r="J172">
        <v>4</v>
      </c>
      <c r="K172">
        <v>1</v>
      </c>
      <c r="L172" s="22" t="str">
        <f t="shared" si="41"/>
        <v>21/07/2026</v>
      </c>
      <c r="M172" s="23">
        <f t="shared" si="42"/>
        <v>0.65625</v>
      </c>
      <c r="N172" t="str">
        <f t="shared" si="43"/>
        <v>4 - 1</v>
      </c>
      <c r="O172" t="str">
        <f t="shared" si="44"/>
        <v>Green</v>
      </c>
      <c r="P172" t="str">
        <f t="shared" si="45"/>
        <v>Red</v>
      </c>
      <c r="Q172" t="str">
        <f t="shared" si="46"/>
        <v>Red</v>
      </c>
      <c r="R172" t="str">
        <f t="shared" si="47"/>
        <v>Green</v>
      </c>
      <c r="S172" t="str">
        <f t="shared" si="48"/>
        <v>Red</v>
      </c>
      <c r="T172" t="str">
        <f t="shared" si="49"/>
        <v>Green</v>
      </c>
      <c r="U172" t="str">
        <f t="shared" si="50"/>
        <v>Green</v>
      </c>
      <c r="V172" t="str">
        <f t="shared" si="51"/>
        <v>Red</v>
      </c>
      <c r="W172" t="str">
        <f t="shared" si="52"/>
        <v>Red</v>
      </c>
      <c r="X172" t="str">
        <f t="shared" si="53"/>
        <v>Green</v>
      </c>
      <c r="Y172" t="str">
        <f t="shared" si="54"/>
        <v>Green</v>
      </c>
      <c r="Z172" t="str">
        <f t="shared" si="55"/>
        <v>Green</v>
      </c>
      <c r="AA172" t="str">
        <f t="shared" si="56"/>
        <v>Red</v>
      </c>
      <c r="AB172" t="str">
        <f t="shared" si="57"/>
        <v>Red</v>
      </c>
      <c r="AC172" t="str">
        <f t="shared" si="58"/>
        <v>Green</v>
      </c>
      <c r="AD172" t="str">
        <f t="shared" si="59"/>
        <v>Red</v>
      </c>
    </row>
    <row r="173" spans="1:30" x14ac:dyDescent="0.25">
      <c r="A173" t="str">
        <f t="shared" si="40"/>
        <v>21/07/2026Dundee UnitedSpartans</v>
      </c>
      <c r="D173" s="2">
        <v>46224</v>
      </c>
      <c r="E173" s="3">
        <v>0.78125</v>
      </c>
      <c r="F173" t="s">
        <v>1408</v>
      </c>
      <c r="G173" t="s">
        <v>1409</v>
      </c>
      <c r="H173">
        <v>1</v>
      </c>
      <c r="I173">
        <v>0</v>
      </c>
      <c r="J173">
        <v>4</v>
      </c>
      <c r="K173">
        <v>0</v>
      </c>
      <c r="L173" s="22" t="str">
        <f t="shared" si="41"/>
        <v>21/07/2026</v>
      </c>
      <c r="M173" s="23">
        <f t="shared" si="42"/>
        <v>0.65625</v>
      </c>
      <c r="N173" t="str">
        <f t="shared" si="43"/>
        <v>4 - 0</v>
      </c>
      <c r="O173" t="str">
        <f t="shared" si="44"/>
        <v>Green</v>
      </c>
      <c r="P173" t="str">
        <f t="shared" si="45"/>
        <v>Red</v>
      </c>
      <c r="Q173" t="str">
        <f t="shared" si="46"/>
        <v>Red</v>
      </c>
      <c r="R173" t="str">
        <f t="shared" si="47"/>
        <v>Green</v>
      </c>
      <c r="S173" t="str">
        <f t="shared" si="48"/>
        <v>Red</v>
      </c>
      <c r="T173" t="str">
        <f t="shared" si="49"/>
        <v>Green</v>
      </c>
      <c r="U173" t="str">
        <f t="shared" si="50"/>
        <v>Green</v>
      </c>
      <c r="V173" t="str">
        <f t="shared" si="51"/>
        <v>Red</v>
      </c>
      <c r="W173" t="str">
        <f t="shared" si="52"/>
        <v>Red</v>
      </c>
      <c r="X173" t="str">
        <f t="shared" si="53"/>
        <v>Green</v>
      </c>
      <c r="Y173" t="str">
        <f t="shared" si="54"/>
        <v>Green</v>
      </c>
      <c r="Z173" t="str">
        <f t="shared" si="55"/>
        <v>Green</v>
      </c>
      <c r="AA173" t="str">
        <f t="shared" si="56"/>
        <v>Red</v>
      </c>
      <c r="AB173" t="str">
        <f t="shared" si="57"/>
        <v>Red</v>
      </c>
      <c r="AC173" t="str">
        <f t="shared" si="58"/>
        <v>Red</v>
      </c>
      <c r="AD173" t="str">
        <f t="shared" si="59"/>
        <v>Green</v>
      </c>
    </row>
    <row r="174" spans="1:30" x14ac:dyDescent="0.25">
      <c r="A174" t="str">
        <f t="shared" si="40"/>
        <v>21/07/2026Dunfermline AthleticCove Rangers</v>
      </c>
      <c r="D174" s="2">
        <v>46224</v>
      </c>
      <c r="E174" s="3">
        <v>0.78125</v>
      </c>
      <c r="F174" t="s">
        <v>1053</v>
      </c>
      <c r="G174" t="s">
        <v>1410</v>
      </c>
      <c r="H174">
        <v>3</v>
      </c>
      <c r="I174">
        <v>0</v>
      </c>
      <c r="J174">
        <v>5</v>
      </c>
      <c r="K174">
        <v>0</v>
      </c>
      <c r="L174" s="22" t="str">
        <f t="shared" si="41"/>
        <v>21/07/2026</v>
      </c>
      <c r="M174" s="23">
        <f t="shared" si="42"/>
        <v>0.65625</v>
      </c>
      <c r="N174" t="str">
        <f t="shared" si="43"/>
        <v>5 - 0</v>
      </c>
      <c r="O174" t="str">
        <f t="shared" si="44"/>
        <v>Green</v>
      </c>
      <c r="P174" t="str">
        <f t="shared" si="45"/>
        <v>Red</v>
      </c>
      <c r="Q174" t="str">
        <f t="shared" si="46"/>
        <v>Red</v>
      </c>
      <c r="R174" t="str">
        <f t="shared" si="47"/>
        <v>Green</v>
      </c>
      <c r="S174" t="str">
        <f t="shared" si="48"/>
        <v>Red</v>
      </c>
      <c r="T174" t="str">
        <f t="shared" si="49"/>
        <v>Green</v>
      </c>
      <c r="U174" t="str">
        <f t="shared" si="50"/>
        <v>Green</v>
      </c>
      <c r="V174" t="str">
        <f t="shared" si="51"/>
        <v>Red</v>
      </c>
      <c r="W174" t="str">
        <f t="shared" si="52"/>
        <v>Red</v>
      </c>
      <c r="X174" t="str">
        <f t="shared" si="53"/>
        <v>Green</v>
      </c>
      <c r="Y174" t="str">
        <f t="shared" si="54"/>
        <v>Green</v>
      </c>
      <c r="Z174" t="str">
        <f t="shared" si="55"/>
        <v>Green</v>
      </c>
      <c r="AA174" t="str">
        <f t="shared" si="56"/>
        <v>Red</v>
      </c>
      <c r="AB174" t="str">
        <f t="shared" si="57"/>
        <v>Red</v>
      </c>
      <c r="AC174" t="str">
        <f t="shared" si="58"/>
        <v>Red</v>
      </c>
      <c r="AD174" t="str">
        <f t="shared" si="59"/>
        <v>Green</v>
      </c>
    </row>
    <row r="175" spans="1:30" x14ac:dyDescent="0.25">
      <c r="A175" t="str">
        <f t="shared" si="40"/>
        <v>21/07/2026East FifeLinlithgow Rose</v>
      </c>
      <c r="D175" s="2">
        <v>46224</v>
      </c>
      <c r="E175" s="3">
        <v>0.78125</v>
      </c>
      <c r="F175" t="s">
        <v>1411</v>
      </c>
      <c r="G175" t="s">
        <v>1412</v>
      </c>
      <c r="H175">
        <v>0</v>
      </c>
      <c r="I175">
        <v>1</v>
      </c>
      <c r="J175">
        <v>3</v>
      </c>
      <c r="K175">
        <v>1</v>
      </c>
      <c r="L175" s="22" t="str">
        <f t="shared" si="41"/>
        <v>21/07/2026</v>
      </c>
      <c r="M175" s="23">
        <f t="shared" si="42"/>
        <v>0.65625</v>
      </c>
      <c r="N175" t="str">
        <f t="shared" si="43"/>
        <v>3 - 1</v>
      </c>
      <c r="O175" t="str">
        <f t="shared" si="44"/>
        <v>Green</v>
      </c>
      <c r="P175" t="str">
        <f t="shared" si="45"/>
        <v>Red</v>
      </c>
      <c r="Q175" t="str">
        <f t="shared" si="46"/>
        <v>Red</v>
      </c>
      <c r="R175" t="str">
        <f t="shared" si="47"/>
        <v>Green</v>
      </c>
      <c r="S175" t="str">
        <f t="shared" si="48"/>
        <v>Red</v>
      </c>
      <c r="T175" t="str">
        <f t="shared" si="49"/>
        <v>Green</v>
      </c>
      <c r="U175" t="str">
        <f t="shared" si="50"/>
        <v>Red</v>
      </c>
      <c r="V175" t="str">
        <f t="shared" si="51"/>
        <v>Red</v>
      </c>
      <c r="W175" t="str">
        <f t="shared" si="52"/>
        <v>Green</v>
      </c>
      <c r="X175" t="str">
        <f t="shared" si="53"/>
        <v>Green</v>
      </c>
      <c r="Y175" t="str">
        <f t="shared" si="54"/>
        <v>Green</v>
      </c>
      <c r="Z175" t="str">
        <f t="shared" si="55"/>
        <v>Green</v>
      </c>
      <c r="AA175" t="str">
        <f t="shared" si="56"/>
        <v>Red</v>
      </c>
      <c r="AB175" t="str">
        <f t="shared" si="57"/>
        <v>Red</v>
      </c>
      <c r="AC175" t="str">
        <f t="shared" si="58"/>
        <v>Green</v>
      </c>
      <c r="AD175" t="str">
        <f t="shared" si="59"/>
        <v>Red</v>
      </c>
    </row>
    <row r="176" spans="1:30" x14ac:dyDescent="0.25">
      <c r="A176" t="str">
        <f t="shared" si="40"/>
        <v>21/07/2026Inverness CTSt Johnstone</v>
      </c>
      <c r="D176" s="2">
        <v>46224</v>
      </c>
      <c r="E176" s="3">
        <v>0.78125</v>
      </c>
      <c r="F176" t="s">
        <v>1413</v>
      </c>
      <c r="G176" t="s">
        <v>1414</v>
      </c>
      <c r="H176">
        <v>1</v>
      </c>
      <c r="I176">
        <v>0</v>
      </c>
      <c r="J176">
        <v>1</v>
      </c>
      <c r="K176">
        <v>0</v>
      </c>
      <c r="L176" s="22" t="str">
        <f t="shared" si="41"/>
        <v>21/07/2026</v>
      </c>
      <c r="M176" s="23">
        <f t="shared" si="42"/>
        <v>0.65625</v>
      </c>
      <c r="N176" t="str">
        <f t="shared" si="43"/>
        <v>1 - 0</v>
      </c>
      <c r="O176" t="str">
        <f t="shared" si="44"/>
        <v>Green</v>
      </c>
      <c r="P176" t="str">
        <f t="shared" si="45"/>
        <v>Red</v>
      </c>
      <c r="Q176" t="str">
        <f t="shared" si="46"/>
        <v>Red</v>
      </c>
      <c r="R176" t="str">
        <f t="shared" si="47"/>
        <v>Green</v>
      </c>
      <c r="S176" t="str">
        <f t="shared" si="48"/>
        <v>Red</v>
      </c>
      <c r="T176" t="str">
        <f t="shared" si="49"/>
        <v>Green</v>
      </c>
      <c r="U176" t="str">
        <f t="shared" si="50"/>
        <v>Green</v>
      </c>
      <c r="V176" t="str">
        <f t="shared" si="51"/>
        <v>Red</v>
      </c>
      <c r="W176" t="str">
        <f t="shared" si="52"/>
        <v>Red</v>
      </c>
      <c r="X176" t="str">
        <f t="shared" si="53"/>
        <v>Green</v>
      </c>
      <c r="Y176" t="str">
        <f t="shared" si="54"/>
        <v>Red</v>
      </c>
      <c r="Z176" t="str">
        <f t="shared" si="55"/>
        <v>Red</v>
      </c>
      <c r="AA176" t="str">
        <f t="shared" si="56"/>
        <v>Green</v>
      </c>
      <c r="AB176" t="str">
        <f t="shared" si="57"/>
        <v>Green</v>
      </c>
      <c r="AC176" t="str">
        <f t="shared" si="58"/>
        <v>Red</v>
      </c>
      <c r="AD176" t="str">
        <f t="shared" si="59"/>
        <v>Green</v>
      </c>
    </row>
    <row r="177" spans="1:30" x14ac:dyDescent="0.25">
      <c r="A177" t="str">
        <f t="shared" si="40"/>
        <v>21/07/2026Kelty HeartsBrora Rangers</v>
      </c>
      <c r="D177" s="2">
        <v>46224</v>
      </c>
      <c r="E177" s="3">
        <v>0.78125</v>
      </c>
      <c r="F177" t="s">
        <v>1415</v>
      </c>
      <c r="G177" t="s">
        <v>1416</v>
      </c>
      <c r="H177">
        <v>2</v>
      </c>
      <c r="I177">
        <v>1</v>
      </c>
      <c r="J177">
        <v>3</v>
      </c>
      <c r="K177">
        <v>2</v>
      </c>
      <c r="L177" s="22" t="str">
        <f t="shared" si="41"/>
        <v>21/07/2026</v>
      </c>
      <c r="M177" s="23">
        <f t="shared" si="42"/>
        <v>0.65625</v>
      </c>
      <c r="N177" t="str">
        <f t="shared" si="43"/>
        <v>3 - 2</v>
      </c>
      <c r="O177" t="str">
        <f t="shared" si="44"/>
        <v>Green</v>
      </c>
      <c r="P177" t="str">
        <f t="shared" si="45"/>
        <v>Red</v>
      </c>
      <c r="Q177" t="str">
        <f t="shared" si="46"/>
        <v>Red</v>
      </c>
      <c r="R177" t="str">
        <f t="shared" si="47"/>
        <v>Green</v>
      </c>
      <c r="S177" t="str">
        <f t="shared" si="48"/>
        <v>Red</v>
      </c>
      <c r="T177" t="str">
        <f t="shared" si="49"/>
        <v>Green</v>
      </c>
      <c r="U177" t="str">
        <f t="shared" si="50"/>
        <v>Green</v>
      </c>
      <c r="V177" t="str">
        <f t="shared" si="51"/>
        <v>Red</v>
      </c>
      <c r="W177" t="str">
        <f t="shared" si="52"/>
        <v>Red</v>
      </c>
      <c r="X177" t="str">
        <f t="shared" si="53"/>
        <v>Green</v>
      </c>
      <c r="Y177" t="str">
        <f t="shared" si="54"/>
        <v>Green</v>
      </c>
      <c r="Z177" t="str">
        <f t="shared" si="55"/>
        <v>Green</v>
      </c>
      <c r="AA177" t="str">
        <f t="shared" si="56"/>
        <v>Red</v>
      </c>
      <c r="AB177" t="str">
        <f t="shared" si="57"/>
        <v>Red</v>
      </c>
      <c r="AC177" t="str">
        <f t="shared" si="58"/>
        <v>Green</v>
      </c>
      <c r="AD177" t="str">
        <f t="shared" si="59"/>
        <v>Red</v>
      </c>
    </row>
    <row r="178" spans="1:30" x14ac:dyDescent="0.25">
      <c r="A178" t="str">
        <f t="shared" si="40"/>
        <v>21/07/2026KilmarnockHamilton Academical</v>
      </c>
      <c r="D178" s="2">
        <v>46224</v>
      </c>
      <c r="E178" s="3">
        <v>0.78125</v>
      </c>
      <c r="F178" t="s">
        <v>1417</v>
      </c>
      <c r="G178" t="s">
        <v>1418</v>
      </c>
      <c r="H178">
        <v>0</v>
      </c>
      <c r="I178">
        <v>0</v>
      </c>
      <c r="J178">
        <v>1</v>
      </c>
      <c r="K178">
        <v>0</v>
      </c>
      <c r="L178" s="22" t="str">
        <f t="shared" si="41"/>
        <v>21/07/2026</v>
      </c>
      <c r="M178" s="23">
        <f t="shared" si="42"/>
        <v>0.65625</v>
      </c>
      <c r="N178" t="str">
        <f t="shared" si="43"/>
        <v>1 - 0</v>
      </c>
      <c r="O178" t="str">
        <f t="shared" si="44"/>
        <v>Green</v>
      </c>
      <c r="P178" t="str">
        <f t="shared" si="45"/>
        <v>Red</v>
      </c>
      <c r="Q178" t="str">
        <f t="shared" si="46"/>
        <v>Red</v>
      </c>
      <c r="R178" t="str">
        <f t="shared" si="47"/>
        <v>Green</v>
      </c>
      <c r="S178" t="str">
        <f t="shared" si="48"/>
        <v>Red</v>
      </c>
      <c r="T178" t="str">
        <f t="shared" si="49"/>
        <v>Green</v>
      </c>
      <c r="U178" t="str">
        <f t="shared" si="50"/>
        <v>Red</v>
      </c>
      <c r="V178" t="str">
        <f t="shared" si="51"/>
        <v>Green</v>
      </c>
      <c r="W178" t="str">
        <f t="shared" si="52"/>
        <v>Red</v>
      </c>
      <c r="X178" t="str">
        <f t="shared" si="53"/>
        <v>Red</v>
      </c>
      <c r="Y178" t="str">
        <f t="shared" si="54"/>
        <v>Red</v>
      </c>
      <c r="Z178" t="str">
        <f t="shared" si="55"/>
        <v>Red</v>
      </c>
      <c r="AA178" t="str">
        <f t="shared" si="56"/>
        <v>Green</v>
      </c>
      <c r="AB178" t="str">
        <f t="shared" si="57"/>
        <v>Green</v>
      </c>
      <c r="AC178" t="str">
        <f t="shared" si="58"/>
        <v>Red</v>
      </c>
      <c r="AD178" t="str">
        <f t="shared" si="59"/>
        <v>Green</v>
      </c>
    </row>
    <row r="179" spans="1:30" x14ac:dyDescent="0.25">
      <c r="A179" t="str">
        <f t="shared" si="40"/>
        <v>21/07/2026LivingstonForfar Athletic</v>
      </c>
      <c r="D179" s="2">
        <v>46224</v>
      </c>
      <c r="E179" s="3">
        <v>0.78125</v>
      </c>
      <c r="F179" t="s">
        <v>1419</v>
      </c>
      <c r="G179" t="s">
        <v>1420</v>
      </c>
      <c r="H179">
        <v>4</v>
      </c>
      <c r="I179">
        <v>0</v>
      </c>
      <c r="J179">
        <v>8</v>
      </c>
      <c r="K179">
        <v>0</v>
      </c>
      <c r="L179" s="22" t="str">
        <f t="shared" si="41"/>
        <v>21/07/2026</v>
      </c>
      <c r="M179" s="23">
        <f t="shared" si="42"/>
        <v>0.65625</v>
      </c>
      <c r="N179" t="str">
        <f t="shared" si="43"/>
        <v>8 - 0</v>
      </c>
      <c r="O179" t="str">
        <f t="shared" si="44"/>
        <v>Green</v>
      </c>
      <c r="P179" t="str">
        <f t="shared" si="45"/>
        <v>Red</v>
      </c>
      <c r="Q179" t="str">
        <f t="shared" si="46"/>
        <v>Red</v>
      </c>
      <c r="R179" t="str">
        <f t="shared" si="47"/>
        <v>Green</v>
      </c>
      <c r="S179" t="str">
        <f t="shared" si="48"/>
        <v>Red</v>
      </c>
      <c r="T179" t="str">
        <f t="shared" si="49"/>
        <v>Green</v>
      </c>
      <c r="U179" t="str">
        <f t="shared" si="50"/>
        <v>Green</v>
      </c>
      <c r="V179" t="str">
        <f t="shared" si="51"/>
        <v>Red</v>
      </c>
      <c r="W179" t="str">
        <f t="shared" si="52"/>
        <v>Red</v>
      </c>
      <c r="X179" t="str">
        <f t="shared" si="53"/>
        <v>Green</v>
      </c>
      <c r="Y179" t="str">
        <f t="shared" si="54"/>
        <v>Green</v>
      </c>
      <c r="Z179" t="str">
        <f t="shared" si="55"/>
        <v>Green</v>
      </c>
      <c r="AA179" t="str">
        <f t="shared" si="56"/>
        <v>Red</v>
      </c>
      <c r="AB179" t="str">
        <f t="shared" si="57"/>
        <v>Red</v>
      </c>
      <c r="AC179" t="str">
        <f t="shared" si="58"/>
        <v>Red</v>
      </c>
      <c r="AD179" t="str">
        <f t="shared" si="59"/>
        <v>Green</v>
      </c>
    </row>
    <row r="180" spans="1:30" x14ac:dyDescent="0.25">
      <c r="A180" t="str">
        <f t="shared" si="40"/>
        <v>21/07/2026Partick ThistleStenhousemuir</v>
      </c>
      <c r="D180" s="2">
        <v>46224</v>
      </c>
      <c r="E180" s="3">
        <v>0.78125</v>
      </c>
      <c r="F180" t="s">
        <v>1421</v>
      </c>
      <c r="G180" t="s">
        <v>1422</v>
      </c>
      <c r="H180">
        <v>1</v>
      </c>
      <c r="I180">
        <v>2</v>
      </c>
      <c r="J180">
        <v>2</v>
      </c>
      <c r="K180">
        <v>2</v>
      </c>
      <c r="L180" s="22" t="str">
        <f t="shared" si="41"/>
        <v>21/07/2026</v>
      </c>
      <c r="M180" s="23">
        <f t="shared" si="42"/>
        <v>0.65625</v>
      </c>
      <c r="N180" t="str">
        <f t="shared" si="43"/>
        <v>2 - 2</v>
      </c>
      <c r="O180" t="str">
        <f t="shared" si="44"/>
        <v>Red</v>
      </c>
      <c r="P180" t="str">
        <f t="shared" si="45"/>
        <v>Green</v>
      </c>
      <c r="Q180" t="str">
        <f t="shared" si="46"/>
        <v>Red</v>
      </c>
      <c r="R180" t="str">
        <f t="shared" si="47"/>
        <v>Green</v>
      </c>
      <c r="S180" t="str">
        <f t="shared" si="48"/>
        <v>Green</v>
      </c>
      <c r="T180" t="str">
        <f t="shared" si="49"/>
        <v>Red</v>
      </c>
      <c r="U180" t="str">
        <f t="shared" si="50"/>
        <v>Red</v>
      </c>
      <c r="V180" t="str">
        <f t="shared" si="51"/>
        <v>Red</v>
      </c>
      <c r="W180" t="str">
        <f t="shared" si="52"/>
        <v>Green</v>
      </c>
      <c r="X180" t="str">
        <f t="shared" si="53"/>
        <v>Green</v>
      </c>
      <c r="Y180" t="str">
        <f t="shared" si="54"/>
        <v>Green</v>
      </c>
      <c r="Z180" t="str">
        <f t="shared" si="55"/>
        <v>Green</v>
      </c>
      <c r="AA180" t="str">
        <f t="shared" si="56"/>
        <v>Red</v>
      </c>
      <c r="AB180" t="str">
        <f t="shared" si="57"/>
        <v>Red</v>
      </c>
      <c r="AC180" t="str">
        <f t="shared" si="58"/>
        <v>Green</v>
      </c>
      <c r="AD180" t="str">
        <f t="shared" si="59"/>
        <v>Red</v>
      </c>
    </row>
    <row r="181" spans="1:30" x14ac:dyDescent="0.25">
      <c r="A181" t="str">
        <f t="shared" si="40"/>
        <v>21/07/2026Raith RoversPeterhead</v>
      </c>
      <c r="D181" s="2">
        <v>46224</v>
      </c>
      <c r="E181" s="3">
        <v>0.78125</v>
      </c>
      <c r="F181" t="s">
        <v>1423</v>
      </c>
      <c r="G181" t="s">
        <v>1424</v>
      </c>
      <c r="H181">
        <v>1</v>
      </c>
      <c r="I181">
        <v>0</v>
      </c>
      <c r="J181">
        <v>1</v>
      </c>
      <c r="K181">
        <v>0</v>
      </c>
      <c r="L181" s="22" t="str">
        <f t="shared" si="41"/>
        <v>21/07/2026</v>
      </c>
      <c r="M181" s="23">
        <f t="shared" si="42"/>
        <v>0.65625</v>
      </c>
      <c r="N181" t="str">
        <f t="shared" si="43"/>
        <v>1 - 0</v>
      </c>
      <c r="O181" t="str">
        <f t="shared" si="44"/>
        <v>Green</v>
      </c>
      <c r="P181" t="str">
        <f t="shared" si="45"/>
        <v>Red</v>
      </c>
      <c r="Q181" t="str">
        <f t="shared" si="46"/>
        <v>Red</v>
      </c>
      <c r="R181" t="str">
        <f t="shared" si="47"/>
        <v>Green</v>
      </c>
      <c r="S181" t="str">
        <f t="shared" si="48"/>
        <v>Red</v>
      </c>
      <c r="T181" t="str">
        <f t="shared" si="49"/>
        <v>Green</v>
      </c>
      <c r="U181" t="str">
        <f t="shared" si="50"/>
        <v>Green</v>
      </c>
      <c r="V181" t="str">
        <f t="shared" si="51"/>
        <v>Red</v>
      </c>
      <c r="W181" t="str">
        <f t="shared" si="52"/>
        <v>Red</v>
      </c>
      <c r="X181" t="str">
        <f t="shared" si="53"/>
        <v>Green</v>
      </c>
      <c r="Y181" t="str">
        <f t="shared" si="54"/>
        <v>Red</v>
      </c>
      <c r="Z181" t="str">
        <f t="shared" si="55"/>
        <v>Red</v>
      </c>
      <c r="AA181" t="str">
        <f t="shared" si="56"/>
        <v>Green</v>
      </c>
      <c r="AB181" t="str">
        <f t="shared" si="57"/>
        <v>Green</v>
      </c>
      <c r="AC181" t="str">
        <f t="shared" si="58"/>
        <v>Red</v>
      </c>
      <c r="AD181" t="str">
        <f t="shared" si="59"/>
        <v>Green</v>
      </c>
    </row>
    <row r="182" spans="1:30" x14ac:dyDescent="0.25">
      <c r="A182" t="str">
        <f t="shared" si="40"/>
        <v>21/07/2026Ross CountyDundee</v>
      </c>
      <c r="D182" s="2">
        <v>46224</v>
      </c>
      <c r="E182" s="3">
        <v>0.78125</v>
      </c>
      <c r="F182" t="s">
        <v>1425</v>
      </c>
      <c r="G182" t="s">
        <v>1426</v>
      </c>
      <c r="H182">
        <v>0</v>
      </c>
      <c r="I182">
        <v>1</v>
      </c>
      <c r="J182">
        <v>1</v>
      </c>
      <c r="K182">
        <v>1</v>
      </c>
      <c r="L182" s="22" t="str">
        <f t="shared" si="41"/>
        <v>21/07/2026</v>
      </c>
      <c r="M182" s="23">
        <f t="shared" si="42"/>
        <v>0.65625</v>
      </c>
      <c r="N182" t="str">
        <f t="shared" si="43"/>
        <v>1 - 1</v>
      </c>
      <c r="O182" t="str">
        <f t="shared" si="44"/>
        <v>Red</v>
      </c>
      <c r="P182" t="str">
        <f t="shared" si="45"/>
        <v>Green</v>
      </c>
      <c r="Q182" t="str">
        <f t="shared" si="46"/>
        <v>Red</v>
      </c>
      <c r="R182" t="str">
        <f t="shared" si="47"/>
        <v>Green</v>
      </c>
      <c r="S182" t="str">
        <f t="shared" si="48"/>
        <v>Green</v>
      </c>
      <c r="T182" t="str">
        <f t="shared" si="49"/>
        <v>Red</v>
      </c>
      <c r="U182" t="str">
        <f t="shared" si="50"/>
        <v>Red</v>
      </c>
      <c r="V182" t="str">
        <f t="shared" si="51"/>
        <v>Red</v>
      </c>
      <c r="W182" t="str">
        <f t="shared" si="52"/>
        <v>Green</v>
      </c>
      <c r="X182" t="str">
        <f t="shared" si="53"/>
        <v>Green</v>
      </c>
      <c r="Y182" t="str">
        <f t="shared" si="54"/>
        <v>Green</v>
      </c>
      <c r="Z182" t="str">
        <f t="shared" si="55"/>
        <v>Red</v>
      </c>
      <c r="AA182" t="str">
        <f t="shared" si="56"/>
        <v>Green</v>
      </c>
      <c r="AB182" t="str">
        <f t="shared" si="57"/>
        <v>Green</v>
      </c>
      <c r="AC182" t="str">
        <f t="shared" si="58"/>
        <v>Green</v>
      </c>
      <c r="AD182" t="str">
        <f t="shared" si="59"/>
        <v>Red</v>
      </c>
    </row>
    <row r="183" spans="1:30" x14ac:dyDescent="0.25">
      <c r="A183" t="str">
        <f t="shared" si="40"/>
        <v>21/07/2026St. MirrenEast Kilbride</v>
      </c>
      <c r="D183" s="2">
        <v>46224</v>
      </c>
      <c r="E183" s="3">
        <v>0.78125</v>
      </c>
      <c r="F183" t="s">
        <v>1427</v>
      </c>
      <c r="G183" t="s">
        <v>1428</v>
      </c>
      <c r="H183">
        <v>0</v>
      </c>
      <c r="I183">
        <v>2</v>
      </c>
      <c r="J183">
        <v>4</v>
      </c>
      <c r="K183">
        <v>3</v>
      </c>
      <c r="L183" s="22" t="str">
        <f t="shared" si="41"/>
        <v>21/07/2026</v>
      </c>
      <c r="M183" s="23">
        <f t="shared" si="42"/>
        <v>0.65625</v>
      </c>
      <c r="N183" t="str">
        <f t="shared" si="43"/>
        <v>4 - 3</v>
      </c>
      <c r="O183" t="str">
        <f t="shared" si="44"/>
        <v>Green</v>
      </c>
      <c r="P183" t="str">
        <f t="shared" si="45"/>
        <v>Red</v>
      </c>
      <c r="Q183" t="str">
        <f t="shared" si="46"/>
        <v>Red</v>
      </c>
      <c r="R183" t="str">
        <f t="shared" si="47"/>
        <v>Green</v>
      </c>
      <c r="S183" t="str">
        <f t="shared" si="48"/>
        <v>Red</v>
      </c>
      <c r="T183" t="str">
        <f t="shared" si="49"/>
        <v>Green</v>
      </c>
      <c r="U183" t="str">
        <f t="shared" si="50"/>
        <v>Red</v>
      </c>
      <c r="V183" t="str">
        <f t="shared" si="51"/>
        <v>Red</v>
      </c>
      <c r="W183" t="str">
        <f t="shared" si="52"/>
        <v>Green</v>
      </c>
      <c r="X183" t="str">
        <f t="shared" si="53"/>
        <v>Green</v>
      </c>
      <c r="Y183" t="str">
        <f t="shared" si="54"/>
        <v>Green</v>
      </c>
      <c r="Z183" t="str">
        <f t="shared" si="55"/>
        <v>Green</v>
      </c>
      <c r="AA183" t="str">
        <f t="shared" si="56"/>
        <v>Red</v>
      </c>
      <c r="AB183" t="str">
        <f t="shared" si="57"/>
        <v>Red</v>
      </c>
      <c r="AC183" t="str">
        <f t="shared" si="58"/>
        <v>Green</v>
      </c>
      <c r="AD183" t="str">
        <f t="shared" si="59"/>
        <v>Red</v>
      </c>
    </row>
    <row r="184" spans="1:30" x14ac:dyDescent="0.25">
      <c r="A184" t="str">
        <f t="shared" si="40"/>
        <v>21/07/2026StranraerEdinburgh City</v>
      </c>
      <c r="D184" s="2">
        <v>46224</v>
      </c>
      <c r="E184" s="3">
        <v>0.78125</v>
      </c>
      <c r="F184" t="s">
        <v>1429</v>
      </c>
      <c r="G184" t="s">
        <v>1430</v>
      </c>
      <c r="H184">
        <v>0</v>
      </c>
      <c r="I184">
        <v>2</v>
      </c>
      <c r="J184">
        <v>0</v>
      </c>
      <c r="K184">
        <v>2</v>
      </c>
      <c r="L184" s="22" t="str">
        <f t="shared" si="41"/>
        <v>21/07/2026</v>
      </c>
      <c r="M184" s="23">
        <f t="shared" si="42"/>
        <v>0.65625</v>
      </c>
      <c r="N184" t="str">
        <f t="shared" si="43"/>
        <v>0 - 2</v>
      </c>
      <c r="O184" t="str">
        <f t="shared" si="44"/>
        <v>Red</v>
      </c>
      <c r="P184" t="str">
        <f t="shared" si="45"/>
        <v>Red</v>
      </c>
      <c r="Q184" t="str">
        <f t="shared" si="46"/>
        <v>Green</v>
      </c>
      <c r="R184" t="str">
        <f t="shared" si="47"/>
        <v>Red</v>
      </c>
      <c r="S184" t="str">
        <f t="shared" si="48"/>
        <v>Green</v>
      </c>
      <c r="T184" t="str">
        <f t="shared" si="49"/>
        <v>Green</v>
      </c>
      <c r="U184" t="str">
        <f t="shared" si="50"/>
        <v>Red</v>
      </c>
      <c r="V184" t="str">
        <f t="shared" si="51"/>
        <v>Red</v>
      </c>
      <c r="W184" t="str">
        <f t="shared" si="52"/>
        <v>Green</v>
      </c>
      <c r="X184" t="str">
        <f t="shared" si="53"/>
        <v>Green</v>
      </c>
      <c r="Y184" t="str">
        <f t="shared" si="54"/>
        <v>Green</v>
      </c>
      <c r="Z184" t="str">
        <f t="shared" si="55"/>
        <v>Red</v>
      </c>
      <c r="AA184" t="str">
        <f t="shared" si="56"/>
        <v>Green</v>
      </c>
      <c r="AB184" t="str">
        <f t="shared" si="57"/>
        <v>Green</v>
      </c>
      <c r="AC184" t="str">
        <f t="shared" si="58"/>
        <v>Red</v>
      </c>
      <c r="AD184" t="str">
        <f t="shared" si="59"/>
        <v>Green</v>
      </c>
    </row>
    <row r="185" spans="1:30" x14ac:dyDescent="0.25">
      <c r="A185" t="str">
        <f t="shared" si="40"/>
        <v>21/07/2026AFC HornchurchLeyton Orient</v>
      </c>
      <c r="D185" s="2">
        <v>46224</v>
      </c>
      <c r="E185" s="3">
        <v>0.78125</v>
      </c>
      <c r="F185" t="s">
        <v>1539</v>
      </c>
      <c r="G185" t="s">
        <v>1490</v>
      </c>
      <c r="H185">
        <v>0</v>
      </c>
      <c r="I185">
        <v>0</v>
      </c>
      <c r="J185">
        <v>2</v>
      </c>
      <c r="K185">
        <v>1</v>
      </c>
      <c r="L185" s="22" t="str">
        <f t="shared" si="41"/>
        <v>21/07/2026</v>
      </c>
      <c r="M185" s="23">
        <f t="shared" si="42"/>
        <v>0.65625</v>
      </c>
      <c r="N185" t="str">
        <f t="shared" si="43"/>
        <v>2 - 1</v>
      </c>
      <c r="O185" t="str">
        <f t="shared" si="44"/>
        <v>Green</v>
      </c>
      <c r="P185" t="str">
        <f t="shared" si="45"/>
        <v>Red</v>
      </c>
      <c r="Q185" t="str">
        <f t="shared" si="46"/>
        <v>Red</v>
      </c>
      <c r="R185" t="str">
        <f t="shared" si="47"/>
        <v>Green</v>
      </c>
      <c r="S185" t="str">
        <f t="shared" si="48"/>
        <v>Red</v>
      </c>
      <c r="T185" t="str">
        <f t="shared" si="49"/>
        <v>Green</v>
      </c>
      <c r="U185" t="str">
        <f t="shared" si="50"/>
        <v>Red</v>
      </c>
      <c r="V185" t="str">
        <f t="shared" si="51"/>
        <v>Green</v>
      </c>
      <c r="W185" t="str">
        <f t="shared" si="52"/>
        <v>Red</v>
      </c>
      <c r="X185" t="str">
        <f t="shared" si="53"/>
        <v>Red</v>
      </c>
      <c r="Y185" t="str">
        <f t="shared" si="54"/>
        <v>Green</v>
      </c>
      <c r="Z185" t="str">
        <f t="shared" si="55"/>
        <v>Green</v>
      </c>
      <c r="AA185" t="str">
        <f t="shared" si="56"/>
        <v>Red</v>
      </c>
      <c r="AB185" t="str">
        <f t="shared" si="57"/>
        <v>Green</v>
      </c>
      <c r="AC185" t="str">
        <f t="shared" si="58"/>
        <v>Green</v>
      </c>
      <c r="AD185" t="str">
        <f t="shared" si="59"/>
        <v>Red</v>
      </c>
    </row>
    <row r="186" spans="1:30" x14ac:dyDescent="0.25">
      <c r="A186" t="str">
        <f t="shared" si="40"/>
        <v>21/07/2026Basingstoke TownChesham United</v>
      </c>
      <c r="D186" s="2">
        <v>46224</v>
      </c>
      <c r="E186" s="3">
        <v>0.78125</v>
      </c>
      <c r="F186" t="s">
        <v>1540</v>
      </c>
      <c r="G186" t="s">
        <v>1541</v>
      </c>
      <c r="H186">
        <v>2</v>
      </c>
      <c r="I186">
        <v>4</v>
      </c>
      <c r="J186">
        <v>2</v>
      </c>
      <c r="K186">
        <v>6</v>
      </c>
      <c r="L186" s="22" t="str">
        <f t="shared" si="41"/>
        <v>21/07/2026</v>
      </c>
      <c r="M186" s="23">
        <f t="shared" si="42"/>
        <v>0.65625</v>
      </c>
      <c r="N186" t="str">
        <f t="shared" si="43"/>
        <v>2 - 6</v>
      </c>
      <c r="O186" t="str">
        <f t="shared" si="44"/>
        <v>Red</v>
      </c>
      <c r="P186" t="str">
        <f t="shared" si="45"/>
        <v>Red</v>
      </c>
      <c r="Q186" t="str">
        <f t="shared" si="46"/>
        <v>Green</v>
      </c>
      <c r="R186" t="str">
        <f t="shared" si="47"/>
        <v>Red</v>
      </c>
      <c r="S186" t="str">
        <f t="shared" si="48"/>
        <v>Green</v>
      </c>
      <c r="T186" t="str">
        <f t="shared" si="49"/>
        <v>Green</v>
      </c>
      <c r="U186" t="str">
        <f t="shared" si="50"/>
        <v>Red</v>
      </c>
      <c r="V186" t="str">
        <f t="shared" si="51"/>
        <v>Red</v>
      </c>
      <c r="W186" t="str">
        <f t="shared" si="52"/>
        <v>Green</v>
      </c>
      <c r="X186" t="str">
        <f t="shared" si="53"/>
        <v>Green</v>
      </c>
      <c r="Y186" t="str">
        <f t="shared" si="54"/>
        <v>Green</v>
      </c>
      <c r="Z186" t="str">
        <f t="shared" si="55"/>
        <v>Green</v>
      </c>
      <c r="AA186" t="str">
        <f t="shared" si="56"/>
        <v>Red</v>
      </c>
      <c r="AB186" t="str">
        <f t="shared" si="57"/>
        <v>Red</v>
      </c>
      <c r="AC186" t="str">
        <f t="shared" si="58"/>
        <v>Green</v>
      </c>
      <c r="AD186" t="str">
        <f t="shared" si="59"/>
        <v>Red</v>
      </c>
    </row>
    <row r="187" spans="1:30" x14ac:dyDescent="0.25">
      <c r="A187" t="str">
        <f t="shared" si="40"/>
        <v>21/07/2026Bedworth UnitedBromsgrove Sporting</v>
      </c>
      <c r="D187" s="2">
        <v>46224</v>
      </c>
      <c r="E187" s="3">
        <v>0.78125</v>
      </c>
      <c r="F187" t="s">
        <v>1542</v>
      </c>
      <c r="G187" t="s">
        <v>1543</v>
      </c>
      <c r="H187">
        <v>0</v>
      </c>
      <c r="I187">
        <v>0</v>
      </c>
      <c r="J187">
        <v>0</v>
      </c>
      <c r="K187">
        <v>2</v>
      </c>
      <c r="L187" s="22" t="str">
        <f t="shared" si="41"/>
        <v>21/07/2026</v>
      </c>
      <c r="M187" s="23">
        <f t="shared" si="42"/>
        <v>0.65625</v>
      </c>
      <c r="N187" t="str">
        <f t="shared" si="43"/>
        <v>0 - 2</v>
      </c>
      <c r="O187" t="str">
        <f t="shared" si="44"/>
        <v>Red</v>
      </c>
      <c r="P187" t="str">
        <f t="shared" si="45"/>
        <v>Red</v>
      </c>
      <c r="Q187" t="str">
        <f t="shared" si="46"/>
        <v>Green</v>
      </c>
      <c r="R187" t="str">
        <f t="shared" si="47"/>
        <v>Red</v>
      </c>
      <c r="S187" t="str">
        <f t="shared" si="48"/>
        <v>Green</v>
      </c>
      <c r="T187" t="str">
        <f t="shared" si="49"/>
        <v>Green</v>
      </c>
      <c r="U187" t="str">
        <f t="shared" si="50"/>
        <v>Red</v>
      </c>
      <c r="V187" t="str">
        <f t="shared" si="51"/>
        <v>Green</v>
      </c>
      <c r="W187" t="str">
        <f t="shared" si="52"/>
        <v>Red</v>
      </c>
      <c r="X187" t="str">
        <f t="shared" si="53"/>
        <v>Red</v>
      </c>
      <c r="Y187" t="str">
        <f t="shared" si="54"/>
        <v>Green</v>
      </c>
      <c r="Z187" t="str">
        <f t="shared" si="55"/>
        <v>Red</v>
      </c>
      <c r="AA187" t="str">
        <f t="shared" si="56"/>
        <v>Green</v>
      </c>
      <c r="AB187" t="str">
        <f t="shared" si="57"/>
        <v>Green</v>
      </c>
      <c r="AC187" t="str">
        <f t="shared" si="58"/>
        <v>Red</v>
      </c>
      <c r="AD187" t="str">
        <f t="shared" si="59"/>
        <v>Green</v>
      </c>
    </row>
    <row r="188" spans="1:30" x14ac:dyDescent="0.25">
      <c r="A188" t="str">
        <f t="shared" si="40"/>
        <v>21/07/2026Brentwood TownSaffron Walden</v>
      </c>
      <c r="D188" s="2">
        <v>46224</v>
      </c>
      <c r="E188" s="3">
        <v>0.78125</v>
      </c>
      <c r="F188" t="s">
        <v>1544</v>
      </c>
      <c r="G188" t="s">
        <v>1545</v>
      </c>
      <c r="H188">
        <v>2</v>
      </c>
      <c r="I188">
        <v>0</v>
      </c>
      <c r="J188">
        <v>6</v>
      </c>
      <c r="K188">
        <v>0</v>
      </c>
      <c r="L188" s="22" t="str">
        <f t="shared" si="41"/>
        <v>21/07/2026</v>
      </c>
      <c r="M188" s="23">
        <f t="shared" si="42"/>
        <v>0.65625</v>
      </c>
      <c r="N188" t="str">
        <f t="shared" si="43"/>
        <v>6 - 0</v>
      </c>
      <c r="O188" t="str">
        <f t="shared" si="44"/>
        <v>Green</v>
      </c>
      <c r="P188" t="str">
        <f t="shared" si="45"/>
        <v>Red</v>
      </c>
      <c r="Q188" t="str">
        <f t="shared" si="46"/>
        <v>Red</v>
      </c>
      <c r="R188" t="str">
        <f t="shared" si="47"/>
        <v>Green</v>
      </c>
      <c r="S188" t="str">
        <f t="shared" si="48"/>
        <v>Red</v>
      </c>
      <c r="T188" t="str">
        <f t="shared" si="49"/>
        <v>Green</v>
      </c>
      <c r="U188" t="str">
        <f t="shared" si="50"/>
        <v>Green</v>
      </c>
      <c r="V188" t="str">
        <f t="shared" si="51"/>
        <v>Red</v>
      </c>
      <c r="W188" t="str">
        <f t="shared" si="52"/>
        <v>Red</v>
      </c>
      <c r="X188" t="str">
        <f t="shared" si="53"/>
        <v>Green</v>
      </c>
      <c r="Y188" t="str">
        <f t="shared" si="54"/>
        <v>Green</v>
      </c>
      <c r="Z188" t="str">
        <f t="shared" si="55"/>
        <v>Green</v>
      </c>
      <c r="AA188" t="str">
        <f t="shared" si="56"/>
        <v>Red</v>
      </c>
      <c r="AB188" t="str">
        <f t="shared" si="57"/>
        <v>Red</v>
      </c>
      <c r="AC188" t="str">
        <f t="shared" si="58"/>
        <v>Red</v>
      </c>
      <c r="AD188" t="str">
        <f t="shared" si="59"/>
        <v>Green</v>
      </c>
    </row>
    <row r="189" spans="1:30" x14ac:dyDescent="0.25">
      <c r="A189" t="str">
        <f t="shared" si="40"/>
        <v>21/07/2026Broadbridge HeathBurgess Hill Town</v>
      </c>
      <c r="D189" s="2">
        <v>46224</v>
      </c>
      <c r="E189" s="3">
        <v>0.78125</v>
      </c>
      <c r="F189" t="s">
        <v>1546</v>
      </c>
      <c r="G189" t="s">
        <v>1547</v>
      </c>
      <c r="H189">
        <v>0</v>
      </c>
      <c r="I189">
        <v>0</v>
      </c>
      <c r="J189">
        <v>2</v>
      </c>
      <c r="K189">
        <v>1</v>
      </c>
      <c r="L189" s="22" t="str">
        <f t="shared" si="41"/>
        <v>21/07/2026</v>
      </c>
      <c r="M189" s="23">
        <f t="shared" si="42"/>
        <v>0.65625</v>
      </c>
      <c r="N189" t="str">
        <f t="shared" si="43"/>
        <v>2 - 1</v>
      </c>
      <c r="O189" t="str">
        <f t="shared" si="44"/>
        <v>Green</v>
      </c>
      <c r="P189" t="str">
        <f t="shared" si="45"/>
        <v>Red</v>
      </c>
      <c r="Q189" t="str">
        <f t="shared" si="46"/>
        <v>Red</v>
      </c>
      <c r="R189" t="str">
        <f t="shared" si="47"/>
        <v>Green</v>
      </c>
      <c r="S189" t="str">
        <f t="shared" si="48"/>
        <v>Red</v>
      </c>
      <c r="T189" t="str">
        <f t="shared" si="49"/>
        <v>Green</v>
      </c>
      <c r="U189" t="str">
        <f t="shared" si="50"/>
        <v>Red</v>
      </c>
      <c r="V189" t="str">
        <f t="shared" si="51"/>
        <v>Green</v>
      </c>
      <c r="W189" t="str">
        <f t="shared" si="52"/>
        <v>Red</v>
      </c>
      <c r="X189" t="str">
        <f t="shared" si="53"/>
        <v>Red</v>
      </c>
      <c r="Y189" t="str">
        <f t="shared" si="54"/>
        <v>Green</v>
      </c>
      <c r="Z189" t="str">
        <f t="shared" si="55"/>
        <v>Green</v>
      </c>
      <c r="AA189" t="str">
        <f t="shared" si="56"/>
        <v>Red</v>
      </c>
      <c r="AB189" t="str">
        <f t="shared" si="57"/>
        <v>Green</v>
      </c>
      <c r="AC189" t="str">
        <f t="shared" si="58"/>
        <v>Green</v>
      </c>
      <c r="AD189" t="str">
        <f t="shared" si="59"/>
        <v>Red</v>
      </c>
    </row>
    <row r="190" spans="1:30" x14ac:dyDescent="0.25">
      <c r="A190" t="str">
        <f t="shared" si="40"/>
        <v>21/07/2026ChorleyAltrincham</v>
      </c>
      <c r="D190" s="2">
        <v>46224</v>
      </c>
      <c r="E190" s="3">
        <v>0.78125</v>
      </c>
      <c r="F190" t="s">
        <v>1548</v>
      </c>
      <c r="G190" t="s">
        <v>1549</v>
      </c>
      <c r="H190">
        <v>0</v>
      </c>
      <c r="I190">
        <v>0</v>
      </c>
      <c r="J190">
        <v>0</v>
      </c>
      <c r="K190">
        <v>0</v>
      </c>
      <c r="L190" s="22" t="str">
        <f t="shared" si="41"/>
        <v>21/07/2026</v>
      </c>
      <c r="M190" s="23">
        <f t="shared" si="42"/>
        <v>0.65625</v>
      </c>
      <c r="N190" t="str">
        <f t="shared" si="43"/>
        <v>0 - 0</v>
      </c>
      <c r="O190" t="str">
        <f t="shared" si="44"/>
        <v>Red</v>
      </c>
      <c r="P190" t="str">
        <f t="shared" si="45"/>
        <v>Green</v>
      </c>
      <c r="Q190" t="str">
        <f t="shared" si="46"/>
        <v>Red</v>
      </c>
      <c r="R190" t="str">
        <f t="shared" si="47"/>
        <v>Green</v>
      </c>
      <c r="S190" t="str">
        <f t="shared" si="48"/>
        <v>Green</v>
      </c>
      <c r="T190" t="str">
        <f t="shared" si="49"/>
        <v>Red</v>
      </c>
      <c r="U190" t="str">
        <f t="shared" si="50"/>
        <v>Red</v>
      </c>
      <c r="V190" t="str">
        <f t="shared" si="51"/>
        <v>Green</v>
      </c>
      <c r="W190" t="str">
        <f t="shared" si="52"/>
        <v>Red</v>
      </c>
      <c r="X190" t="str">
        <f t="shared" si="53"/>
        <v>Red</v>
      </c>
      <c r="Y190" t="str">
        <f t="shared" si="54"/>
        <v>Red</v>
      </c>
      <c r="Z190" t="str">
        <f t="shared" si="55"/>
        <v>Red</v>
      </c>
      <c r="AA190" t="str">
        <f t="shared" si="56"/>
        <v>Green</v>
      </c>
      <c r="AB190" t="str">
        <f t="shared" si="57"/>
        <v>Green</v>
      </c>
      <c r="AC190" t="str">
        <f t="shared" si="58"/>
        <v>Red</v>
      </c>
      <c r="AD190" t="str">
        <f t="shared" si="59"/>
        <v>Green</v>
      </c>
    </row>
    <row r="191" spans="1:30" x14ac:dyDescent="0.25">
      <c r="A191" t="str">
        <f t="shared" si="40"/>
        <v>21/07/2026CobhamHampton &amp; Richmond Borough</v>
      </c>
      <c r="D191" s="2">
        <v>46224</v>
      </c>
      <c r="E191" s="3">
        <v>0.78125</v>
      </c>
      <c r="F191" t="s">
        <v>1550</v>
      </c>
      <c r="G191" t="s">
        <v>1551</v>
      </c>
      <c r="H191">
        <v>1</v>
      </c>
      <c r="I191">
        <v>1</v>
      </c>
      <c r="J191">
        <v>1</v>
      </c>
      <c r="K191">
        <v>1</v>
      </c>
      <c r="L191" s="22" t="str">
        <f t="shared" si="41"/>
        <v>21/07/2026</v>
      </c>
      <c r="M191" s="23">
        <f t="shared" si="42"/>
        <v>0.65625</v>
      </c>
      <c r="N191" t="str">
        <f t="shared" si="43"/>
        <v>1 - 1</v>
      </c>
      <c r="O191" t="str">
        <f t="shared" si="44"/>
        <v>Red</v>
      </c>
      <c r="P191" t="str">
        <f t="shared" si="45"/>
        <v>Green</v>
      </c>
      <c r="Q191" t="str">
        <f t="shared" si="46"/>
        <v>Red</v>
      </c>
      <c r="R191" t="str">
        <f t="shared" si="47"/>
        <v>Green</v>
      </c>
      <c r="S191" t="str">
        <f t="shared" si="48"/>
        <v>Green</v>
      </c>
      <c r="T191" t="str">
        <f t="shared" si="49"/>
        <v>Red</v>
      </c>
      <c r="U191" t="str">
        <f t="shared" si="50"/>
        <v>Red</v>
      </c>
      <c r="V191" t="str">
        <f t="shared" si="51"/>
        <v>Green</v>
      </c>
      <c r="W191" t="str">
        <f t="shared" si="52"/>
        <v>Red</v>
      </c>
      <c r="X191" t="str">
        <f t="shared" si="53"/>
        <v>Green</v>
      </c>
      <c r="Y191" t="str">
        <f t="shared" si="54"/>
        <v>Green</v>
      </c>
      <c r="Z191" t="str">
        <f t="shared" si="55"/>
        <v>Red</v>
      </c>
      <c r="AA191" t="str">
        <f t="shared" si="56"/>
        <v>Green</v>
      </c>
      <c r="AB191" t="str">
        <f t="shared" si="57"/>
        <v>Green</v>
      </c>
      <c r="AC191" t="str">
        <f t="shared" si="58"/>
        <v>Green</v>
      </c>
      <c r="AD191" t="str">
        <f t="shared" si="59"/>
        <v>Red</v>
      </c>
    </row>
    <row r="192" spans="1:30" x14ac:dyDescent="0.25">
      <c r="A192" t="str">
        <f t="shared" si="40"/>
        <v>21/07/2026Colchester United Peterborough United</v>
      </c>
      <c r="D192" s="2">
        <v>46224</v>
      </c>
      <c r="E192" s="3">
        <v>0.78125</v>
      </c>
      <c r="F192" t="s">
        <v>1552</v>
      </c>
      <c r="G192" t="s">
        <v>1553</v>
      </c>
      <c r="H192">
        <v>1</v>
      </c>
      <c r="I192">
        <v>1</v>
      </c>
      <c r="J192">
        <v>2</v>
      </c>
      <c r="K192">
        <v>3</v>
      </c>
      <c r="L192" s="22" t="str">
        <f t="shared" si="41"/>
        <v>21/07/2026</v>
      </c>
      <c r="M192" s="23">
        <f t="shared" si="42"/>
        <v>0.65625</v>
      </c>
      <c r="N192" t="str">
        <f t="shared" si="43"/>
        <v>2 - 3</v>
      </c>
      <c r="O192" t="str">
        <f t="shared" si="44"/>
        <v>Red</v>
      </c>
      <c r="P192" t="str">
        <f t="shared" si="45"/>
        <v>Red</v>
      </c>
      <c r="Q192" t="str">
        <f t="shared" si="46"/>
        <v>Green</v>
      </c>
      <c r="R192" t="str">
        <f t="shared" si="47"/>
        <v>Red</v>
      </c>
      <c r="S192" t="str">
        <f t="shared" si="48"/>
        <v>Green</v>
      </c>
      <c r="T192" t="str">
        <f t="shared" si="49"/>
        <v>Green</v>
      </c>
      <c r="U192" t="str">
        <f t="shared" si="50"/>
        <v>Red</v>
      </c>
      <c r="V192" t="str">
        <f t="shared" si="51"/>
        <v>Green</v>
      </c>
      <c r="W192" t="str">
        <f t="shared" si="52"/>
        <v>Red</v>
      </c>
      <c r="X192" t="str">
        <f t="shared" si="53"/>
        <v>Green</v>
      </c>
      <c r="Y192" t="str">
        <f t="shared" si="54"/>
        <v>Green</v>
      </c>
      <c r="Z192" t="str">
        <f t="shared" si="55"/>
        <v>Green</v>
      </c>
      <c r="AA192" t="str">
        <f t="shared" si="56"/>
        <v>Red</v>
      </c>
      <c r="AB192" t="str">
        <f t="shared" si="57"/>
        <v>Red</v>
      </c>
      <c r="AC192" t="str">
        <f t="shared" si="58"/>
        <v>Green</v>
      </c>
      <c r="AD192" t="str">
        <f t="shared" si="59"/>
        <v>Red</v>
      </c>
    </row>
    <row r="193" spans="1:30" x14ac:dyDescent="0.25">
      <c r="A193" t="str">
        <f t="shared" si="40"/>
        <v>21/07/2026Cray WanderersCray Valley Paper Mills</v>
      </c>
      <c r="D193" s="2">
        <v>46224</v>
      </c>
      <c r="E193" s="3">
        <v>0.78125</v>
      </c>
      <c r="F193" t="s">
        <v>1554</v>
      </c>
      <c r="G193" t="s">
        <v>1555</v>
      </c>
      <c r="H193">
        <v>2</v>
      </c>
      <c r="I193">
        <v>0</v>
      </c>
      <c r="J193">
        <v>2</v>
      </c>
      <c r="K193">
        <v>0</v>
      </c>
      <c r="L193" s="22" t="str">
        <f t="shared" si="41"/>
        <v>21/07/2026</v>
      </c>
      <c r="M193" s="23">
        <f t="shared" si="42"/>
        <v>0.65625</v>
      </c>
      <c r="N193" t="str">
        <f t="shared" si="43"/>
        <v>2 - 0</v>
      </c>
      <c r="O193" t="str">
        <f t="shared" si="44"/>
        <v>Green</v>
      </c>
      <c r="P193" t="str">
        <f t="shared" si="45"/>
        <v>Red</v>
      </c>
      <c r="Q193" t="str">
        <f t="shared" si="46"/>
        <v>Red</v>
      </c>
      <c r="R193" t="str">
        <f t="shared" si="47"/>
        <v>Green</v>
      </c>
      <c r="S193" t="str">
        <f t="shared" si="48"/>
        <v>Red</v>
      </c>
      <c r="T193" t="str">
        <f t="shared" si="49"/>
        <v>Green</v>
      </c>
      <c r="U193" t="str">
        <f t="shared" si="50"/>
        <v>Green</v>
      </c>
      <c r="V193" t="str">
        <f t="shared" si="51"/>
        <v>Red</v>
      </c>
      <c r="W193" t="str">
        <f t="shared" si="52"/>
        <v>Red</v>
      </c>
      <c r="X193" t="str">
        <f t="shared" si="53"/>
        <v>Green</v>
      </c>
      <c r="Y193" t="str">
        <f t="shared" si="54"/>
        <v>Green</v>
      </c>
      <c r="Z193" t="str">
        <f t="shared" si="55"/>
        <v>Red</v>
      </c>
      <c r="AA193" t="str">
        <f t="shared" si="56"/>
        <v>Green</v>
      </c>
      <c r="AB193" t="str">
        <f t="shared" si="57"/>
        <v>Green</v>
      </c>
      <c r="AC193" t="str">
        <f t="shared" si="58"/>
        <v>Red</v>
      </c>
      <c r="AD193" t="str">
        <f t="shared" si="59"/>
        <v>Green</v>
      </c>
    </row>
    <row r="194" spans="1:30" x14ac:dyDescent="0.25">
      <c r="A194" t="str">
        <f t="shared" si="40"/>
        <v>21/07/2026Darlington 1883Carlisle United</v>
      </c>
      <c r="D194" s="2">
        <v>46224</v>
      </c>
      <c r="E194" s="3">
        <v>0.78125</v>
      </c>
      <c r="F194" t="s">
        <v>1556</v>
      </c>
      <c r="G194" t="s">
        <v>1557</v>
      </c>
      <c r="H194">
        <v>1</v>
      </c>
      <c r="I194">
        <v>4</v>
      </c>
      <c r="J194">
        <v>2</v>
      </c>
      <c r="K194">
        <v>4</v>
      </c>
      <c r="L194" s="22" t="str">
        <f t="shared" si="41"/>
        <v>21/07/2026</v>
      </c>
      <c r="M194" s="23">
        <f t="shared" si="42"/>
        <v>0.65625</v>
      </c>
      <c r="N194" t="str">
        <f t="shared" si="43"/>
        <v>2 - 4</v>
      </c>
      <c r="O194" t="str">
        <f t="shared" si="44"/>
        <v>Red</v>
      </c>
      <c r="P194" t="str">
        <f t="shared" si="45"/>
        <v>Red</v>
      </c>
      <c r="Q194" t="str">
        <f t="shared" si="46"/>
        <v>Green</v>
      </c>
      <c r="R194" t="str">
        <f t="shared" si="47"/>
        <v>Red</v>
      </c>
      <c r="S194" t="str">
        <f t="shared" si="48"/>
        <v>Green</v>
      </c>
      <c r="T194" t="str">
        <f t="shared" si="49"/>
        <v>Green</v>
      </c>
      <c r="U194" t="str">
        <f t="shared" si="50"/>
        <v>Red</v>
      </c>
      <c r="V194" t="str">
        <f t="shared" si="51"/>
        <v>Red</v>
      </c>
      <c r="W194" t="str">
        <f t="shared" si="52"/>
        <v>Green</v>
      </c>
      <c r="X194" t="str">
        <f t="shared" si="53"/>
        <v>Green</v>
      </c>
      <c r="Y194" t="str">
        <f t="shared" si="54"/>
        <v>Green</v>
      </c>
      <c r="Z194" t="str">
        <f t="shared" si="55"/>
        <v>Green</v>
      </c>
      <c r="AA194" t="str">
        <f t="shared" si="56"/>
        <v>Red</v>
      </c>
      <c r="AB194" t="str">
        <f t="shared" si="57"/>
        <v>Red</v>
      </c>
      <c r="AC194" t="str">
        <f t="shared" si="58"/>
        <v>Green</v>
      </c>
      <c r="AD194" t="str">
        <f t="shared" si="59"/>
        <v>Red</v>
      </c>
    </row>
    <row r="195" spans="1:30" x14ac:dyDescent="0.25">
      <c r="A195" t="str">
        <f t="shared" ref="A195:A258" si="60">L195&amp;F195&amp;G195</f>
        <v>21/07/2026DartfordBillericay Town</v>
      </c>
      <c r="D195" s="2">
        <v>46224</v>
      </c>
      <c r="E195" s="3">
        <v>0.78125</v>
      </c>
      <c r="F195" t="s">
        <v>1558</v>
      </c>
      <c r="G195" t="s">
        <v>1559</v>
      </c>
      <c r="H195">
        <v>0</v>
      </c>
      <c r="I195">
        <v>2</v>
      </c>
      <c r="J195">
        <v>0</v>
      </c>
      <c r="K195">
        <v>3</v>
      </c>
      <c r="L195" s="22" t="str">
        <f t="shared" ref="L195:L258" si="61">DAY(D195)&amp;"/"&amp;"07"&amp;"/"&amp;YEAR(D195)</f>
        <v>21/07/2026</v>
      </c>
      <c r="M195" s="23">
        <f t="shared" ref="M195:M258" si="62">E195-TIME(3,0,0)</f>
        <v>0.65625</v>
      </c>
      <c r="N195" t="str">
        <f t="shared" ref="N195:N258" si="63">J195&amp;" - "&amp;K195</f>
        <v>0 - 3</v>
      </c>
      <c r="O195" t="str">
        <f t="shared" ref="O195:O258" si="64">IF($J195&gt;$K195,"Green","Red")</f>
        <v>Red</v>
      </c>
      <c r="P195" t="str">
        <f t="shared" ref="P195:P258" si="65">IF($J195=$K195,"Green","Red")</f>
        <v>Red</v>
      </c>
      <c r="Q195" t="str">
        <f t="shared" ref="Q195:Q258" si="66">IF($J195&lt;$K195,"Green","Red")</f>
        <v>Green</v>
      </c>
      <c r="R195" t="str">
        <f t="shared" ref="R195:R258" si="67">IF($J195&gt;=$K195,"Green","Red")</f>
        <v>Red</v>
      </c>
      <c r="S195" t="str">
        <f t="shared" ref="S195:S258" si="68">IF($J195&lt;=$K195,"Green","Red")</f>
        <v>Green</v>
      </c>
      <c r="T195" t="str">
        <f t="shared" ref="T195:T258" si="69">IF(OR($J195&gt;$K195,$J195&lt;$K195),"Green","Red")</f>
        <v>Green</v>
      </c>
      <c r="U195" t="str">
        <f t="shared" ref="U195:U258" si="70">IF($H195&gt;$I195,"Green","Red")</f>
        <v>Red</v>
      </c>
      <c r="V195" t="str">
        <f t="shared" ref="V195:V258" si="71">IF($H195=$I195,"Green","Red")</f>
        <v>Red</v>
      </c>
      <c r="W195" t="str">
        <f t="shared" ref="W195:W258" si="72">IF($H195&lt;$I195,"Green","Red")</f>
        <v>Green</v>
      </c>
      <c r="X195" t="str">
        <f t="shared" ref="X195:X258" si="73">IF($H195+$I195&gt;0,"Green","Red")</f>
        <v>Green</v>
      </c>
      <c r="Y195" t="str">
        <f t="shared" ref="Y195:Y258" si="74">IF($J195+$K195&gt;1.5,"Green","Red")</f>
        <v>Green</v>
      </c>
      <c r="Z195" t="str">
        <f t="shared" ref="Z195:Z258" si="75">IF($J195+$K195&gt;2.5,"Green","Red")</f>
        <v>Green</v>
      </c>
      <c r="AA195" t="str">
        <f t="shared" ref="AA195:AA258" si="76">IF($J195+$K195&lt;2.5,"Green","Red")</f>
        <v>Red</v>
      </c>
      <c r="AB195" t="str">
        <f t="shared" ref="AB195:AB258" si="77">IF($J195+$K195&lt;3.5,"Green","Red")</f>
        <v>Green</v>
      </c>
      <c r="AC195" t="str">
        <f t="shared" ref="AC195:AC258" si="78">IF(AND($J195&gt;0,$K195&gt;0),"Green","Red")</f>
        <v>Red</v>
      </c>
      <c r="AD195" t="str">
        <f t="shared" ref="AD195:AD258" si="79">IF(OR($J195=0,$K195=0),"Green","Red")</f>
        <v>Green</v>
      </c>
    </row>
    <row r="196" spans="1:30" x14ac:dyDescent="0.25">
      <c r="A196" t="str">
        <f t="shared" si="60"/>
        <v>21/07/2026Dorking WanderersChatham Town</v>
      </c>
      <c r="D196" s="2">
        <v>46224</v>
      </c>
      <c r="E196" s="3">
        <v>0.78125</v>
      </c>
      <c r="F196" t="s">
        <v>1560</v>
      </c>
      <c r="G196" t="s">
        <v>1561</v>
      </c>
      <c r="H196">
        <v>0</v>
      </c>
      <c r="I196">
        <v>0</v>
      </c>
      <c r="J196">
        <v>0</v>
      </c>
      <c r="K196">
        <v>1</v>
      </c>
      <c r="L196" s="22" t="str">
        <f t="shared" si="61"/>
        <v>21/07/2026</v>
      </c>
      <c r="M196" s="23">
        <f t="shared" si="62"/>
        <v>0.65625</v>
      </c>
      <c r="N196" t="str">
        <f t="shared" si="63"/>
        <v>0 - 1</v>
      </c>
      <c r="O196" t="str">
        <f t="shared" si="64"/>
        <v>Red</v>
      </c>
      <c r="P196" t="str">
        <f t="shared" si="65"/>
        <v>Red</v>
      </c>
      <c r="Q196" t="str">
        <f t="shared" si="66"/>
        <v>Green</v>
      </c>
      <c r="R196" t="str">
        <f t="shared" si="67"/>
        <v>Red</v>
      </c>
      <c r="S196" t="str">
        <f t="shared" si="68"/>
        <v>Green</v>
      </c>
      <c r="T196" t="str">
        <f t="shared" si="69"/>
        <v>Green</v>
      </c>
      <c r="U196" t="str">
        <f t="shared" si="70"/>
        <v>Red</v>
      </c>
      <c r="V196" t="str">
        <f t="shared" si="71"/>
        <v>Green</v>
      </c>
      <c r="W196" t="str">
        <f t="shared" si="72"/>
        <v>Red</v>
      </c>
      <c r="X196" t="str">
        <f t="shared" si="73"/>
        <v>Red</v>
      </c>
      <c r="Y196" t="str">
        <f t="shared" si="74"/>
        <v>Red</v>
      </c>
      <c r="Z196" t="str">
        <f t="shared" si="75"/>
        <v>Red</v>
      </c>
      <c r="AA196" t="str">
        <f t="shared" si="76"/>
        <v>Green</v>
      </c>
      <c r="AB196" t="str">
        <f t="shared" si="77"/>
        <v>Green</v>
      </c>
      <c r="AC196" t="str">
        <f t="shared" si="78"/>
        <v>Red</v>
      </c>
      <c r="AD196" t="str">
        <f t="shared" si="79"/>
        <v>Green</v>
      </c>
    </row>
    <row r="197" spans="1:30" x14ac:dyDescent="0.25">
      <c r="A197" t="str">
        <f t="shared" si="60"/>
        <v>21/07/2026Dover AthleticDeal Town</v>
      </c>
      <c r="D197" s="2">
        <v>46224</v>
      </c>
      <c r="E197" s="3">
        <v>0.78125</v>
      </c>
      <c r="F197" t="s">
        <v>1562</v>
      </c>
      <c r="G197" t="s">
        <v>1563</v>
      </c>
      <c r="H197">
        <v>1</v>
      </c>
      <c r="I197">
        <v>0</v>
      </c>
      <c r="J197">
        <v>2</v>
      </c>
      <c r="K197">
        <v>1</v>
      </c>
      <c r="L197" s="22" t="str">
        <f t="shared" si="61"/>
        <v>21/07/2026</v>
      </c>
      <c r="M197" s="23">
        <f t="shared" si="62"/>
        <v>0.65625</v>
      </c>
      <c r="N197" t="str">
        <f t="shared" si="63"/>
        <v>2 - 1</v>
      </c>
      <c r="O197" t="str">
        <f t="shared" si="64"/>
        <v>Green</v>
      </c>
      <c r="P197" t="str">
        <f t="shared" si="65"/>
        <v>Red</v>
      </c>
      <c r="Q197" t="str">
        <f t="shared" si="66"/>
        <v>Red</v>
      </c>
      <c r="R197" t="str">
        <f t="shared" si="67"/>
        <v>Green</v>
      </c>
      <c r="S197" t="str">
        <f t="shared" si="68"/>
        <v>Red</v>
      </c>
      <c r="T197" t="str">
        <f t="shared" si="69"/>
        <v>Green</v>
      </c>
      <c r="U197" t="str">
        <f t="shared" si="70"/>
        <v>Green</v>
      </c>
      <c r="V197" t="str">
        <f t="shared" si="71"/>
        <v>Red</v>
      </c>
      <c r="W197" t="str">
        <f t="shared" si="72"/>
        <v>Red</v>
      </c>
      <c r="X197" t="str">
        <f t="shared" si="73"/>
        <v>Green</v>
      </c>
      <c r="Y197" t="str">
        <f t="shared" si="74"/>
        <v>Green</v>
      </c>
      <c r="Z197" t="str">
        <f t="shared" si="75"/>
        <v>Green</v>
      </c>
      <c r="AA197" t="str">
        <f t="shared" si="76"/>
        <v>Red</v>
      </c>
      <c r="AB197" t="str">
        <f t="shared" si="77"/>
        <v>Green</v>
      </c>
      <c r="AC197" t="str">
        <f t="shared" si="78"/>
        <v>Green</v>
      </c>
      <c r="AD197" t="str">
        <f t="shared" si="79"/>
        <v>Red</v>
      </c>
    </row>
    <row r="198" spans="1:30" x14ac:dyDescent="0.25">
      <c r="A198" t="str">
        <f t="shared" si="60"/>
        <v>21/07/2026FarnhamWycombe Wanderers</v>
      </c>
      <c r="D198" s="2">
        <v>46224</v>
      </c>
      <c r="E198" s="3">
        <v>0.78125</v>
      </c>
      <c r="F198" t="s">
        <v>1564</v>
      </c>
      <c r="G198" t="s">
        <v>1446</v>
      </c>
      <c r="H198">
        <v>1</v>
      </c>
      <c r="I198">
        <v>0</v>
      </c>
      <c r="J198">
        <v>2</v>
      </c>
      <c r="K198">
        <v>1</v>
      </c>
      <c r="L198" s="22" t="str">
        <f t="shared" si="61"/>
        <v>21/07/2026</v>
      </c>
      <c r="M198" s="23">
        <f t="shared" si="62"/>
        <v>0.65625</v>
      </c>
      <c r="N198" t="str">
        <f t="shared" si="63"/>
        <v>2 - 1</v>
      </c>
      <c r="O198" t="str">
        <f t="shared" si="64"/>
        <v>Green</v>
      </c>
      <c r="P198" t="str">
        <f t="shared" si="65"/>
        <v>Red</v>
      </c>
      <c r="Q198" t="str">
        <f t="shared" si="66"/>
        <v>Red</v>
      </c>
      <c r="R198" t="str">
        <f t="shared" si="67"/>
        <v>Green</v>
      </c>
      <c r="S198" t="str">
        <f t="shared" si="68"/>
        <v>Red</v>
      </c>
      <c r="T198" t="str">
        <f t="shared" si="69"/>
        <v>Green</v>
      </c>
      <c r="U198" t="str">
        <f t="shared" si="70"/>
        <v>Green</v>
      </c>
      <c r="V198" t="str">
        <f t="shared" si="71"/>
        <v>Red</v>
      </c>
      <c r="W198" t="str">
        <f t="shared" si="72"/>
        <v>Red</v>
      </c>
      <c r="X198" t="str">
        <f t="shared" si="73"/>
        <v>Green</v>
      </c>
      <c r="Y198" t="str">
        <f t="shared" si="74"/>
        <v>Green</v>
      </c>
      <c r="Z198" t="str">
        <f t="shared" si="75"/>
        <v>Green</v>
      </c>
      <c r="AA198" t="str">
        <f t="shared" si="76"/>
        <v>Red</v>
      </c>
      <c r="AB198" t="str">
        <f t="shared" si="77"/>
        <v>Green</v>
      </c>
      <c r="AC198" t="str">
        <f t="shared" si="78"/>
        <v>Green</v>
      </c>
      <c r="AD198" t="str">
        <f t="shared" si="79"/>
        <v>Red</v>
      </c>
    </row>
    <row r="199" spans="1:30" x14ac:dyDescent="0.25">
      <c r="A199" t="str">
        <f t="shared" si="60"/>
        <v>21/07/2026Gainsborough TrinityHalifax Town</v>
      </c>
      <c r="D199" s="2">
        <v>46224</v>
      </c>
      <c r="E199" s="3">
        <v>0.78125</v>
      </c>
      <c r="F199" t="s">
        <v>1565</v>
      </c>
      <c r="G199" t="s">
        <v>1566</v>
      </c>
      <c r="H199">
        <v>0</v>
      </c>
      <c r="I199">
        <v>1</v>
      </c>
      <c r="J199">
        <v>2</v>
      </c>
      <c r="K199">
        <v>3</v>
      </c>
      <c r="L199" s="22" t="str">
        <f t="shared" si="61"/>
        <v>21/07/2026</v>
      </c>
      <c r="M199" s="23">
        <f t="shared" si="62"/>
        <v>0.65625</v>
      </c>
      <c r="N199" t="str">
        <f t="shared" si="63"/>
        <v>2 - 3</v>
      </c>
      <c r="O199" t="str">
        <f t="shared" si="64"/>
        <v>Red</v>
      </c>
      <c r="P199" t="str">
        <f t="shared" si="65"/>
        <v>Red</v>
      </c>
      <c r="Q199" t="str">
        <f t="shared" si="66"/>
        <v>Green</v>
      </c>
      <c r="R199" t="str">
        <f t="shared" si="67"/>
        <v>Red</v>
      </c>
      <c r="S199" t="str">
        <f t="shared" si="68"/>
        <v>Green</v>
      </c>
      <c r="T199" t="str">
        <f t="shared" si="69"/>
        <v>Green</v>
      </c>
      <c r="U199" t="str">
        <f t="shared" si="70"/>
        <v>Red</v>
      </c>
      <c r="V199" t="str">
        <f t="shared" si="71"/>
        <v>Red</v>
      </c>
      <c r="W199" t="str">
        <f t="shared" si="72"/>
        <v>Green</v>
      </c>
      <c r="X199" t="str">
        <f t="shared" si="73"/>
        <v>Green</v>
      </c>
      <c r="Y199" t="str">
        <f t="shared" si="74"/>
        <v>Green</v>
      </c>
      <c r="Z199" t="str">
        <f t="shared" si="75"/>
        <v>Green</v>
      </c>
      <c r="AA199" t="str">
        <f t="shared" si="76"/>
        <v>Red</v>
      </c>
      <c r="AB199" t="str">
        <f t="shared" si="77"/>
        <v>Red</v>
      </c>
      <c r="AC199" t="str">
        <f t="shared" si="78"/>
        <v>Green</v>
      </c>
      <c r="AD199" t="str">
        <f t="shared" si="79"/>
        <v>Red</v>
      </c>
    </row>
    <row r="200" spans="1:30" x14ac:dyDescent="0.25">
      <c r="A200" t="str">
        <f t="shared" si="60"/>
        <v>21/07/2026HendonHemel Hempstead Town</v>
      </c>
      <c r="D200" s="2">
        <v>46224</v>
      </c>
      <c r="E200" s="3">
        <v>0.78125</v>
      </c>
      <c r="F200" t="s">
        <v>1567</v>
      </c>
      <c r="G200" t="s">
        <v>1568</v>
      </c>
      <c r="H200">
        <v>0</v>
      </c>
      <c r="I200">
        <v>4</v>
      </c>
      <c r="J200">
        <v>1</v>
      </c>
      <c r="K200">
        <v>5</v>
      </c>
      <c r="L200" s="22" t="str">
        <f t="shared" si="61"/>
        <v>21/07/2026</v>
      </c>
      <c r="M200" s="23">
        <f t="shared" si="62"/>
        <v>0.65625</v>
      </c>
      <c r="N200" t="str">
        <f t="shared" si="63"/>
        <v>1 - 5</v>
      </c>
      <c r="O200" t="str">
        <f t="shared" si="64"/>
        <v>Red</v>
      </c>
      <c r="P200" t="str">
        <f t="shared" si="65"/>
        <v>Red</v>
      </c>
      <c r="Q200" t="str">
        <f t="shared" si="66"/>
        <v>Green</v>
      </c>
      <c r="R200" t="str">
        <f t="shared" si="67"/>
        <v>Red</v>
      </c>
      <c r="S200" t="str">
        <f t="shared" si="68"/>
        <v>Green</v>
      </c>
      <c r="T200" t="str">
        <f t="shared" si="69"/>
        <v>Green</v>
      </c>
      <c r="U200" t="str">
        <f t="shared" si="70"/>
        <v>Red</v>
      </c>
      <c r="V200" t="str">
        <f t="shared" si="71"/>
        <v>Red</v>
      </c>
      <c r="W200" t="str">
        <f t="shared" si="72"/>
        <v>Green</v>
      </c>
      <c r="X200" t="str">
        <f t="shared" si="73"/>
        <v>Green</v>
      </c>
      <c r="Y200" t="str">
        <f t="shared" si="74"/>
        <v>Green</v>
      </c>
      <c r="Z200" t="str">
        <f t="shared" si="75"/>
        <v>Green</v>
      </c>
      <c r="AA200" t="str">
        <f t="shared" si="76"/>
        <v>Red</v>
      </c>
      <c r="AB200" t="str">
        <f t="shared" si="77"/>
        <v>Red</v>
      </c>
      <c r="AC200" t="str">
        <f t="shared" si="78"/>
        <v>Green</v>
      </c>
      <c r="AD200" t="str">
        <f t="shared" si="79"/>
        <v>Red</v>
      </c>
    </row>
    <row r="201" spans="1:30" x14ac:dyDescent="0.25">
      <c r="A201" t="str">
        <f t="shared" si="60"/>
        <v>21/07/2026HeybridgeStanway</v>
      </c>
      <c r="D201" s="2">
        <v>46224</v>
      </c>
      <c r="E201" s="3">
        <v>0.78125</v>
      </c>
      <c r="F201" t="s">
        <v>1569</v>
      </c>
      <c r="G201" t="s">
        <v>1570</v>
      </c>
      <c r="H201">
        <v>3</v>
      </c>
      <c r="I201">
        <v>0</v>
      </c>
      <c r="J201">
        <v>3</v>
      </c>
      <c r="K201">
        <v>1</v>
      </c>
      <c r="L201" s="22" t="str">
        <f t="shared" si="61"/>
        <v>21/07/2026</v>
      </c>
      <c r="M201" s="23">
        <f t="shared" si="62"/>
        <v>0.65625</v>
      </c>
      <c r="N201" t="str">
        <f t="shared" si="63"/>
        <v>3 - 1</v>
      </c>
      <c r="O201" t="str">
        <f t="shared" si="64"/>
        <v>Green</v>
      </c>
      <c r="P201" t="str">
        <f t="shared" si="65"/>
        <v>Red</v>
      </c>
      <c r="Q201" t="str">
        <f t="shared" si="66"/>
        <v>Red</v>
      </c>
      <c r="R201" t="str">
        <f t="shared" si="67"/>
        <v>Green</v>
      </c>
      <c r="S201" t="str">
        <f t="shared" si="68"/>
        <v>Red</v>
      </c>
      <c r="T201" t="str">
        <f t="shared" si="69"/>
        <v>Green</v>
      </c>
      <c r="U201" t="str">
        <f t="shared" si="70"/>
        <v>Green</v>
      </c>
      <c r="V201" t="str">
        <f t="shared" si="71"/>
        <v>Red</v>
      </c>
      <c r="W201" t="str">
        <f t="shared" si="72"/>
        <v>Red</v>
      </c>
      <c r="X201" t="str">
        <f t="shared" si="73"/>
        <v>Green</v>
      </c>
      <c r="Y201" t="str">
        <f t="shared" si="74"/>
        <v>Green</v>
      </c>
      <c r="Z201" t="str">
        <f t="shared" si="75"/>
        <v>Green</v>
      </c>
      <c r="AA201" t="str">
        <f t="shared" si="76"/>
        <v>Red</v>
      </c>
      <c r="AB201" t="str">
        <f t="shared" si="77"/>
        <v>Red</v>
      </c>
      <c r="AC201" t="str">
        <f t="shared" si="78"/>
        <v>Green</v>
      </c>
      <c r="AD201" t="str">
        <f t="shared" si="79"/>
        <v>Red</v>
      </c>
    </row>
    <row r="202" spans="1:30" x14ac:dyDescent="0.25">
      <c r="A202" t="str">
        <f t="shared" si="60"/>
        <v>21/07/2026HorshamDulwich Hamlet</v>
      </c>
      <c r="D202" s="2">
        <v>46224</v>
      </c>
      <c r="E202" s="3">
        <v>0.78125</v>
      </c>
      <c r="F202" t="s">
        <v>1571</v>
      </c>
      <c r="G202" t="s">
        <v>1572</v>
      </c>
      <c r="H202">
        <v>0</v>
      </c>
      <c r="I202">
        <v>0</v>
      </c>
      <c r="J202">
        <v>1</v>
      </c>
      <c r="K202">
        <v>1</v>
      </c>
      <c r="L202" s="22" t="str">
        <f t="shared" si="61"/>
        <v>21/07/2026</v>
      </c>
      <c r="M202" s="23">
        <f t="shared" si="62"/>
        <v>0.65625</v>
      </c>
      <c r="N202" t="str">
        <f t="shared" si="63"/>
        <v>1 - 1</v>
      </c>
      <c r="O202" t="str">
        <f t="shared" si="64"/>
        <v>Red</v>
      </c>
      <c r="P202" t="str">
        <f t="shared" si="65"/>
        <v>Green</v>
      </c>
      <c r="Q202" t="str">
        <f t="shared" si="66"/>
        <v>Red</v>
      </c>
      <c r="R202" t="str">
        <f t="shared" si="67"/>
        <v>Green</v>
      </c>
      <c r="S202" t="str">
        <f t="shared" si="68"/>
        <v>Green</v>
      </c>
      <c r="T202" t="str">
        <f t="shared" si="69"/>
        <v>Red</v>
      </c>
      <c r="U202" t="str">
        <f t="shared" si="70"/>
        <v>Red</v>
      </c>
      <c r="V202" t="str">
        <f t="shared" si="71"/>
        <v>Green</v>
      </c>
      <c r="W202" t="str">
        <f t="shared" si="72"/>
        <v>Red</v>
      </c>
      <c r="X202" t="str">
        <f t="shared" si="73"/>
        <v>Red</v>
      </c>
      <c r="Y202" t="str">
        <f t="shared" si="74"/>
        <v>Green</v>
      </c>
      <c r="Z202" t="str">
        <f t="shared" si="75"/>
        <v>Red</v>
      </c>
      <c r="AA202" t="str">
        <f t="shared" si="76"/>
        <v>Green</v>
      </c>
      <c r="AB202" t="str">
        <f t="shared" si="77"/>
        <v>Green</v>
      </c>
      <c r="AC202" t="str">
        <f t="shared" si="78"/>
        <v>Green</v>
      </c>
      <c r="AD202" t="str">
        <f t="shared" si="79"/>
        <v>Red</v>
      </c>
    </row>
    <row r="203" spans="1:30" x14ac:dyDescent="0.25">
      <c r="A203" t="str">
        <f t="shared" si="60"/>
        <v>21/07/2026LiversedgeAFC Emley</v>
      </c>
      <c r="D203" s="2">
        <v>46224</v>
      </c>
      <c r="E203" s="3">
        <v>0.78125</v>
      </c>
      <c r="F203" t="s">
        <v>1573</v>
      </c>
      <c r="G203" t="s">
        <v>1574</v>
      </c>
      <c r="H203">
        <v>1</v>
      </c>
      <c r="I203">
        <v>0</v>
      </c>
      <c r="J203">
        <v>1</v>
      </c>
      <c r="K203">
        <v>1</v>
      </c>
      <c r="L203" s="22" t="str">
        <f t="shared" si="61"/>
        <v>21/07/2026</v>
      </c>
      <c r="M203" s="23">
        <f t="shared" si="62"/>
        <v>0.65625</v>
      </c>
      <c r="N203" t="str">
        <f t="shared" si="63"/>
        <v>1 - 1</v>
      </c>
      <c r="O203" t="str">
        <f t="shared" si="64"/>
        <v>Red</v>
      </c>
      <c r="P203" t="str">
        <f t="shared" si="65"/>
        <v>Green</v>
      </c>
      <c r="Q203" t="str">
        <f t="shared" si="66"/>
        <v>Red</v>
      </c>
      <c r="R203" t="str">
        <f t="shared" si="67"/>
        <v>Green</v>
      </c>
      <c r="S203" t="str">
        <f t="shared" si="68"/>
        <v>Green</v>
      </c>
      <c r="T203" t="str">
        <f t="shared" si="69"/>
        <v>Red</v>
      </c>
      <c r="U203" t="str">
        <f t="shared" si="70"/>
        <v>Green</v>
      </c>
      <c r="V203" t="str">
        <f t="shared" si="71"/>
        <v>Red</v>
      </c>
      <c r="W203" t="str">
        <f t="shared" si="72"/>
        <v>Red</v>
      </c>
      <c r="X203" t="str">
        <f t="shared" si="73"/>
        <v>Green</v>
      </c>
      <c r="Y203" t="str">
        <f t="shared" si="74"/>
        <v>Green</v>
      </c>
      <c r="Z203" t="str">
        <f t="shared" si="75"/>
        <v>Red</v>
      </c>
      <c r="AA203" t="str">
        <f t="shared" si="76"/>
        <v>Green</v>
      </c>
      <c r="AB203" t="str">
        <f t="shared" si="77"/>
        <v>Green</v>
      </c>
      <c r="AC203" t="str">
        <f t="shared" si="78"/>
        <v>Green</v>
      </c>
      <c r="AD203" t="str">
        <f t="shared" si="79"/>
        <v>Red</v>
      </c>
    </row>
    <row r="204" spans="1:30" x14ac:dyDescent="0.25">
      <c r="A204" t="str">
        <f t="shared" si="60"/>
        <v>21/07/2026Loughgall FCDungannon Swifts</v>
      </c>
      <c r="D204" s="2">
        <v>46224</v>
      </c>
      <c r="E204" s="3">
        <v>0.78125</v>
      </c>
      <c r="F204" t="s">
        <v>1575</v>
      </c>
      <c r="G204" t="s">
        <v>1576</v>
      </c>
      <c r="H204">
        <v>0</v>
      </c>
      <c r="I204">
        <v>1</v>
      </c>
      <c r="J204">
        <v>1</v>
      </c>
      <c r="K204">
        <v>4</v>
      </c>
      <c r="L204" s="22" t="str">
        <f t="shared" si="61"/>
        <v>21/07/2026</v>
      </c>
      <c r="M204" s="23">
        <f t="shared" si="62"/>
        <v>0.65625</v>
      </c>
      <c r="N204" t="str">
        <f t="shared" si="63"/>
        <v>1 - 4</v>
      </c>
      <c r="O204" t="str">
        <f t="shared" si="64"/>
        <v>Red</v>
      </c>
      <c r="P204" t="str">
        <f t="shared" si="65"/>
        <v>Red</v>
      </c>
      <c r="Q204" t="str">
        <f t="shared" si="66"/>
        <v>Green</v>
      </c>
      <c r="R204" t="str">
        <f t="shared" si="67"/>
        <v>Red</v>
      </c>
      <c r="S204" t="str">
        <f t="shared" si="68"/>
        <v>Green</v>
      </c>
      <c r="T204" t="str">
        <f t="shared" si="69"/>
        <v>Green</v>
      </c>
      <c r="U204" t="str">
        <f t="shared" si="70"/>
        <v>Red</v>
      </c>
      <c r="V204" t="str">
        <f t="shared" si="71"/>
        <v>Red</v>
      </c>
      <c r="W204" t="str">
        <f t="shared" si="72"/>
        <v>Green</v>
      </c>
      <c r="X204" t="str">
        <f t="shared" si="73"/>
        <v>Green</v>
      </c>
      <c r="Y204" t="str">
        <f t="shared" si="74"/>
        <v>Green</v>
      </c>
      <c r="Z204" t="str">
        <f t="shared" si="75"/>
        <v>Green</v>
      </c>
      <c r="AA204" t="str">
        <f t="shared" si="76"/>
        <v>Red</v>
      </c>
      <c r="AB204" t="str">
        <f t="shared" si="77"/>
        <v>Red</v>
      </c>
      <c r="AC204" t="str">
        <f t="shared" si="78"/>
        <v>Green</v>
      </c>
      <c r="AD204" t="str">
        <f t="shared" si="79"/>
        <v>Red</v>
      </c>
    </row>
    <row r="205" spans="1:30" x14ac:dyDescent="0.25">
      <c r="A205" t="str">
        <f t="shared" si="60"/>
        <v>21/07/2026Needham MarketSudbury</v>
      </c>
      <c r="D205" s="2">
        <v>46224</v>
      </c>
      <c r="E205" s="3">
        <v>0.78125</v>
      </c>
      <c r="F205" t="s">
        <v>1577</v>
      </c>
      <c r="G205" t="s">
        <v>1578</v>
      </c>
      <c r="H205">
        <v>0</v>
      </c>
      <c r="I205">
        <v>0</v>
      </c>
      <c r="J205">
        <v>3</v>
      </c>
      <c r="K205">
        <v>1</v>
      </c>
      <c r="L205" s="22" t="str">
        <f t="shared" si="61"/>
        <v>21/07/2026</v>
      </c>
      <c r="M205" s="23">
        <f t="shared" si="62"/>
        <v>0.65625</v>
      </c>
      <c r="N205" t="str">
        <f t="shared" si="63"/>
        <v>3 - 1</v>
      </c>
      <c r="O205" t="str">
        <f t="shared" si="64"/>
        <v>Green</v>
      </c>
      <c r="P205" t="str">
        <f t="shared" si="65"/>
        <v>Red</v>
      </c>
      <c r="Q205" t="str">
        <f t="shared" si="66"/>
        <v>Red</v>
      </c>
      <c r="R205" t="str">
        <f t="shared" si="67"/>
        <v>Green</v>
      </c>
      <c r="S205" t="str">
        <f t="shared" si="68"/>
        <v>Red</v>
      </c>
      <c r="T205" t="str">
        <f t="shared" si="69"/>
        <v>Green</v>
      </c>
      <c r="U205" t="str">
        <f t="shared" si="70"/>
        <v>Red</v>
      </c>
      <c r="V205" t="str">
        <f t="shared" si="71"/>
        <v>Green</v>
      </c>
      <c r="W205" t="str">
        <f t="shared" si="72"/>
        <v>Red</v>
      </c>
      <c r="X205" t="str">
        <f t="shared" si="73"/>
        <v>Red</v>
      </c>
      <c r="Y205" t="str">
        <f t="shared" si="74"/>
        <v>Green</v>
      </c>
      <c r="Z205" t="str">
        <f t="shared" si="75"/>
        <v>Green</v>
      </c>
      <c r="AA205" t="str">
        <f t="shared" si="76"/>
        <v>Red</v>
      </c>
      <c r="AB205" t="str">
        <f t="shared" si="77"/>
        <v>Red</v>
      </c>
      <c r="AC205" t="str">
        <f t="shared" si="78"/>
        <v>Green</v>
      </c>
      <c r="AD205" t="str">
        <f t="shared" si="79"/>
        <v>Red</v>
      </c>
    </row>
    <row r="206" spans="1:30" x14ac:dyDescent="0.25">
      <c r="A206" t="str">
        <f t="shared" si="60"/>
        <v>21/07/2026Rugby BoroughLeamington</v>
      </c>
      <c r="D206" s="2">
        <v>46224</v>
      </c>
      <c r="E206" s="3">
        <v>0.78125</v>
      </c>
      <c r="F206" t="s">
        <v>1579</v>
      </c>
      <c r="G206" t="s">
        <v>1499</v>
      </c>
      <c r="H206">
        <v>1</v>
      </c>
      <c r="I206">
        <v>0</v>
      </c>
      <c r="J206">
        <v>2</v>
      </c>
      <c r="K206">
        <v>1</v>
      </c>
      <c r="L206" s="22" t="str">
        <f t="shared" si="61"/>
        <v>21/07/2026</v>
      </c>
      <c r="M206" s="23">
        <f t="shared" si="62"/>
        <v>0.65625</v>
      </c>
      <c r="N206" t="str">
        <f t="shared" si="63"/>
        <v>2 - 1</v>
      </c>
      <c r="O206" t="str">
        <f t="shared" si="64"/>
        <v>Green</v>
      </c>
      <c r="P206" t="str">
        <f t="shared" si="65"/>
        <v>Red</v>
      </c>
      <c r="Q206" t="str">
        <f t="shared" si="66"/>
        <v>Red</v>
      </c>
      <c r="R206" t="str">
        <f t="shared" si="67"/>
        <v>Green</v>
      </c>
      <c r="S206" t="str">
        <f t="shared" si="68"/>
        <v>Red</v>
      </c>
      <c r="T206" t="str">
        <f t="shared" si="69"/>
        <v>Green</v>
      </c>
      <c r="U206" t="str">
        <f t="shared" si="70"/>
        <v>Green</v>
      </c>
      <c r="V206" t="str">
        <f t="shared" si="71"/>
        <v>Red</v>
      </c>
      <c r="W206" t="str">
        <f t="shared" si="72"/>
        <v>Red</v>
      </c>
      <c r="X206" t="str">
        <f t="shared" si="73"/>
        <v>Green</v>
      </c>
      <c r="Y206" t="str">
        <f t="shared" si="74"/>
        <v>Green</v>
      </c>
      <c r="Z206" t="str">
        <f t="shared" si="75"/>
        <v>Green</v>
      </c>
      <c r="AA206" t="str">
        <f t="shared" si="76"/>
        <v>Red</v>
      </c>
      <c r="AB206" t="str">
        <f t="shared" si="77"/>
        <v>Green</v>
      </c>
      <c r="AC206" t="str">
        <f t="shared" si="78"/>
        <v>Green</v>
      </c>
      <c r="AD206" t="str">
        <f t="shared" si="79"/>
        <v>Red</v>
      </c>
    </row>
    <row r="207" spans="1:30" x14ac:dyDescent="0.25">
      <c r="A207" t="str">
        <f t="shared" si="60"/>
        <v>21/07/2026South ParkLeatherhead</v>
      </c>
      <c r="D207" s="2">
        <v>46224</v>
      </c>
      <c r="E207" s="3">
        <v>0.78125</v>
      </c>
      <c r="F207" t="s">
        <v>1580</v>
      </c>
      <c r="G207" t="s">
        <v>1581</v>
      </c>
      <c r="H207">
        <v>0</v>
      </c>
      <c r="I207">
        <v>1</v>
      </c>
      <c r="J207">
        <v>4</v>
      </c>
      <c r="K207">
        <v>2</v>
      </c>
      <c r="L207" s="22" t="str">
        <f t="shared" si="61"/>
        <v>21/07/2026</v>
      </c>
      <c r="M207" s="23">
        <f t="shared" si="62"/>
        <v>0.65625</v>
      </c>
      <c r="N207" t="str">
        <f t="shared" si="63"/>
        <v>4 - 2</v>
      </c>
      <c r="O207" t="str">
        <f t="shared" si="64"/>
        <v>Green</v>
      </c>
      <c r="P207" t="str">
        <f t="shared" si="65"/>
        <v>Red</v>
      </c>
      <c r="Q207" t="str">
        <f t="shared" si="66"/>
        <v>Red</v>
      </c>
      <c r="R207" t="str">
        <f t="shared" si="67"/>
        <v>Green</v>
      </c>
      <c r="S207" t="str">
        <f t="shared" si="68"/>
        <v>Red</v>
      </c>
      <c r="T207" t="str">
        <f t="shared" si="69"/>
        <v>Green</v>
      </c>
      <c r="U207" t="str">
        <f t="shared" si="70"/>
        <v>Red</v>
      </c>
      <c r="V207" t="str">
        <f t="shared" si="71"/>
        <v>Red</v>
      </c>
      <c r="W207" t="str">
        <f t="shared" si="72"/>
        <v>Green</v>
      </c>
      <c r="X207" t="str">
        <f t="shared" si="73"/>
        <v>Green</v>
      </c>
      <c r="Y207" t="str">
        <f t="shared" si="74"/>
        <v>Green</v>
      </c>
      <c r="Z207" t="str">
        <f t="shared" si="75"/>
        <v>Green</v>
      </c>
      <c r="AA207" t="str">
        <f t="shared" si="76"/>
        <v>Red</v>
      </c>
      <c r="AB207" t="str">
        <f t="shared" si="77"/>
        <v>Red</v>
      </c>
      <c r="AC207" t="str">
        <f t="shared" si="78"/>
        <v>Green</v>
      </c>
      <c r="AD207" t="str">
        <f t="shared" si="79"/>
        <v>Red</v>
      </c>
    </row>
    <row r="208" spans="1:30" x14ac:dyDescent="0.25">
      <c r="A208" t="str">
        <f t="shared" si="60"/>
        <v>21/07/2026St Albans CityBerkhamsted</v>
      </c>
      <c r="D208" s="2">
        <v>46224</v>
      </c>
      <c r="E208" s="3">
        <v>0.78125</v>
      </c>
      <c r="F208" t="s">
        <v>1582</v>
      </c>
      <c r="G208" t="s">
        <v>1583</v>
      </c>
      <c r="H208">
        <v>2</v>
      </c>
      <c r="I208">
        <v>0</v>
      </c>
      <c r="J208">
        <v>4</v>
      </c>
      <c r="K208">
        <v>0</v>
      </c>
      <c r="L208" s="22" t="str">
        <f t="shared" si="61"/>
        <v>21/07/2026</v>
      </c>
      <c r="M208" s="23">
        <f t="shared" si="62"/>
        <v>0.65625</v>
      </c>
      <c r="N208" t="str">
        <f t="shared" si="63"/>
        <v>4 - 0</v>
      </c>
      <c r="O208" t="str">
        <f t="shared" si="64"/>
        <v>Green</v>
      </c>
      <c r="P208" t="str">
        <f t="shared" si="65"/>
        <v>Red</v>
      </c>
      <c r="Q208" t="str">
        <f t="shared" si="66"/>
        <v>Red</v>
      </c>
      <c r="R208" t="str">
        <f t="shared" si="67"/>
        <v>Green</v>
      </c>
      <c r="S208" t="str">
        <f t="shared" si="68"/>
        <v>Red</v>
      </c>
      <c r="T208" t="str">
        <f t="shared" si="69"/>
        <v>Green</v>
      </c>
      <c r="U208" t="str">
        <f t="shared" si="70"/>
        <v>Green</v>
      </c>
      <c r="V208" t="str">
        <f t="shared" si="71"/>
        <v>Red</v>
      </c>
      <c r="W208" t="str">
        <f t="shared" si="72"/>
        <v>Red</v>
      </c>
      <c r="X208" t="str">
        <f t="shared" si="73"/>
        <v>Green</v>
      </c>
      <c r="Y208" t="str">
        <f t="shared" si="74"/>
        <v>Green</v>
      </c>
      <c r="Z208" t="str">
        <f t="shared" si="75"/>
        <v>Green</v>
      </c>
      <c r="AA208" t="str">
        <f t="shared" si="76"/>
        <v>Red</v>
      </c>
      <c r="AB208" t="str">
        <f t="shared" si="77"/>
        <v>Red</v>
      </c>
      <c r="AC208" t="str">
        <f t="shared" si="78"/>
        <v>Red</v>
      </c>
      <c r="AD208" t="str">
        <f t="shared" si="79"/>
        <v>Green</v>
      </c>
    </row>
    <row r="209" spans="1:30" x14ac:dyDescent="0.25">
      <c r="A209" t="str">
        <f t="shared" si="60"/>
        <v>21/07/2026StamfordGrantham Town</v>
      </c>
      <c r="D209" s="2">
        <v>46224</v>
      </c>
      <c r="E209" s="3">
        <v>0.78125</v>
      </c>
      <c r="F209" t="s">
        <v>1584</v>
      </c>
      <c r="G209" t="s">
        <v>1585</v>
      </c>
      <c r="H209">
        <v>0</v>
      </c>
      <c r="I209">
        <v>0</v>
      </c>
      <c r="J209">
        <v>0</v>
      </c>
      <c r="K209">
        <v>3</v>
      </c>
      <c r="L209" s="22" t="str">
        <f t="shared" si="61"/>
        <v>21/07/2026</v>
      </c>
      <c r="M209" s="23">
        <f t="shared" si="62"/>
        <v>0.65625</v>
      </c>
      <c r="N209" t="str">
        <f t="shared" si="63"/>
        <v>0 - 3</v>
      </c>
      <c r="O209" t="str">
        <f t="shared" si="64"/>
        <v>Red</v>
      </c>
      <c r="P209" t="str">
        <f t="shared" si="65"/>
        <v>Red</v>
      </c>
      <c r="Q209" t="str">
        <f t="shared" si="66"/>
        <v>Green</v>
      </c>
      <c r="R209" t="str">
        <f t="shared" si="67"/>
        <v>Red</v>
      </c>
      <c r="S209" t="str">
        <f t="shared" si="68"/>
        <v>Green</v>
      </c>
      <c r="T209" t="str">
        <f t="shared" si="69"/>
        <v>Green</v>
      </c>
      <c r="U209" t="str">
        <f t="shared" si="70"/>
        <v>Red</v>
      </c>
      <c r="V209" t="str">
        <f t="shared" si="71"/>
        <v>Green</v>
      </c>
      <c r="W209" t="str">
        <f t="shared" si="72"/>
        <v>Red</v>
      </c>
      <c r="X209" t="str">
        <f t="shared" si="73"/>
        <v>Red</v>
      </c>
      <c r="Y209" t="str">
        <f t="shared" si="74"/>
        <v>Green</v>
      </c>
      <c r="Z209" t="str">
        <f t="shared" si="75"/>
        <v>Green</v>
      </c>
      <c r="AA209" t="str">
        <f t="shared" si="76"/>
        <v>Red</v>
      </c>
      <c r="AB209" t="str">
        <f t="shared" si="77"/>
        <v>Green</v>
      </c>
      <c r="AC209" t="str">
        <f t="shared" si="78"/>
        <v>Red</v>
      </c>
      <c r="AD209" t="str">
        <f t="shared" si="79"/>
        <v>Green</v>
      </c>
    </row>
    <row r="210" spans="1:30" x14ac:dyDescent="0.25">
      <c r="A210" t="str">
        <f t="shared" si="60"/>
        <v>21/07/2026Stratford TownBrackley Town</v>
      </c>
      <c r="D210" s="2">
        <v>46224</v>
      </c>
      <c r="E210" s="3">
        <v>0.78125</v>
      </c>
      <c r="F210" t="s">
        <v>1586</v>
      </c>
      <c r="G210" t="s">
        <v>1587</v>
      </c>
      <c r="H210">
        <v>1</v>
      </c>
      <c r="I210">
        <v>0</v>
      </c>
      <c r="J210">
        <v>1</v>
      </c>
      <c r="K210">
        <v>0</v>
      </c>
      <c r="L210" s="22" t="str">
        <f t="shared" si="61"/>
        <v>21/07/2026</v>
      </c>
      <c r="M210" s="23">
        <f t="shared" si="62"/>
        <v>0.65625</v>
      </c>
      <c r="N210" t="str">
        <f t="shared" si="63"/>
        <v>1 - 0</v>
      </c>
      <c r="O210" t="str">
        <f t="shared" si="64"/>
        <v>Green</v>
      </c>
      <c r="P210" t="str">
        <f t="shared" si="65"/>
        <v>Red</v>
      </c>
      <c r="Q210" t="str">
        <f t="shared" si="66"/>
        <v>Red</v>
      </c>
      <c r="R210" t="str">
        <f t="shared" si="67"/>
        <v>Green</v>
      </c>
      <c r="S210" t="str">
        <f t="shared" si="68"/>
        <v>Red</v>
      </c>
      <c r="T210" t="str">
        <f t="shared" si="69"/>
        <v>Green</v>
      </c>
      <c r="U210" t="str">
        <f t="shared" si="70"/>
        <v>Green</v>
      </c>
      <c r="V210" t="str">
        <f t="shared" si="71"/>
        <v>Red</v>
      </c>
      <c r="W210" t="str">
        <f t="shared" si="72"/>
        <v>Red</v>
      </c>
      <c r="X210" t="str">
        <f t="shared" si="73"/>
        <v>Green</v>
      </c>
      <c r="Y210" t="str">
        <f t="shared" si="74"/>
        <v>Red</v>
      </c>
      <c r="Z210" t="str">
        <f t="shared" si="75"/>
        <v>Red</v>
      </c>
      <c r="AA210" t="str">
        <f t="shared" si="76"/>
        <v>Green</v>
      </c>
      <c r="AB210" t="str">
        <f t="shared" si="77"/>
        <v>Green</v>
      </c>
      <c r="AC210" t="str">
        <f t="shared" si="78"/>
        <v>Red</v>
      </c>
      <c r="AD210" t="str">
        <f t="shared" si="79"/>
        <v>Green</v>
      </c>
    </row>
    <row r="211" spans="1:30" x14ac:dyDescent="0.25">
      <c r="A211" t="str">
        <f t="shared" si="60"/>
        <v>21/07/2026Sutton UnitedWalton &amp; Hersham</v>
      </c>
      <c r="D211" s="2">
        <v>46224</v>
      </c>
      <c r="E211" s="3">
        <v>0.78125</v>
      </c>
      <c r="F211" t="s">
        <v>1588</v>
      </c>
      <c r="G211" t="s">
        <v>1589</v>
      </c>
      <c r="H211">
        <v>1</v>
      </c>
      <c r="I211">
        <v>0</v>
      </c>
      <c r="J211">
        <v>1</v>
      </c>
      <c r="K211">
        <v>1</v>
      </c>
      <c r="L211" s="22" t="str">
        <f t="shared" si="61"/>
        <v>21/07/2026</v>
      </c>
      <c r="M211" s="23">
        <f t="shared" si="62"/>
        <v>0.65625</v>
      </c>
      <c r="N211" t="str">
        <f t="shared" si="63"/>
        <v>1 - 1</v>
      </c>
      <c r="O211" t="str">
        <f t="shared" si="64"/>
        <v>Red</v>
      </c>
      <c r="P211" t="str">
        <f t="shared" si="65"/>
        <v>Green</v>
      </c>
      <c r="Q211" t="str">
        <f t="shared" si="66"/>
        <v>Red</v>
      </c>
      <c r="R211" t="str">
        <f t="shared" si="67"/>
        <v>Green</v>
      </c>
      <c r="S211" t="str">
        <f t="shared" si="68"/>
        <v>Green</v>
      </c>
      <c r="T211" t="str">
        <f t="shared" si="69"/>
        <v>Red</v>
      </c>
      <c r="U211" t="str">
        <f t="shared" si="70"/>
        <v>Green</v>
      </c>
      <c r="V211" t="str">
        <f t="shared" si="71"/>
        <v>Red</v>
      </c>
      <c r="W211" t="str">
        <f t="shared" si="72"/>
        <v>Red</v>
      </c>
      <c r="X211" t="str">
        <f t="shared" si="73"/>
        <v>Green</v>
      </c>
      <c r="Y211" t="str">
        <f t="shared" si="74"/>
        <v>Green</v>
      </c>
      <c r="Z211" t="str">
        <f t="shared" si="75"/>
        <v>Red</v>
      </c>
      <c r="AA211" t="str">
        <f t="shared" si="76"/>
        <v>Green</v>
      </c>
      <c r="AB211" t="str">
        <f t="shared" si="77"/>
        <v>Green</v>
      </c>
      <c r="AC211" t="str">
        <f t="shared" si="78"/>
        <v>Green</v>
      </c>
      <c r="AD211" t="str">
        <f t="shared" si="79"/>
        <v>Red</v>
      </c>
    </row>
    <row r="212" spans="1:30" x14ac:dyDescent="0.25">
      <c r="A212" t="str">
        <f t="shared" si="60"/>
        <v>21/07/2026Three BridgesCroydon Athletic</v>
      </c>
      <c r="D212" s="2">
        <v>46224</v>
      </c>
      <c r="E212" s="3">
        <v>0.78125</v>
      </c>
      <c r="F212" t="s">
        <v>1590</v>
      </c>
      <c r="G212" t="s">
        <v>1591</v>
      </c>
      <c r="H212">
        <v>2</v>
      </c>
      <c r="I212">
        <v>2</v>
      </c>
      <c r="J212">
        <v>2</v>
      </c>
      <c r="K212">
        <v>4</v>
      </c>
      <c r="L212" s="22" t="str">
        <f t="shared" si="61"/>
        <v>21/07/2026</v>
      </c>
      <c r="M212" s="23">
        <f t="shared" si="62"/>
        <v>0.65625</v>
      </c>
      <c r="N212" t="str">
        <f t="shared" si="63"/>
        <v>2 - 4</v>
      </c>
      <c r="O212" t="str">
        <f t="shared" si="64"/>
        <v>Red</v>
      </c>
      <c r="P212" t="str">
        <f t="shared" si="65"/>
        <v>Red</v>
      </c>
      <c r="Q212" t="str">
        <f t="shared" si="66"/>
        <v>Green</v>
      </c>
      <c r="R212" t="str">
        <f t="shared" si="67"/>
        <v>Red</v>
      </c>
      <c r="S212" t="str">
        <f t="shared" si="68"/>
        <v>Green</v>
      </c>
      <c r="T212" t="str">
        <f t="shared" si="69"/>
        <v>Green</v>
      </c>
      <c r="U212" t="str">
        <f t="shared" si="70"/>
        <v>Red</v>
      </c>
      <c r="V212" t="str">
        <f t="shared" si="71"/>
        <v>Green</v>
      </c>
      <c r="W212" t="str">
        <f t="shared" si="72"/>
        <v>Red</v>
      </c>
      <c r="X212" t="str">
        <f t="shared" si="73"/>
        <v>Green</v>
      </c>
      <c r="Y212" t="str">
        <f t="shared" si="74"/>
        <v>Green</v>
      </c>
      <c r="Z212" t="str">
        <f t="shared" si="75"/>
        <v>Green</v>
      </c>
      <c r="AA212" t="str">
        <f t="shared" si="76"/>
        <v>Red</v>
      </c>
      <c r="AB212" t="str">
        <f t="shared" si="77"/>
        <v>Red</v>
      </c>
      <c r="AC212" t="str">
        <f t="shared" si="78"/>
        <v>Green</v>
      </c>
      <c r="AD212" t="str">
        <f t="shared" si="79"/>
        <v>Red</v>
      </c>
    </row>
    <row r="213" spans="1:30" x14ac:dyDescent="0.25">
      <c r="A213" t="str">
        <f t="shared" si="60"/>
        <v>21/07/2026Tonbridge AngelsSittingbourne</v>
      </c>
      <c r="D213" s="2">
        <v>46224</v>
      </c>
      <c r="E213" s="3">
        <v>0.78125</v>
      </c>
      <c r="F213" t="s">
        <v>1592</v>
      </c>
      <c r="G213" t="s">
        <v>1593</v>
      </c>
      <c r="H213">
        <v>1</v>
      </c>
      <c r="I213">
        <v>1</v>
      </c>
      <c r="J213">
        <v>2</v>
      </c>
      <c r="K213">
        <v>2</v>
      </c>
      <c r="L213" s="22" t="str">
        <f t="shared" si="61"/>
        <v>21/07/2026</v>
      </c>
      <c r="M213" s="23">
        <f t="shared" si="62"/>
        <v>0.65625</v>
      </c>
      <c r="N213" t="str">
        <f t="shared" si="63"/>
        <v>2 - 2</v>
      </c>
      <c r="O213" t="str">
        <f t="shared" si="64"/>
        <v>Red</v>
      </c>
      <c r="P213" t="str">
        <f t="shared" si="65"/>
        <v>Green</v>
      </c>
      <c r="Q213" t="str">
        <f t="shared" si="66"/>
        <v>Red</v>
      </c>
      <c r="R213" t="str">
        <f t="shared" si="67"/>
        <v>Green</v>
      </c>
      <c r="S213" t="str">
        <f t="shared" si="68"/>
        <v>Green</v>
      </c>
      <c r="T213" t="str">
        <f t="shared" si="69"/>
        <v>Red</v>
      </c>
      <c r="U213" t="str">
        <f t="shared" si="70"/>
        <v>Red</v>
      </c>
      <c r="V213" t="str">
        <f t="shared" si="71"/>
        <v>Green</v>
      </c>
      <c r="W213" t="str">
        <f t="shared" si="72"/>
        <v>Red</v>
      </c>
      <c r="X213" t="str">
        <f t="shared" si="73"/>
        <v>Green</v>
      </c>
      <c r="Y213" t="str">
        <f t="shared" si="74"/>
        <v>Green</v>
      </c>
      <c r="Z213" t="str">
        <f t="shared" si="75"/>
        <v>Green</v>
      </c>
      <c r="AA213" t="str">
        <f t="shared" si="76"/>
        <v>Red</v>
      </c>
      <c r="AB213" t="str">
        <f t="shared" si="77"/>
        <v>Red</v>
      </c>
      <c r="AC213" t="str">
        <f t="shared" si="78"/>
        <v>Green</v>
      </c>
      <c r="AD213" t="str">
        <f t="shared" si="79"/>
        <v>Red</v>
      </c>
    </row>
    <row r="214" spans="1:30" x14ac:dyDescent="0.25">
      <c r="A214" t="str">
        <f t="shared" si="60"/>
        <v>21/07/2026UxbridgeSlough Town</v>
      </c>
      <c r="D214" s="2">
        <v>46224</v>
      </c>
      <c r="E214" s="3">
        <v>0.78125</v>
      </c>
      <c r="F214" t="s">
        <v>1594</v>
      </c>
      <c r="G214" t="s">
        <v>1595</v>
      </c>
      <c r="H214">
        <v>0</v>
      </c>
      <c r="I214">
        <v>0</v>
      </c>
      <c r="J214">
        <v>0</v>
      </c>
      <c r="K214">
        <v>0</v>
      </c>
      <c r="L214" s="22" t="str">
        <f t="shared" si="61"/>
        <v>21/07/2026</v>
      </c>
      <c r="M214" s="23">
        <f t="shared" si="62"/>
        <v>0.65625</v>
      </c>
      <c r="N214" t="str">
        <f t="shared" si="63"/>
        <v>0 - 0</v>
      </c>
      <c r="O214" t="str">
        <f t="shared" si="64"/>
        <v>Red</v>
      </c>
      <c r="P214" t="str">
        <f t="shared" si="65"/>
        <v>Green</v>
      </c>
      <c r="Q214" t="str">
        <f t="shared" si="66"/>
        <v>Red</v>
      </c>
      <c r="R214" t="str">
        <f t="shared" si="67"/>
        <v>Green</v>
      </c>
      <c r="S214" t="str">
        <f t="shared" si="68"/>
        <v>Green</v>
      </c>
      <c r="T214" t="str">
        <f t="shared" si="69"/>
        <v>Red</v>
      </c>
      <c r="U214" t="str">
        <f t="shared" si="70"/>
        <v>Red</v>
      </c>
      <c r="V214" t="str">
        <f t="shared" si="71"/>
        <v>Green</v>
      </c>
      <c r="W214" t="str">
        <f t="shared" si="72"/>
        <v>Red</v>
      </c>
      <c r="X214" t="str">
        <f t="shared" si="73"/>
        <v>Red</v>
      </c>
      <c r="Y214" t="str">
        <f t="shared" si="74"/>
        <v>Red</v>
      </c>
      <c r="Z214" t="str">
        <f t="shared" si="75"/>
        <v>Red</v>
      </c>
      <c r="AA214" t="str">
        <f t="shared" si="76"/>
        <v>Green</v>
      </c>
      <c r="AB214" t="str">
        <f t="shared" si="77"/>
        <v>Green</v>
      </c>
      <c r="AC214" t="str">
        <f t="shared" si="78"/>
        <v>Red</v>
      </c>
      <c r="AD214" t="str">
        <f t="shared" si="79"/>
        <v>Green</v>
      </c>
    </row>
    <row r="215" spans="1:30" x14ac:dyDescent="0.25">
      <c r="A215" t="str">
        <f t="shared" si="60"/>
        <v>21/07/2026Warrington TownMacclesfield Town</v>
      </c>
      <c r="D215" s="2">
        <v>46224</v>
      </c>
      <c r="E215" s="3">
        <v>0.78125</v>
      </c>
      <c r="F215" t="s">
        <v>1596</v>
      </c>
      <c r="G215" t="s">
        <v>1597</v>
      </c>
      <c r="H215">
        <v>1</v>
      </c>
      <c r="I215">
        <v>2</v>
      </c>
      <c r="J215">
        <v>2</v>
      </c>
      <c r="K215">
        <v>2</v>
      </c>
      <c r="L215" s="22" t="str">
        <f t="shared" si="61"/>
        <v>21/07/2026</v>
      </c>
      <c r="M215" s="23">
        <f t="shared" si="62"/>
        <v>0.65625</v>
      </c>
      <c r="N215" t="str">
        <f t="shared" si="63"/>
        <v>2 - 2</v>
      </c>
      <c r="O215" t="str">
        <f t="shared" si="64"/>
        <v>Red</v>
      </c>
      <c r="P215" t="str">
        <f t="shared" si="65"/>
        <v>Green</v>
      </c>
      <c r="Q215" t="str">
        <f t="shared" si="66"/>
        <v>Red</v>
      </c>
      <c r="R215" t="str">
        <f t="shared" si="67"/>
        <v>Green</v>
      </c>
      <c r="S215" t="str">
        <f t="shared" si="68"/>
        <v>Green</v>
      </c>
      <c r="T215" t="str">
        <f t="shared" si="69"/>
        <v>Red</v>
      </c>
      <c r="U215" t="str">
        <f t="shared" si="70"/>
        <v>Red</v>
      </c>
      <c r="V215" t="str">
        <f t="shared" si="71"/>
        <v>Red</v>
      </c>
      <c r="W215" t="str">
        <f t="shared" si="72"/>
        <v>Green</v>
      </c>
      <c r="X215" t="str">
        <f t="shared" si="73"/>
        <v>Green</v>
      </c>
      <c r="Y215" t="str">
        <f t="shared" si="74"/>
        <v>Green</v>
      </c>
      <c r="Z215" t="str">
        <f t="shared" si="75"/>
        <v>Green</v>
      </c>
      <c r="AA215" t="str">
        <f t="shared" si="76"/>
        <v>Red</v>
      </c>
      <c r="AB215" t="str">
        <f t="shared" si="77"/>
        <v>Red</v>
      </c>
      <c r="AC215" t="str">
        <f t="shared" si="78"/>
        <v>Green</v>
      </c>
      <c r="AD215" t="str">
        <f t="shared" si="79"/>
        <v>Red</v>
      </c>
    </row>
    <row r="216" spans="1:30" x14ac:dyDescent="0.25">
      <c r="A216" t="str">
        <f t="shared" si="60"/>
        <v>21/07/2026Larne FCRed Star Belgrade</v>
      </c>
      <c r="B216" t="s">
        <v>820</v>
      </c>
      <c r="C216" t="s">
        <v>821</v>
      </c>
      <c r="D216" s="2">
        <v>46224</v>
      </c>
      <c r="E216" s="3">
        <v>0.79166666666666663</v>
      </c>
      <c r="F216" t="s">
        <v>372</v>
      </c>
      <c r="G216" t="s">
        <v>373</v>
      </c>
      <c r="H216">
        <v>0</v>
      </c>
      <c r="I216">
        <v>1</v>
      </c>
      <c r="J216">
        <v>0</v>
      </c>
      <c r="K216">
        <v>4</v>
      </c>
      <c r="L216" s="22" t="str">
        <f t="shared" si="61"/>
        <v>21/07/2026</v>
      </c>
      <c r="M216" s="23">
        <f t="shared" si="62"/>
        <v>0.66666666666666663</v>
      </c>
      <c r="N216" t="str">
        <f t="shared" si="63"/>
        <v>0 - 4</v>
      </c>
      <c r="O216" t="str">
        <f t="shared" si="64"/>
        <v>Red</v>
      </c>
      <c r="P216" t="str">
        <f t="shared" si="65"/>
        <v>Red</v>
      </c>
      <c r="Q216" t="str">
        <f t="shared" si="66"/>
        <v>Green</v>
      </c>
      <c r="R216" t="str">
        <f t="shared" si="67"/>
        <v>Red</v>
      </c>
      <c r="S216" t="str">
        <f t="shared" si="68"/>
        <v>Green</v>
      </c>
      <c r="T216" t="str">
        <f t="shared" si="69"/>
        <v>Green</v>
      </c>
      <c r="U216" t="str">
        <f t="shared" si="70"/>
        <v>Red</v>
      </c>
      <c r="V216" t="str">
        <f t="shared" si="71"/>
        <v>Red</v>
      </c>
      <c r="W216" t="str">
        <f t="shared" si="72"/>
        <v>Green</v>
      </c>
      <c r="X216" t="str">
        <f t="shared" si="73"/>
        <v>Green</v>
      </c>
      <c r="Y216" t="str">
        <f t="shared" si="74"/>
        <v>Green</v>
      </c>
      <c r="Z216" t="str">
        <f t="shared" si="75"/>
        <v>Green</v>
      </c>
      <c r="AA216" t="str">
        <f t="shared" si="76"/>
        <v>Red</v>
      </c>
      <c r="AB216" t="str">
        <f t="shared" si="77"/>
        <v>Red</v>
      </c>
      <c r="AC216" t="str">
        <f t="shared" si="78"/>
        <v>Red</v>
      </c>
      <c r="AD216" t="str">
        <f t="shared" si="79"/>
        <v>Green</v>
      </c>
    </row>
    <row r="217" spans="1:30" x14ac:dyDescent="0.25">
      <c r="A217" t="str">
        <f t="shared" si="60"/>
        <v>21/07/2026Vikingur ReykjavikHapoel Beer Sheva</v>
      </c>
      <c r="B217" t="s">
        <v>820</v>
      </c>
      <c r="C217" t="s">
        <v>821</v>
      </c>
      <c r="D217" s="2">
        <v>46224</v>
      </c>
      <c r="E217" s="3">
        <v>0.79166666666666663</v>
      </c>
      <c r="F217" t="s">
        <v>169</v>
      </c>
      <c r="G217" t="s">
        <v>374</v>
      </c>
      <c r="H217">
        <v>0</v>
      </c>
      <c r="I217">
        <v>0</v>
      </c>
      <c r="J217">
        <v>2</v>
      </c>
      <c r="K217">
        <v>1</v>
      </c>
      <c r="L217" s="22" t="str">
        <f t="shared" si="61"/>
        <v>21/07/2026</v>
      </c>
      <c r="M217" s="23">
        <f t="shared" si="62"/>
        <v>0.66666666666666663</v>
      </c>
      <c r="N217" t="str">
        <f t="shared" si="63"/>
        <v>2 - 1</v>
      </c>
      <c r="O217" t="str">
        <f t="shared" si="64"/>
        <v>Green</v>
      </c>
      <c r="P217" t="str">
        <f t="shared" si="65"/>
        <v>Red</v>
      </c>
      <c r="Q217" t="str">
        <f t="shared" si="66"/>
        <v>Red</v>
      </c>
      <c r="R217" t="str">
        <f t="shared" si="67"/>
        <v>Green</v>
      </c>
      <c r="S217" t="str">
        <f t="shared" si="68"/>
        <v>Red</v>
      </c>
      <c r="T217" t="str">
        <f t="shared" si="69"/>
        <v>Green</v>
      </c>
      <c r="U217" t="str">
        <f t="shared" si="70"/>
        <v>Red</v>
      </c>
      <c r="V217" t="str">
        <f t="shared" si="71"/>
        <v>Green</v>
      </c>
      <c r="W217" t="str">
        <f t="shared" si="72"/>
        <v>Red</v>
      </c>
      <c r="X217" t="str">
        <f t="shared" si="73"/>
        <v>Red</v>
      </c>
      <c r="Y217" t="str">
        <f t="shared" si="74"/>
        <v>Green</v>
      </c>
      <c r="Z217" t="str">
        <f t="shared" si="75"/>
        <v>Green</v>
      </c>
      <c r="AA217" t="str">
        <f t="shared" si="76"/>
        <v>Red</v>
      </c>
      <c r="AB217" t="str">
        <f t="shared" si="77"/>
        <v>Green</v>
      </c>
      <c r="AC217" t="str">
        <f t="shared" si="78"/>
        <v>Green</v>
      </c>
      <c r="AD217" t="str">
        <f t="shared" si="79"/>
        <v>Red</v>
      </c>
    </row>
    <row r="218" spans="1:30" x14ac:dyDescent="0.25">
      <c r="A218" t="str">
        <f t="shared" si="60"/>
        <v>21/07/2026Morocco WomenCape Verde Women</v>
      </c>
      <c r="D218" s="2">
        <v>46224</v>
      </c>
      <c r="E218" s="3">
        <v>0.79166666666666663</v>
      </c>
      <c r="F218" t="s">
        <v>1598</v>
      </c>
      <c r="G218" t="s">
        <v>1599</v>
      </c>
      <c r="H218">
        <v>2</v>
      </c>
      <c r="I218">
        <v>0</v>
      </c>
      <c r="J218">
        <v>5</v>
      </c>
      <c r="K218">
        <v>0</v>
      </c>
      <c r="L218" s="22" t="str">
        <f t="shared" si="61"/>
        <v>21/07/2026</v>
      </c>
      <c r="M218" s="23">
        <f t="shared" si="62"/>
        <v>0.66666666666666663</v>
      </c>
      <c r="N218" t="str">
        <f t="shared" si="63"/>
        <v>5 - 0</v>
      </c>
      <c r="O218" t="str">
        <f t="shared" si="64"/>
        <v>Green</v>
      </c>
      <c r="P218" t="str">
        <f t="shared" si="65"/>
        <v>Red</v>
      </c>
      <c r="Q218" t="str">
        <f t="shared" si="66"/>
        <v>Red</v>
      </c>
      <c r="R218" t="str">
        <f t="shared" si="67"/>
        <v>Green</v>
      </c>
      <c r="S218" t="str">
        <f t="shared" si="68"/>
        <v>Red</v>
      </c>
      <c r="T218" t="str">
        <f t="shared" si="69"/>
        <v>Green</v>
      </c>
      <c r="U218" t="str">
        <f t="shared" si="70"/>
        <v>Green</v>
      </c>
      <c r="V218" t="str">
        <f t="shared" si="71"/>
        <v>Red</v>
      </c>
      <c r="W218" t="str">
        <f t="shared" si="72"/>
        <v>Red</v>
      </c>
      <c r="X218" t="str">
        <f t="shared" si="73"/>
        <v>Green</v>
      </c>
      <c r="Y218" t="str">
        <f t="shared" si="74"/>
        <v>Green</v>
      </c>
      <c r="Z218" t="str">
        <f t="shared" si="75"/>
        <v>Green</v>
      </c>
      <c r="AA218" t="str">
        <f t="shared" si="76"/>
        <v>Red</v>
      </c>
      <c r="AB218" t="str">
        <f t="shared" si="77"/>
        <v>Red</v>
      </c>
      <c r="AC218" t="str">
        <f t="shared" si="78"/>
        <v>Red</v>
      </c>
      <c r="AD218" t="str">
        <f t="shared" si="79"/>
        <v>Green</v>
      </c>
    </row>
    <row r="219" spans="1:30" x14ac:dyDescent="0.25">
      <c r="A219" t="str">
        <f t="shared" si="60"/>
        <v>21/07/2026Hafnarfjodour WomenStjarnan Women</v>
      </c>
      <c r="D219" s="2">
        <v>46224</v>
      </c>
      <c r="E219" s="3">
        <v>0.80208333333333337</v>
      </c>
      <c r="F219" t="s">
        <v>1380</v>
      </c>
      <c r="G219" t="s">
        <v>1381</v>
      </c>
      <c r="H219">
        <v>4</v>
      </c>
      <c r="I219">
        <v>1</v>
      </c>
      <c r="J219">
        <v>7</v>
      </c>
      <c r="K219">
        <v>3</v>
      </c>
      <c r="L219" s="22" t="str">
        <f t="shared" si="61"/>
        <v>21/07/2026</v>
      </c>
      <c r="M219" s="23">
        <f t="shared" si="62"/>
        <v>0.67708333333333337</v>
      </c>
      <c r="N219" t="str">
        <f t="shared" si="63"/>
        <v>7 - 3</v>
      </c>
      <c r="O219" t="str">
        <f t="shared" si="64"/>
        <v>Green</v>
      </c>
      <c r="P219" t="str">
        <f t="shared" si="65"/>
        <v>Red</v>
      </c>
      <c r="Q219" t="str">
        <f t="shared" si="66"/>
        <v>Red</v>
      </c>
      <c r="R219" t="str">
        <f t="shared" si="67"/>
        <v>Green</v>
      </c>
      <c r="S219" t="str">
        <f t="shared" si="68"/>
        <v>Red</v>
      </c>
      <c r="T219" t="str">
        <f t="shared" si="69"/>
        <v>Green</v>
      </c>
      <c r="U219" t="str">
        <f t="shared" si="70"/>
        <v>Green</v>
      </c>
      <c r="V219" t="str">
        <f t="shared" si="71"/>
        <v>Red</v>
      </c>
      <c r="W219" t="str">
        <f t="shared" si="72"/>
        <v>Red</v>
      </c>
      <c r="X219" t="str">
        <f t="shared" si="73"/>
        <v>Green</v>
      </c>
      <c r="Y219" t="str">
        <f t="shared" si="74"/>
        <v>Green</v>
      </c>
      <c r="Z219" t="str">
        <f t="shared" si="75"/>
        <v>Green</v>
      </c>
      <c r="AA219" t="str">
        <f t="shared" si="76"/>
        <v>Red</v>
      </c>
      <c r="AB219" t="str">
        <f t="shared" si="77"/>
        <v>Red</v>
      </c>
      <c r="AC219" t="str">
        <f t="shared" si="78"/>
        <v>Green</v>
      </c>
      <c r="AD219" t="str">
        <f t="shared" si="79"/>
        <v>Red</v>
      </c>
    </row>
    <row r="220" spans="1:30" x14ac:dyDescent="0.25">
      <c r="A220" t="str">
        <f t="shared" si="60"/>
        <v>21/07/2026Valur WomenBreidablik Women</v>
      </c>
      <c r="D220" s="2">
        <v>46224</v>
      </c>
      <c r="E220" s="3">
        <v>0.80208333333333337</v>
      </c>
      <c r="F220" t="s">
        <v>1382</v>
      </c>
      <c r="G220" t="s">
        <v>1383</v>
      </c>
      <c r="H220">
        <v>0</v>
      </c>
      <c r="I220">
        <v>6</v>
      </c>
      <c r="J220">
        <v>1</v>
      </c>
      <c r="K220">
        <v>7</v>
      </c>
      <c r="L220" s="22" t="str">
        <f t="shared" si="61"/>
        <v>21/07/2026</v>
      </c>
      <c r="M220" s="23">
        <f t="shared" si="62"/>
        <v>0.67708333333333337</v>
      </c>
      <c r="N220" t="str">
        <f t="shared" si="63"/>
        <v>1 - 7</v>
      </c>
      <c r="O220" t="str">
        <f t="shared" si="64"/>
        <v>Red</v>
      </c>
      <c r="P220" t="str">
        <f t="shared" si="65"/>
        <v>Red</v>
      </c>
      <c r="Q220" t="str">
        <f t="shared" si="66"/>
        <v>Green</v>
      </c>
      <c r="R220" t="str">
        <f t="shared" si="67"/>
        <v>Red</v>
      </c>
      <c r="S220" t="str">
        <f t="shared" si="68"/>
        <v>Green</v>
      </c>
      <c r="T220" t="str">
        <f t="shared" si="69"/>
        <v>Green</v>
      </c>
      <c r="U220" t="str">
        <f t="shared" si="70"/>
        <v>Red</v>
      </c>
      <c r="V220" t="str">
        <f t="shared" si="71"/>
        <v>Red</v>
      </c>
      <c r="W220" t="str">
        <f t="shared" si="72"/>
        <v>Green</v>
      </c>
      <c r="X220" t="str">
        <f t="shared" si="73"/>
        <v>Green</v>
      </c>
      <c r="Y220" t="str">
        <f t="shared" si="74"/>
        <v>Green</v>
      </c>
      <c r="Z220" t="str">
        <f t="shared" si="75"/>
        <v>Green</v>
      </c>
      <c r="AA220" t="str">
        <f t="shared" si="76"/>
        <v>Red</v>
      </c>
      <c r="AB220" t="str">
        <f t="shared" si="77"/>
        <v>Red</v>
      </c>
      <c r="AC220" t="str">
        <f t="shared" si="78"/>
        <v>Green</v>
      </c>
      <c r="AD220" t="str">
        <f t="shared" si="79"/>
        <v>Red</v>
      </c>
    </row>
    <row r="221" spans="1:30" x14ac:dyDescent="0.25">
      <c r="A221" t="str">
        <f t="shared" si="60"/>
        <v>21/07/2026Fluminense WomenCruzeiro RJ Women</v>
      </c>
      <c r="B221" t="s">
        <v>822</v>
      </c>
      <c r="C221" t="s">
        <v>1324</v>
      </c>
      <c r="D221" s="2">
        <v>46224</v>
      </c>
      <c r="E221" s="3">
        <v>0.8125</v>
      </c>
      <c r="F221" t="s">
        <v>1355</v>
      </c>
      <c r="G221" t="s">
        <v>1356</v>
      </c>
      <c r="H221">
        <v>0</v>
      </c>
      <c r="I221">
        <v>0</v>
      </c>
      <c r="J221">
        <v>2</v>
      </c>
      <c r="K221">
        <v>1</v>
      </c>
      <c r="L221" s="22" t="str">
        <f t="shared" si="61"/>
        <v>21/07/2026</v>
      </c>
      <c r="M221" s="23">
        <f t="shared" si="62"/>
        <v>0.6875</v>
      </c>
      <c r="N221" t="str">
        <f t="shared" si="63"/>
        <v>2 - 1</v>
      </c>
      <c r="O221" t="str">
        <f t="shared" si="64"/>
        <v>Green</v>
      </c>
      <c r="P221" t="str">
        <f t="shared" si="65"/>
        <v>Red</v>
      </c>
      <c r="Q221" t="str">
        <f t="shared" si="66"/>
        <v>Red</v>
      </c>
      <c r="R221" t="str">
        <f t="shared" si="67"/>
        <v>Green</v>
      </c>
      <c r="S221" t="str">
        <f t="shared" si="68"/>
        <v>Red</v>
      </c>
      <c r="T221" t="str">
        <f t="shared" si="69"/>
        <v>Green</v>
      </c>
      <c r="U221" t="str">
        <f t="shared" si="70"/>
        <v>Red</v>
      </c>
      <c r="V221" t="str">
        <f t="shared" si="71"/>
        <v>Green</v>
      </c>
      <c r="W221" t="str">
        <f t="shared" si="72"/>
        <v>Red</v>
      </c>
      <c r="X221" t="str">
        <f t="shared" si="73"/>
        <v>Red</v>
      </c>
      <c r="Y221" t="str">
        <f t="shared" si="74"/>
        <v>Green</v>
      </c>
      <c r="Z221" t="str">
        <f t="shared" si="75"/>
        <v>Green</v>
      </c>
      <c r="AA221" t="str">
        <f t="shared" si="76"/>
        <v>Red</v>
      </c>
      <c r="AB221" t="str">
        <f t="shared" si="77"/>
        <v>Green</v>
      </c>
      <c r="AC221" t="str">
        <f t="shared" si="78"/>
        <v>Green</v>
      </c>
      <c r="AD221" t="str">
        <f t="shared" si="79"/>
        <v>Red</v>
      </c>
    </row>
    <row r="222" spans="1:30" x14ac:dyDescent="0.25">
      <c r="A222" t="str">
        <f t="shared" si="60"/>
        <v>21/07/2026FylkirAfturelding</v>
      </c>
      <c r="D222" s="2">
        <v>46224</v>
      </c>
      <c r="E222" s="3">
        <v>0.8125</v>
      </c>
      <c r="F222" t="s">
        <v>1379</v>
      </c>
      <c r="G222" t="s">
        <v>622</v>
      </c>
      <c r="H222">
        <v>0</v>
      </c>
      <c r="I222">
        <v>0</v>
      </c>
      <c r="J222">
        <v>1</v>
      </c>
      <c r="K222">
        <v>1</v>
      </c>
      <c r="L222" s="22" t="str">
        <f t="shared" si="61"/>
        <v>21/07/2026</v>
      </c>
      <c r="M222" s="23">
        <f t="shared" si="62"/>
        <v>0.6875</v>
      </c>
      <c r="N222" t="str">
        <f t="shared" si="63"/>
        <v>1 - 1</v>
      </c>
      <c r="O222" t="str">
        <f t="shared" si="64"/>
        <v>Red</v>
      </c>
      <c r="P222" t="str">
        <f t="shared" si="65"/>
        <v>Green</v>
      </c>
      <c r="Q222" t="str">
        <f t="shared" si="66"/>
        <v>Red</v>
      </c>
      <c r="R222" t="str">
        <f t="shared" si="67"/>
        <v>Green</v>
      </c>
      <c r="S222" t="str">
        <f t="shared" si="68"/>
        <v>Green</v>
      </c>
      <c r="T222" t="str">
        <f t="shared" si="69"/>
        <v>Red</v>
      </c>
      <c r="U222" t="str">
        <f t="shared" si="70"/>
        <v>Red</v>
      </c>
      <c r="V222" t="str">
        <f t="shared" si="71"/>
        <v>Green</v>
      </c>
      <c r="W222" t="str">
        <f t="shared" si="72"/>
        <v>Red</v>
      </c>
      <c r="X222" t="str">
        <f t="shared" si="73"/>
        <v>Red</v>
      </c>
      <c r="Y222" t="str">
        <f t="shared" si="74"/>
        <v>Green</v>
      </c>
      <c r="Z222" t="str">
        <f t="shared" si="75"/>
        <v>Red</v>
      </c>
      <c r="AA222" t="str">
        <f t="shared" si="76"/>
        <v>Green</v>
      </c>
      <c r="AB222" t="str">
        <f t="shared" si="77"/>
        <v>Green</v>
      </c>
      <c r="AC222" t="str">
        <f t="shared" si="78"/>
        <v>Green</v>
      </c>
      <c r="AD222" t="str">
        <f t="shared" si="79"/>
        <v>Red</v>
      </c>
    </row>
    <row r="223" spans="1:30" x14ac:dyDescent="0.25">
      <c r="A223" t="str">
        <f t="shared" si="60"/>
        <v>21/07/2026Estudiantes de La PlataIndependiente Rivadavia</v>
      </c>
      <c r="B223" t="s">
        <v>824</v>
      </c>
      <c r="C223" t="s">
        <v>827</v>
      </c>
      <c r="D223" s="2">
        <v>46224</v>
      </c>
      <c r="E223" s="3">
        <v>0.875</v>
      </c>
      <c r="F223" t="s">
        <v>382</v>
      </c>
      <c r="G223" t="s">
        <v>383</v>
      </c>
      <c r="L223" s="22" t="str">
        <f t="shared" si="61"/>
        <v>21/07/2026</v>
      </c>
      <c r="M223" s="23">
        <f t="shared" si="62"/>
        <v>0.75</v>
      </c>
      <c r="N223" t="str">
        <f t="shared" si="63"/>
        <v xml:space="preserve"> - </v>
      </c>
      <c r="O223" t="str">
        <f t="shared" si="64"/>
        <v>Red</v>
      </c>
      <c r="P223" t="str">
        <f t="shared" si="65"/>
        <v>Green</v>
      </c>
      <c r="Q223" t="str">
        <f t="shared" si="66"/>
        <v>Red</v>
      </c>
      <c r="R223" t="str">
        <f t="shared" si="67"/>
        <v>Green</v>
      </c>
      <c r="S223" t="str">
        <f t="shared" si="68"/>
        <v>Green</v>
      </c>
      <c r="T223" t="str">
        <f t="shared" si="69"/>
        <v>Red</v>
      </c>
      <c r="U223" t="str">
        <f t="shared" si="70"/>
        <v>Red</v>
      </c>
      <c r="V223" t="str">
        <f t="shared" si="71"/>
        <v>Green</v>
      </c>
      <c r="W223" t="str">
        <f t="shared" si="72"/>
        <v>Red</v>
      </c>
      <c r="X223" t="str">
        <f t="shared" si="73"/>
        <v>Red</v>
      </c>
      <c r="Y223" t="str">
        <f t="shared" si="74"/>
        <v>Red</v>
      </c>
      <c r="Z223" t="str">
        <f t="shared" si="75"/>
        <v>Red</v>
      </c>
      <c r="AA223" t="str">
        <f t="shared" si="76"/>
        <v>Green</v>
      </c>
      <c r="AB223" t="str">
        <f t="shared" si="77"/>
        <v>Green</v>
      </c>
      <c r="AC223" t="str">
        <f t="shared" si="78"/>
        <v>Red</v>
      </c>
      <c r="AD223" t="str">
        <f t="shared" si="79"/>
        <v>Green</v>
      </c>
    </row>
    <row r="224" spans="1:30" x14ac:dyDescent="0.25">
      <c r="A224" t="str">
        <f t="shared" si="60"/>
        <v>21/07/2026Atletico NacionalTigres FC</v>
      </c>
      <c r="B224" t="s">
        <v>839</v>
      </c>
      <c r="C224" t="s">
        <v>840</v>
      </c>
      <c r="D224" s="2">
        <v>46224</v>
      </c>
      <c r="E224" s="3">
        <v>0.875</v>
      </c>
      <c r="F224" t="s">
        <v>418</v>
      </c>
      <c r="G224" t="s">
        <v>191</v>
      </c>
      <c r="H224">
        <v>2</v>
      </c>
      <c r="I224">
        <v>0</v>
      </c>
      <c r="J224">
        <v>2</v>
      </c>
      <c r="K224">
        <v>0</v>
      </c>
      <c r="L224" s="22" t="str">
        <f t="shared" si="61"/>
        <v>21/07/2026</v>
      </c>
      <c r="M224" s="23">
        <f t="shared" si="62"/>
        <v>0.75</v>
      </c>
      <c r="N224" t="str">
        <f t="shared" si="63"/>
        <v>2 - 0</v>
      </c>
      <c r="O224" t="str">
        <f t="shared" si="64"/>
        <v>Green</v>
      </c>
      <c r="P224" t="str">
        <f t="shared" si="65"/>
        <v>Red</v>
      </c>
      <c r="Q224" t="str">
        <f t="shared" si="66"/>
        <v>Red</v>
      </c>
      <c r="R224" t="str">
        <f t="shared" si="67"/>
        <v>Green</v>
      </c>
      <c r="S224" t="str">
        <f t="shared" si="68"/>
        <v>Red</v>
      </c>
      <c r="T224" t="str">
        <f t="shared" si="69"/>
        <v>Green</v>
      </c>
      <c r="U224" t="str">
        <f t="shared" si="70"/>
        <v>Green</v>
      </c>
      <c r="V224" t="str">
        <f t="shared" si="71"/>
        <v>Red</v>
      </c>
      <c r="W224" t="str">
        <f t="shared" si="72"/>
        <v>Red</v>
      </c>
      <c r="X224" t="str">
        <f t="shared" si="73"/>
        <v>Green</v>
      </c>
      <c r="Y224" t="str">
        <f t="shared" si="74"/>
        <v>Green</v>
      </c>
      <c r="Z224" t="str">
        <f t="shared" si="75"/>
        <v>Red</v>
      </c>
      <c r="AA224" t="str">
        <f t="shared" si="76"/>
        <v>Green</v>
      </c>
      <c r="AB224" t="str">
        <f t="shared" si="77"/>
        <v>Green</v>
      </c>
      <c r="AC224" t="str">
        <f t="shared" si="78"/>
        <v>Red</v>
      </c>
      <c r="AD224" t="str">
        <f t="shared" si="79"/>
        <v>Green</v>
      </c>
    </row>
    <row r="225" spans="1:30" x14ac:dyDescent="0.25">
      <c r="A225" t="str">
        <f t="shared" si="60"/>
        <v>21/07/2026Libertad LojaDelfin SC</v>
      </c>
      <c r="D225" s="2">
        <v>46224</v>
      </c>
      <c r="E225" s="3">
        <v>0.89583333333333337</v>
      </c>
      <c r="F225" t="s">
        <v>431</v>
      </c>
      <c r="G225" t="s">
        <v>432</v>
      </c>
      <c r="H225">
        <v>0</v>
      </c>
      <c r="I225">
        <v>0</v>
      </c>
      <c r="J225">
        <v>1</v>
      </c>
      <c r="K225">
        <v>0</v>
      </c>
      <c r="L225" s="22" t="str">
        <f t="shared" si="61"/>
        <v>21/07/2026</v>
      </c>
      <c r="M225" s="23">
        <f t="shared" si="62"/>
        <v>0.77083333333333337</v>
      </c>
      <c r="N225" t="str">
        <f t="shared" si="63"/>
        <v>1 - 0</v>
      </c>
      <c r="O225" t="str">
        <f t="shared" si="64"/>
        <v>Green</v>
      </c>
      <c r="P225" t="str">
        <f t="shared" si="65"/>
        <v>Red</v>
      </c>
      <c r="Q225" t="str">
        <f t="shared" si="66"/>
        <v>Red</v>
      </c>
      <c r="R225" t="str">
        <f t="shared" si="67"/>
        <v>Green</v>
      </c>
      <c r="S225" t="str">
        <f t="shared" si="68"/>
        <v>Red</v>
      </c>
      <c r="T225" t="str">
        <f t="shared" si="69"/>
        <v>Green</v>
      </c>
      <c r="U225" t="str">
        <f t="shared" si="70"/>
        <v>Red</v>
      </c>
      <c r="V225" t="str">
        <f t="shared" si="71"/>
        <v>Green</v>
      </c>
      <c r="W225" t="str">
        <f t="shared" si="72"/>
        <v>Red</v>
      </c>
      <c r="X225" t="str">
        <f t="shared" si="73"/>
        <v>Red</v>
      </c>
      <c r="Y225" t="str">
        <f t="shared" si="74"/>
        <v>Red</v>
      </c>
      <c r="Z225" t="str">
        <f t="shared" si="75"/>
        <v>Red</v>
      </c>
      <c r="AA225" t="str">
        <f t="shared" si="76"/>
        <v>Green</v>
      </c>
      <c r="AB225" t="str">
        <f t="shared" si="77"/>
        <v>Green</v>
      </c>
      <c r="AC225" t="str">
        <f t="shared" si="78"/>
        <v>Red</v>
      </c>
      <c r="AD225" t="str">
        <f t="shared" si="79"/>
        <v>Green</v>
      </c>
    </row>
    <row r="226" spans="1:30" x14ac:dyDescent="0.25">
      <c r="A226" t="str">
        <f t="shared" si="60"/>
        <v>21/07/2026Nacional De FootballClub Atletico Tigre</v>
      </c>
      <c r="B226" t="s">
        <v>1339</v>
      </c>
      <c r="C226" t="s">
        <v>1340</v>
      </c>
      <c r="D226" s="2">
        <v>46224</v>
      </c>
      <c r="E226" s="3">
        <v>0.91666666666666663</v>
      </c>
      <c r="F226" t="s">
        <v>1341</v>
      </c>
      <c r="G226" t="s">
        <v>1342</v>
      </c>
      <c r="H226">
        <v>0</v>
      </c>
      <c r="I226">
        <v>2</v>
      </c>
      <c r="J226">
        <v>0</v>
      </c>
      <c r="K226">
        <v>3</v>
      </c>
      <c r="L226" s="22" t="str">
        <f t="shared" si="61"/>
        <v>21/07/2026</v>
      </c>
      <c r="M226" s="23">
        <f t="shared" si="62"/>
        <v>0.79166666666666663</v>
      </c>
      <c r="N226" t="str">
        <f t="shared" si="63"/>
        <v>0 - 3</v>
      </c>
      <c r="O226" t="str">
        <f t="shared" si="64"/>
        <v>Red</v>
      </c>
      <c r="P226" t="str">
        <f t="shared" si="65"/>
        <v>Red</v>
      </c>
      <c r="Q226" t="str">
        <f t="shared" si="66"/>
        <v>Green</v>
      </c>
      <c r="R226" t="str">
        <f t="shared" si="67"/>
        <v>Red</v>
      </c>
      <c r="S226" t="str">
        <f t="shared" si="68"/>
        <v>Green</v>
      </c>
      <c r="T226" t="str">
        <f t="shared" si="69"/>
        <v>Green</v>
      </c>
      <c r="U226" t="str">
        <f t="shared" si="70"/>
        <v>Red</v>
      </c>
      <c r="V226" t="str">
        <f t="shared" si="71"/>
        <v>Red</v>
      </c>
      <c r="W226" t="str">
        <f t="shared" si="72"/>
        <v>Green</v>
      </c>
      <c r="X226" t="str">
        <f t="shared" si="73"/>
        <v>Green</v>
      </c>
      <c r="Y226" t="str">
        <f t="shared" si="74"/>
        <v>Green</v>
      </c>
      <c r="Z226" t="str">
        <f t="shared" si="75"/>
        <v>Green</v>
      </c>
      <c r="AA226" t="str">
        <f t="shared" si="76"/>
        <v>Red</v>
      </c>
      <c r="AB226" t="str">
        <f t="shared" si="77"/>
        <v>Green</v>
      </c>
      <c r="AC226" t="str">
        <f t="shared" si="78"/>
        <v>Red</v>
      </c>
      <c r="AD226" t="str">
        <f t="shared" si="79"/>
        <v>Green</v>
      </c>
    </row>
    <row r="227" spans="1:30" x14ac:dyDescent="0.25">
      <c r="A227" t="str">
        <f t="shared" si="60"/>
        <v>21/07/2026Deportivo MadrynGodoy Cruz</v>
      </c>
      <c r="B227" t="s">
        <v>824</v>
      </c>
      <c r="C227" t="s">
        <v>825</v>
      </c>
      <c r="D227" s="2">
        <v>46224</v>
      </c>
      <c r="E227" s="3">
        <v>0.91666666666666663</v>
      </c>
      <c r="F227" t="s">
        <v>378</v>
      </c>
      <c r="G227" t="s">
        <v>379</v>
      </c>
      <c r="L227" s="22" t="str">
        <f t="shared" si="61"/>
        <v>21/07/2026</v>
      </c>
      <c r="M227" s="23">
        <f t="shared" si="62"/>
        <v>0.79166666666666663</v>
      </c>
      <c r="N227" t="str">
        <f t="shared" si="63"/>
        <v xml:space="preserve"> - </v>
      </c>
      <c r="O227" t="str">
        <f t="shared" si="64"/>
        <v>Red</v>
      </c>
      <c r="P227" t="str">
        <f t="shared" si="65"/>
        <v>Green</v>
      </c>
      <c r="Q227" t="str">
        <f t="shared" si="66"/>
        <v>Red</v>
      </c>
      <c r="R227" t="str">
        <f t="shared" si="67"/>
        <v>Green</v>
      </c>
      <c r="S227" t="str">
        <f t="shared" si="68"/>
        <v>Green</v>
      </c>
      <c r="T227" t="str">
        <f t="shared" si="69"/>
        <v>Red</v>
      </c>
      <c r="U227" t="str">
        <f t="shared" si="70"/>
        <v>Red</v>
      </c>
      <c r="V227" t="str">
        <f t="shared" si="71"/>
        <v>Green</v>
      </c>
      <c r="W227" t="str">
        <f t="shared" si="72"/>
        <v>Red</v>
      </c>
      <c r="X227" t="str">
        <f t="shared" si="73"/>
        <v>Red</v>
      </c>
      <c r="Y227" t="str">
        <f t="shared" si="74"/>
        <v>Red</v>
      </c>
      <c r="Z227" t="str">
        <f t="shared" si="75"/>
        <v>Red</v>
      </c>
      <c r="AA227" t="str">
        <f t="shared" si="76"/>
        <v>Green</v>
      </c>
      <c r="AB227" t="str">
        <f t="shared" si="77"/>
        <v>Green</v>
      </c>
      <c r="AC227" t="str">
        <f t="shared" si="78"/>
        <v>Red</v>
      </c>
      <c r="AD227" t="str">
        <f t="shared" si="79"/>
        <v>Green</v>
      </c>
    </row>
    <row r="228" spans="1:30" x14ac:dyDescent="0.25">
      <c r="A228" t="str">
        <f t="shared" si="60"/>
        <v>21/07/2026Inter BogotaInternacional FC Palmira</v>
      </c>
      <c r="B228" t="s">
        <v>839</v>
      </c>
      <c r="C228" t="s">
        <v>840</v>
      </c>
      <c r="D228" s="2">
        <v>46224</v>
      </c>
      <c r="E228" s="3">
        <v>0.91666666666666663</v>
      </c>
      <c r="F228" t="s">
        <v>419</v>
      </c>
      <c r="G228" t="s">
        <v>420</v>
      </c>
      <c r="H228">
        <v>0</v>
      </c>
      <c r="I228">
        <v>0</v>
      </c>
      <c r="J228">
        <v>1</v>
      </c>
      <c r="K228">
        <v>0</v>
      </c>
      <c r="L228" s="22" t="str">
        <f t="shared" si="61"/>
        <v>21/07/2026</v>
      </c>
      <c r="M228" s="23">
        <f t="shared" si="62"/>
        <v>0.79166666666666663</v>
      </c>
      <c r="N228" t="str">
        <f t="shared" si="63"/>
        <v>1 - 0</v>
      </c>
      <c r="O228" t="str">
        <f t="shared" si="64"/>
        <v>Green</v>
      </c>
      <c r="P228" t="str">
        <f t="shared" si="65"/>
        <v>Red</v>
      </c>
      <c r="Q228" t="str">
        <f t="shared" si="66"/>
        <v>Red</v>
      </c>
      <c r="R228" t="str">
        <f t="shared" si="67"/>
        <v>Green</v>
      </c>
      <c r="S228" t="str">
        <f t="shared" si="68"/>
        <v>Red</v>
      </c>
      <c r="T228" t="str">
        <f t="shared" si="69"/>
        <v>Green</v>
      </c>
      <c r="U228" t="str">
        <f t="shared" si="70"/>
        <v>Red</v>
      </c>
      <c r="V228" t="str">
        <f t="shared" si="71"/>
        <v>Green</v>
      </c>
      <c r="W228" t="str">
        <f t="shared" si="72"/>
        <v>Red</v>
      </c>
      <c r="X228" t="str">
        <f t="shared" si="73"/>
        <v>Red</v>
      </c>
      <c r="Y228" t="str">
        <f t="shared" si="74"/>
        <v>Red</v>
      </c>
      <c r="Z228" t="str">
        <f t="shared" si="75"/>
        <v>Red</v>
      </c>
      <c r="AA228" t="str">
        <f t="shared" si="76"/>
        <v>Green</v>
      </c>
      <c r="AB228" t="str">
        <f t="shared" si="77"/>
        <v>Green</v>
      </c>
      <c r="AC228" t="str">
        <f t="shared" si="78"/>
        <v>Red</v>
      </c>
      <c r="AD228" t="str">
        <f t="shared" si="79"/>
        <v>Green</v>
      </c>
    </row>
    <row r="229" spans="1:30" x14ac:dyDescent="0.25">
      <c r="A229" t="str">
        <f t="shared" si="60"/>
        <v>21/07/2026Atletico MineiroBahia</v>
      </c>
      <c r="B229" t="s">
        <v>822</v>
      </c>
      <c r="C229" t="s">
        <v>823</v>
      </c>
      <c r="D229" s="2">
        <v>46224</v>
      </c>
      <c r="E229" s="3">
        <v>0.9375</v>
      </c>
      <c r="F229" t="s">
        <v>375</v>
      </c>
      <c r="G229" t="s">
        <v>233</v>
      </c>
      <c r="H229">
        <v>1</v>
      </c>
      <c r="I229">
        <v>0</v>
      </c>
      <c r="J229">
        <v>1</v>
      </c>
      <c r="K229">
        <v>1</v>
      </c>
      <c r="L229" s="22" t="str">
        <f t="shared" si="61"/>
        <v>21/07/2026</v>
      </c>
      <c r="M229" s="23">
        <f t="shared" si="62"/>
        <v>0.8125</v>
      </c>
      <c r="N229" t="str">
        <f t="shared" si="63"/>
        <v>1 - 1</v>
      </c>
      <c r="O229" t="str">
        <f t="shared" si="64"/>
        <v>Red</v>
      </c>
      <c r="P229" t="str">
        <f t="shared" si="65"/>
        <v>Green</v>
      </c>
      <c r="Q229" t="str">
        <f t="shared" si="66"/>
        <v>Red</v>
      </c>
      <c r="R229" t="str">
        <f t="shared" si="67"/>
        <v>Green</v>
      </c>
      <c r="S229" t="str">
        <f t="shared" si="68"/>
        <v>Green</v>
      </c>
      <c r="T229" t="str">
        <f t="shared" si="69"/>
        <v>Red</v>
      </c>
      <c r="U229" t="str">
        <f t="shared" si="70"/>
        <v>Green</v>
      </c>
      <c r="V229" t="str">
        <f t="shared" si="71"/>
        <v>Red</v>
      </c>
      <c r="W229" t="str">
        <f t="shared" si="72"/>
        <v>Red</v>
      </c>
      <c r="X229" t="str">
        <f t="shared" si="73"/>
        <v>Green</v>
      </c>
      <c r="Y229" t="str">
        <f t="shared" si="74"/>
        <v>Green</v>
      </c>
      <c r="Z229" t="str">
        <f t="shared" si="75"/>
        <v>Red</v>
      </c>
      <c r="AA229" t="str">
        <f t="shared" si="76"/>
        <v>Green</v>
      </c>
      <c r="AB229" t="str">
        <f t="shared" si="77"/>
        <v>Green</v>
      </c>
      <c r="AC229" t="str">
        <f t="shared" si="78"/>
        <v>Green</v>
      </c>
      <c r="AD229" t="str">
        <f t="shared" si="79"/>
        <v>Red</v>
      </c>
    </row>
    <row r="230" spans="1:30" x14ac:dyDescent="0.25">
      <c r="A230" t="str">
        <f t="shared" si="60"/>
        <v>21/07/2026AvaiAmerica Mineiro</v>
      </c>
      <c r="B230" t="s">
        <v>822</v>
      </c>
      <c r="C230" t="s">
        <v>835</v>
      </c>
      <c r="D230" s="2">
        <v>46224</v>
      </c>
      <c r="E230" s="3">
        <v>0.9375</v>
      </c>
      <c r="F230" t="s">
        <v>398</v>
      </c>
      <c r="G230" t="s">
        <v>399</v>
      </c>
      <c r="H230">
        <v>0</v>
      </c>
      <c r="I230">
        <v>1</v>
      </c>
      <c r="J230">
        <v>2</v>
      </c>
      <c r="K230">
        <v>1</v>
      </c>
      <c r="L230" s="22" t="str">
        <f t="shared" si="61"/>
        <v>21/07/2026</v>
      </c>
      <c r="M230" s="23">
        <f t="shared" si="62"/>
        <v>0.8125</v>
      </c>
      <c r="N230" t="str">
        <f t="shared" si="63"/>
        <v>2 - 1</v>
      </c>
      <c r="O230" t="str">
        <f t="shared" si="64"/>
        <v>Green</v>
      </c>
      <c r="P230" t="str">
        <f t="shared" si="65"/>
        <v>Red</v>
      </c>
      <c r="Q230" t="str">
        <f t="shared" si="66"/>
        <v>Red</v>
      </c>
      <c r="R230" t="str">
        <f t="shared" si="67"/>
        <v>Green</v>
      </c>
      <c r="S230" t="str">
        <f t="shared" si="68"/>
        <v>Red</v>
      </c>
      <c r="T230" t="str">
        <f t="shared" si="69"/>
        <v>Green</v>
      </c>
      <c r="U230" t="str">
        <f t="shared" si="70"/>
        <v>Red</v>
      </c>
      <c r="V230" t="str">
        <f t="shared" si="71"/>
        <v>Red</v>
      </c>
      <c r="W230" t="str">
        <f t="shared" si="72"/>
        <v>Green</v>
      </c>
      <c r="X230" t="str">
        <f t="shared" si="73"/>
        <v>Green</v>
      </c>
      <c r="Y230" t="str">
        <f t="shared" si="74"/>
        <v>Green</v>
      </c>
      <c r="Z230" t="str">
        <f t="shared" si="75"/>
        <v>Green</v>
      </c>
      <c r="AA230" t="str">
        <f t="shared" si="76"/>
        <v>Red</v>
      </c>
      <c r="AB230" t="str">
        <f t="shared" si="77"/>
        <v>Green</v>
      </c>
      <c r="AC230" t="str">
        <f t="shared" si="78"/>
        <v>Green</v>
      </c>
      <c r="AD230" t="str">
        <f t="shared" si="79"/>
        <v>Red</v>
      </c>
    </row>
    <row r="231" spans="1:30" x14ac:dyDescent="0.25">
      <c r="A231" t="str">
        <f t="shared" si="60"/>
        <v>21/07/2026Novorizontino SPCriciuma</v>
      </c>
      <c r="B231" t="s">
        <v>822</v>
      </c>
      <c r="C231" t="s">
        <v>835</v>
      </c>
      <c r="D231" s="2">
        <v>46224</v>
      </c>
      <c r="E231" s="3">
        <v>0.9375</v>
      </c>
      <c r="F231" t="s">
        <v>400</v>
      </c>
      <c r="G231" t="s">
        <v>401</v>
      </c>
      <c r="H231">
        <v>0</v>
      </c>
      <c r="I231">
        <v>0</v>
      </c>
      <c r="J231">
        <v>0</v>
      </c>
      <c r="K231">
        <v>1</v>
      </c>
      <c r="L231" s="22" t="str">
        <f t="shared" si="61"/>
        <v>21/07/2026</v>
      </c>
      <c r="M231" s="23">
        <f t="shared" si="62"/>
        <v>0.8125</v>
      </c>
      <c r="N231" t="str">
        <f t="shared" si="63"/>
        <v>0 - 1</v>
      </c>
      <c r="O231" t="str">
        <f t="shared" si="64"/>
        <v>Red</v>
      </c>
      <c r="P231" t="str">
        <f t="shared" si="65"/>
        <v>Red</v>
      </c>
      <c r="Q231" t="str">
        <f t="shared" si="66"/>
        <v>Green</v>
      </c>
      <c r="R231" t="str">
        <f t="shared" si="67"/>
        <v>Red</v>
      </c>
      <c r="S231" t="str">
        <f t="shared" si="68"/>
        <v>Green</v>
      </c>
      <c r="T231" t="str">
        <f t="shared" si="69"/>
        <v>Green</v>
      </c>
      <c r="U231" t="str">
        <f t="shared" si="70"/>
        <v>Red</v>
      </c>
      <c r="V231" t="str">
        <f t="shared" si="71"/>
        <v>Green</v>
      </c>
      <c r="W231" t="str">
        <f t="shared" si="72"/>
        <v>Red</v>
      </c>
      <c r="X231" t="str">
        <f t="shared" si="73"/>
        <v>Red</v>
      </c>
      <c r="Y231" t="str">
        <f t="shared" si="74"/>
        <v>Red</v>
      </c>
      <c r="Z231" t="str">
        <f t="shared" si="75"/>
        <v>Red</v>
      </c>
      <c r="AA231" t="str">
        <f t="shared" si="76"/>
        <v>Green</v>
      </c>
      <c r="AB231" t="str">
        <f t="shared" si="77"/>
        <v>Green</v>
      </c>
      <c r="AC231" t="str">
        <f t="shared" si="78"/>
        <v>Red</v>
      </c>
      <c r="AD231" t="str">
        <f t="shared" si="79"/>
        <v>Green</v>
      </c>
    </row>
    <row r="232" spans="1:30" x14ac:dyDescent="0.25">
      <c r="A232" t="str">
        <f t="shared" si="60"/>
        <v>21/07/2026Independiente PetroleroReal Potosi</v>
      </c>
      <c r="B232" t="s">
        <v>833</v>
      </c>
      <c r="C232" t="s">
        <v>834</v>
      </c>
      <c r="D232" s="2">
        <v>46224</v>
      </c>
      <c r="E232" s="3">
        <v>0.95833333333333337</v>
      </c>
      <c r="F232" t="s">
        <v>238</v>
      </c>
      <c r="G232" t="s">
        <v>397</v>
      </c>
      <c r="H232">
        <v>1</v>
      </c>
      <c r="I232">
        <v>1</v>
      </c>
      <c r="J232">
        <v>1</v>
      </c>
      <c r="K232">
        <v>2</v>
      </c>
      <c r="L232" s="22" t="str">
        <f t="shared" si="61"/>
        <v>21/07/2026</v>
      </c>
      <c r="M232" s="23">
        <f t="shared" si="62"/>
        <v>0.83333333333333337</v>
      </c>
      <c r="N232" t="str">
        <f t="shared" si="63"/>
        <v>1 - 2</v>
      </c>
      <c r="O232" t="str">
        <f t="shared" si="64"/>
        <v>Red</v>
      </c>
      <c r="P232" t="str">
        <f t="shared" si="65"/>
        <v>Red</v>
      </c>
      <c r="Q232" t="str">
        <f t="shared" si="66"/>
        <v>Green</v>
      </c>
      <c r="R232" t="str">
        <f t="shared" si="67"/>
        <v>Red</v>
      </c>
      <c r="S232" t="str">
        <f t="shared" si="68"/>
        <v>Green</v>
      </c>
      <c r="T232" t="str">
        <f t="shared" si="69"/>
        <v>Green</v>
      </c>
      <c r="U232" t="str">
        <f t="shared" si="70"/>
        <v>Red</v>
      </c>
      <c r="V232" t="str">
        <f t="shared" si="71"/>
        <v>Green</v>
      </c>
      <c r="W232" t="str">
        <f t="shared" si="72"/>
        <v>Red</v>
      </c>
      <c r="X232" t="str">
        <f t="shared" si="73"/>
        <v>Green</v>
      </c>
      <c r="Y232" t="str">
        <f t="shared" si="74"/>
        <v>Green</v>
      </c>
      <c r="Z232" t="str">
        <f t="shared" si="75"/>
        <v>Green</v>
      </c>
      <c r="AA232" t="str">
        <f t="shared" si="76"/>
        <v>Red</v>
      </c>
      <c r="AB232" t="str">
        <f t="shared" si="77"/>
        <v>Green</v>
      </c>
      <c r="AC232" t="str">
        <f t="shared" si="78"/>
        <v>Green</v>
      </c>
      <c r="AD232" t="str">
        <f t="shared" si="79"/>
        <v>Red</v>
      </c>
    </row>
    <row r="233" spans="1:30" x14ac:dyDescent="0.25">
      <c r="A233" t="str">
        <f t="shared" si="60"/>
        <v>21/07/2026Itabirito FC WomenEC Bahia Women</v>
      </c>
      <c r="B233" t="s">
        <v>822</v>
      </c>
      <c r="C233" t="s">
        <v>1324</v>
      </c>
      <c r="D233" s="2">
        <v>46224</v>
      </c>
      <c r="E233" s="3">
        <v>0.95833333333333337</v>
      </c>
      <c r="F233" t="s">
        <v>1357</v>
      </c>
      <c r="G233" t="s">
        <v>1358</v>
      </c>
      <c r="H233">
        <v>0</v>
      </c>
      <c r="I233">
        <v>0</v>
      </c>
      <c r="J233">
        <v>0</v>
      </c>
      <c r="K233">
        <v>1</v>
      </c>
      <c r="L233" s="22" t="str">
        <f t="shared" si="61"/>
        <v>21/07/2026</v>
      </c>
      <c r="M233" s="23">
        <f t="shared" si="62"/>
        <v>0.83333333333333337</v>
      </c>
      <c r="N233" t="str">
        <f t="shared" si="63"/>
        <v>0 - 1</v>
      </c>
      <c r="O233" t="str">
        <f t="shared" si="64"/>
        <v>Red</v>
      </c>
      <c r="P233" t="str">
        <f t="shared" si="65"/>
        <v>Red</v>
      </c>
      <c r="Q233" t="str">
        <f t="shared" si="66"/>
        <v>Green</v>
      </c>
      <c r="R233" t="str">
        <f t="shared" si="67"/>
        <v>Red</v>
      </c>
      <c r="S233" t="str">
        <f t="shared" si="68"/>
        <v>Green</v>
      </c>
      <c r="T233" t="str">
        <f t="shared" si="69"/>
        <v>Green</v>
      </c>
      <c r="U233" t="str">
        <f t="shared" si="70"/>
        <v>Red</v>
      </c>
      <c r="V233" t="str">
        <f t="shared" si="71"/>
        <v>Green</v>
      </c>
      <c r="W233" t="str">
        <f t="shared" si="72"/>
        <v>Red</v>
      </c>
      <c r="X233" t="str">
        <f t="shared" si="73"/>
        <v>Red</v>
      </c>
      <c r="Y233" t="str">
        <f t="shared" si="74"/>
        <v>Red</v>
      </c>
      <c r="Z233" t="str">
        <f t="shared" si="75"/>
        <v>Red</v>
      </c>
      <c r="AA233" t="str">
        <f t="shared" si="76"/>
        <v>Green</v>
      </c>
      <c r="AB233" t="str">
        <f t="shared" si="77"/>
        <v>Green</v>
      </c>
      <c r="AC233" t="str">
        <f t="shared" si="78"/>
        <v>Red</v>
      </c>
      <c r="AD233" t="str">
        <f t="shared" si="79"/>
        <v>Green</v>
      </c>
    </row>
    <row r="234" spans="1:30" x14ac:dyDescent="0.25">
      <c r="A234" t="str">
        <f t="shared" si="60"/>
        <v>21/07/2026Deportes TolimaDeportes Quindio</v>
      </c>
      <c r="B234" t="s">
        <v>839</v>
      </c>
      <c r="C234" t="s">
        <v>840</v>
      </c>
      <c r="D234" s="2">
        <v>46224</v>
      </c>
      <c r="E234" s="3">
        <v>0.95833333333333337</v>
      </c>
      <c r="F234" t="s">
        <v>421</v>
      </c>
      <c r="G234" t="s">
        <v>422</v>
      </c>
      <c r="H234">
        <v>0</v>
      </c>
      <c r="I234">
        <v>1</v>
      </c>
      <c r="J234">
        <v>2</v>
      </c>
      <c r="K234">
        <v>1</v>
      </c>
      <c r="L234" s="22" t="str">
        <f t="shared" si="61"/>
        <v>21/07/2026</v>
      </c>
      <c r="M234" s="23">
        <f t="shared" si="62"/>
        <v>0.83333333333333337</v>
      </c>
      <c r="N234" t="str">
        <f t="shared" si="63"/>
        <v>2 - 1</v>
      </c>
      <c r="O234" t="str">
        <f t="shared" si="64"/>
        <v>Green</v>
      </c>
      <c r="P234" t="str">
        <f t="shared" si="65"/>
        <v>Red</v>
      </c>
      <c r="Q234" t="str">
        <f t="shared" si="66"/>
        <v>Red</v>
      </c>
      <c r="R234" t="str">
        <f t="shared" si="67"/>
        <v>Green</v>
      </c>
      <c r="S234" t="str">
        <f t="shared" si="68"/>
        <v>Red</v>
      </c>
      <c r="T234" t="str">
        <f t="shared" si="69"/>
        <v>Green</v>
      </c>
      <c r="U234" t="str">
        <f t="shared" si="70"/>
        <v>Red</v>
      </c>
      <c r="V234" t="str">
        <f t="shared" si="71"/>
        <v>Red</v>
      </c>
      <c r="W234" t="str">
        <f t="shared" si="72"/>
        <v>Green</v>
      </c>
      <c r="X234" t="str">
        <f t="shared" si="73"/>
        <v>Green</v>
      </c>
      <c r="Y234" t="str">
        <f t="shared" si="74"/>
        <v>Green</v>
      </c>
      <c r="Z234" t="str">
        <f t="shared" si="75"/>
        <v>Green</v>
      </c>
      <c r="AA234" t="str">
        <f t="shared" si="76"/>
        <v>Red</v>
      </c>
      <c r="AB234" t="str">
        <f t="shared" si="77"/>
        <v>Green</v>
      </c>
      <c r="AC234" t="str">
        <f t="shared" si="78"/>
        <v>Green</v>
      </c>
      <c r="AD234" t="str">
        <f t="shared" si="79"/>
        <v>Red</v>
      </c>
    </row>
    <row r="235" spans="1:30" x14ac:dyDescent="0.25">
      <c r="A235" t="str">
        <f t="shared" si="60"/>
        <v>21/07/2026Independiente Santa FeUnion Magdalena</v>
      </c>
      <c r="B235" t="s">
        <v>839</v>
      </c>
      <c r="C235" t="s">
        <v>840</v>
      </c>
      <c r="D235" s="2">
        <v>46224</v>
      </c>
      <c r="E235" s="3">
        <v>0.95833333333333337</v>
      </c>
      <c r="F235" t="s">
        <v>423</v>
      </c>
      <c r="G235" t="s">
        <v>424</v>
      </c>
      <c r="L235" s="22" t="str">
        <f t="shared" si="61"/>
        <v>21/07/2026</v>
      </c>
      <c r="M235" s="23">
        <f t="shared" si="62"/>
        <v>0.83333333333333337</v>
      </c>
      <c r="N235" t="str">
        <f t="shared" si="63"/>
        <v xml:space="preserve"> - </v>
      </c>
      <c r="O235" t="str">
        <f t="shared" si="64"/>
        <v>Red</v>
      </c>
      <c r="P235" t="str">
        <f t="shared" si="65"/>
        <v>Green</v>
      </c>
      <c r="Q235" t="str">
        <f t="shared" si="66"/>
        <v>Red</v>
      </c>
      <c r="R235" t="str">
        <f t="shared" si="67"/>
        <v>Green</v>
      </c>
      <c r="S235" t="str">
        <f t="shared" si="68"/>
        <v>Green</v>
      </c>
      <c r="T235" t="str">
        <f t="shared" si="69"/>
        <v>Red</v>
      </c>
      <c r="U235" t="str">
        <f t="shared" si="70"/>
        <v>Red</v>
      </c>
      <c r="V235" t="str">
        <f t="shared" si="71"/>
        <v>Green</v>
      </c>
      <c r="W235" t="str">
        <f t="shared" si="72"/>
        <v>Red</v>
      </c>
      <c r="X235" t="str">
        <f t="shared" si="73"/>
        <v>Red</v>
      </c>
      <c r="Y235" t="str">
        <f t="shared" si="74"/>
        <v>Red</v>
      </c>
      <c r="Z235" t="str">
        <f t="shared" si="75"/>
        <v>Red</v>
      </c>
      <c r="AA235" t="str">
        <f t="shared" si="76"/>
        <v>Green</v>
      </c>
      <c r="AB235" t="str">
        <f t="shared" si="77"/>
        <v>Green</v>
      </c>
      <c r="AC235" t="str">
        <f t="shared" si="78"/>
        <v>Red</v>
      </c>
      <c r="AD235" t="str">
        <f t="shared" si="79"/>
        <v>Green</v>
      </c>
    </row>
    <row r="236" spans="1:30" x14ac:dyDescent="0.25">
      <c r="A236" t="str">
        <f t="shared" si="60"/>
        <v>21/07/2026Deportivo PastoBogota</v>
      </c>
      <c r="B236" t="s">
        <v>839</v>
      </c>
      <c r="C236" t="s">
        <v>840</v>
      </c>
      <c r="D236" s="2">
        <v>46225</v>
      </c>
      <c r="E236" s="3">
        <v>0</v>
      </c>
      <c r="F236" t="s">
        <v>425</v>
      </c>
      <c r="G236" t="s">
        <v>426</v>
      </c>
      <c r="H236">
        <v>0</v>
      </c>
      <c r="I236">
        <v>0</v>
      </c>
      <c r="J236">
        <v>0</v>
      </c>
      <c r="K236">
        <v>1</v>
      </c>
      <c r="L236" s="29" t="s">
        <v>215</v>
      </c>
      <c r="M236" s="23">
        <v>0.875</v>
      </c>
      <c r="N236" t="str">
        <f t="shared" si="63"/>
        <v>0 - 1</v>
      </c>
      <c r="O236" t="str">
        <f t="shared" si="64"/>
        <v>Red</v>
      </c>
      <c r="P236" t="str">
        <f t="shared" si="65"/>
        <v>Red</v>
      </c>
      <c r="Q236" t="str">
        <f t="shared" si="66"/>
        <v>Green</v>
      </c>
      <c r="R236" t="str">
        <f t="shared" si="67"/>
        <v>Red</v>
      </c>
      <c r="S236" t="str">
        <f t="shared" si="68"/>
        <v>Green</v>
      </c>
      <c r="T236" t="str">
        <f t="shared" si="69"/>
        <v>Green</v>
      </c>
      <c r="U236" t="str">
        <f t="shared" si="70"/>
        <v>Red</v>
      </c>
      <c r="V236" t="str">
        <f t="shared" si="71"/>
        <v>Green</v>
      </c>
      <c r="W236" t="str">
        <f t="shared" si="72"/>
        <v>Red</v>
      </c>
      <c r="X236" t="str">
        <f t="shared" si="73"/>
        <v>Red</v>
      </c>
      <c r="Y236" t="str">
        <f t="shared" si="74"/>
        <v>Red</v>
      </c>
      <c r="Z236" t="str">
        <f t="shared" si="75"/>
        <v>Red</v>
      </c>
      <c r="AA236" t="str">
        <f t="shared" si="76"/>
        <v>Green</v>
      </c>
      <c r="AB236" t="str">
        <f t="shared" si="77"/>
        <v>Green</v>
      </c>
      <c r="AC236" t="str">
        <f t="shared" si="78"/>
        <v>Red</v>
      </c>
      <c r="AD236" t="str">
        <f t="shared" si="79"/>
        <v>Green</v>
      </c>
    </row>
    <row r="237" spans="1:30" x14ac:dyDescent="0.25">
      <c r="A237" t="str">
        <f t="shared" si="60"/>
        <v>21/07/2026Once CaldasEnvigado</v>
      </c>
      <c r="B237" t="s">
        <v>839</v>
      </c>
      <c r="C237" t="s">
        <v>840</v>
      </c>
      <c r="D237" s="2">
        <v>46225</v>
      </c>
      <c r="E237" s="3">
        <v>0</v>
      </c>
      <c r="F237" t="s">
        <v>427</v>
      </c>
      <c r="G237" t="s">
        <v>428</v>
      </c>
      <c r="H237">
        <v>2</v>
      </c>
      <c r="I237">
        <v>0</v>
      </c>
      <c r="J237">
        <v>3</v>
      </c>
      <c r="K237">
        <v>0</v>
      </c>
      <c r="L237" s="29" t="s">
        <v>215</v>
      </c>
      <c r="M237" s="23">
        <v>0.875</v>
      </c>
      <c r="N237" t="str">
        <f t="shared" si="63"/>
        <v>3 - 0</v>
      </c>
      <c r="O237" t="str">
        <f t="shared" si="64"/>
        <v>Green</v>
      </c>
      <c r="P237" t="str">
        <f t="shared" si="65"/>
        <v>Red</v>
      </c>
      <c r="Q237" t="str">
        <f t="shared" si="66"/>
        <v>Red</v>
      </c>
      <c r="R237" t="str">
        <f t="shared" si="67"/>
        <v>Green</v>
      </c>
      <c r="S237" t="str">
        <f t="shared" si="68"/>
        <v>Red</v>
      </c>
      <c r="T237" t="str">
        <f t="shared" si="69"/>
        <v>Green</v>
      </c>
      <c r="U237" t="str">
        <f t="shared" si="70"/>
        <v>Green</v>
      </c>
      <c r="V237" t="str">
        <f t="shared" si="71"/>
        <v>Red</v>
      </c>
      <c r="W237" t="str">
        <f t="shared" si="72"/>
        <v>Red</v>
      </c>
      <c r="X237" t="str">
        <f t="shared" si="73"/>
        <v>Green</v>
      </c>
      <c r="Y237" t="str">
        <f t="shared" si="74"/>
        <v>Green</v>
      </c>
      <c r="Z237" t="str">
        <f t="shared" si="75"/>
        <v>Green</v>
      </c>
      <c r="AA237" t="str">
        <f t="shared" si="76"/>
        <v>Red</v>
      </c>
      <c r="AB237" t="str">
        <f t="shared" si="77"/>
        <v>Green</v>
      </c>
      <c r="AC237" t="str">
        <f t="shared" si="78"/>
        <v>Red</v>
      </c>
      <c r="AD237" t="str">
        <f t="shared" si="79"/>
        <v>Green</v>
      </c>
    </row>
    <row r="238" spans="1:30" x14ac:dyDescent="0.25">
      <c r="A238" t="str">
        <f t="shared" si="60"/>
        <v>21/07/2026CD Uni Catolica del EcuadorBarcelona SC</v>
      </c>
      <c r="D238" s="2">
        <v>46225</v>
      </c>
      <c r="E238" s="3">
        <v>0</v>
      </c>
      <c r="F238" t="s">
        <v>433</v>
      </c>
      <c r="G238" t="s">
        <v>434</v>
      </c>
      <c r="H238">
        <v>1</v>
      </c>
      <c r="I238">
        <v>0</v>
      </c>
      <c r="J238">
        <v>2</v>
      </c>
      <c r="K238">
        <v>1</v>
      </c>
      <c r="L238" s="29" t="s">
        <v>215</v>
      </c>
      <c r="M238" s="23">
        <v>0.875</v>
      </c>
      <c r="N238" t="str">
        <f t="shared" si="63"/>
        <v>2 - 1</v>
      </c>
      <c r="O238" t="str">
        <f t="shared" si="64"/>
        <v>Green</v>
      </c>
      <c r="P238" t="str">
        <f t="shared" si="65"/>
        <v>Red</v>
      </c>
      <c r="Q238" t="str">
        <f t="shared" si="66"/>
        <v>Red</v>
      </c>
      <c r="R238" t="str">
        <f t="shared" si="67"/>
        <v>Green</v>
      </c>
      <c r="S238" t="str">
        <f t="shared" si="68"/>
        <v>Red</v>
      </c>
      <c r="T238" t="str">
        <f t="shared" si="69"/>
        <v>Green</v>
      </c>
      <c r="U238" t="str">
        <f t="shared" si="70"/>
        <v>Green</v>
      </c>
      <c r="V238" t="str">
        <f t="shared" si="71"/>
        <v>Red</v>
      </c>
      <c r="W238" t="str">
        <f t="shared" si="72"/>
        <v>Red</v>
      </c>
      <c r="X238" t="str">
        <f t="shared" si="73"/>
        <v>Green</v>
      </c>
      <c r="Y238" t="str">
        <f t="shared" si="74"/>
        <v>Green</v>
      </c>
      <c r="Z238" t="str">
        <f t="shared" si="75"/>
        <v>Green</v>
      </c>
      <c r="AA238" t="str">
        <f t="shared" si="76"/>
        <v>Red</v>
      </c>
      <c r="AB238" t="str">
        <f t="shared" si="77"/>
        <v>Green</v>
      </c>
      <c r="AC238" t="str">
        <f t="shared" si="78"/>
        <v>Green</v>
      </c>
      <c r="AD238" t="str">
        <f t="shared" si="79"/>
        <v>Red</v>
      </c>
    </row>
    <row r="239" spans="1:30" x14ac:dyDescent="0.25">
      <c r="A239" t="str">
        <f t="shared" si="60"/>
        <v>21/07/2026Universidad Central de VenezuelaSantos</v>
      </c>
      <c r="B239" t="s">
        <v>1339</v>
      </c>
      <c r="C239" t="s">
        <v>1340</v>
      </c>
      <c r="D239" s="2">
        <v>46225</v>
      </c>
      <c r="E239" s="3">
        <v>2.0833333333333332E-2</v>
      </c>
      <c r="F239" t="s">
        <v>1343</v>
      </c>
      <c r="G239" t="s">
        <v>762</v>
      </c>
      <c r="H239">
        <v>0</v>
      </c>
      <c r="I239">
        <v>1</v>
      </c>
      <c r="J239">
        <v>1</v>
      </c>
      <c r="K239">
        <v>4</v>
      </c>
      <c r="L239" s="30" t="str">
        <f t="shared" ref="L239:L243" si="80">DAY(D239)-1&amp;"/"&amp;"07"&amp;"/"&amp;YEAR(D239)</f>
        <v>21/07/2026</v>
      </c>
      <c r="M239" s="31">
        <f t="shared" ref="M239:M243" si="81">E239-TIME(3,0,0)+TIME(12,0,0)+TIME(12,0,0)</f>
        <v>0.89583333333333326</v>
      </c>
      <c r="N239" t="str">
        <f t="shared" si="63"/>
        <v>1 - 4</v>
      </c>
      <c r="O239" t="str">
        <f t="shared" si="64"/>
        <v>Red</v>
      </c>
      <c r="P239" t="str">
        <f t="shared" si="65"/>
        <v>Red</v>
      </c>
      <c r="Q239" t="str">
        <f t="shared" si="66"/>
        <v>Green</v>
      </c>
      <c r="R239" t="str">
        <f t="shared" si="67"/>
        <v>Red</v>
      </c>
      <c r="S239" t="str">
        <f t="shared" si="68"/>
        <v>Green</v>
      </c>
      <c r="T239" t="str">
        <f t="shared" si="69"/>
        <v>Green</v>
      </c>
      <c r="U239" t="str">
        <f t="shared" si="70"/>
        <v>Red</v>
      </c>
      <c r="V239" t="str">
        <f t="shared" si="71"/>
        <v>Red</v>
      </c>
      <c r="W239" t="str">
        <f t="shared" si="72"/>
        <v>Green</v>
      </c>
      <c r="X239" t="str">
        <f t="shared" si="73"/>
        <v>Green</v>
      </c>
      <c r="Y239" t="str">
        <f t="shared" si="74"/>
        <v>Green</v>
      </c>
      <c r="Z239" t="str">
        <f t="shared" si="75"/>
        <v>Green</v>
      </c>
      <c r="AA239" t="str">
        <f t="shared" si="76"/>
        <v>Red</v>
      </c>
      <c r="AB239" t="str">
        <f t="shared" si="77"/>
        <v>Red</v>
      </c>
      <c r="AC239" t="str">
        <f t="shared" si="78"/>
        <v>Green</v>
      </c>
      <c r="AD239" t="str">
        <f t="shared" si="79"/>
        <v>Red</v>
      </c>
    </row>
    <row r="240" spans="1:30" x14ac:dyDescent="0.25">
      <c r="A240" t="str">
        <f t="shared" si="60"/>
        <v>21/07/2026America de CaliReal Cartagena</v>
      </c>
      <c r="B240" t="s">
        <v>839</v>
      </c>
      <c r="C240" t="s">
        <v>840</v>
      </c>
      <c r="D240" s="2">
        <v>46225</v>
      </c>
      <c r="E240" s="3">
        <v>2.0833333333333332E-2</v>
      </c>
      <c r="F240" t="s">
        <v>429</v>
      </c>
      <c r="G240" t="s">
        <v>430</v>
      </c>
      <c r="H240">
        <v>1</v>
      </c>
      <c r="I240">
        <v>0</v>
      </c>
      <c r="J240">
        <v>2</v>
      </c>
      <c r="K240">
        <v>1</v>
      </c>
      <c r="L240" s="30" t="str">
        <f t="shared" si="80"/>
        <v>21/07/2026</v>
      </c>
      <c r="M240" s="31">
        <f t="shared" si="81"/>
        <v>0.89583333333333326</v>
      </c>
      <c r="N240" t="str">
        <f t="shared" si="63"/>
        <v>2 - 1</v>
      </c>
      <c r="O240" t="str">
        <f t="shared" si="64"/>
        <v>Green</v>
      </c>
      <c r="P240" t="str">
        <f t="shared" si="65"/>
        <v>Red</v>
      </c>
      <c r="Q240" t="str">
        <f t="shared" si="66"/>
        <v>Red</v>
      </c>
      <c r="R240" t="str">
        <f t="shared" si="67"/>
        <v>Green</v>
      </c>
      <c r="S240" t="str">
        <f t="shared" si="68"/>
        <v>Red</v>
      </c>
      <c r="T240" t="str">
        <f t="shared" si="69"/>
        <v>Green</v>
      </c>
      <c r="U240" t="str">
        <f t="shared" si="70"/>
        <v>Green</v>
      </c>
      <c r="V240" t="str">
        <f t="shared" si="71"/>
        <v>Red</v>
      </c>
      <c r="W240" t="str">
        <f t="shared" si="72"/>
        <v>Red</v>
      </c>
      <c r="X240" t="str">
        <f t="shared" si="73"/>
        <v>Green</v>
      </c>
      <c r="Y240" t="str">
        <f t="shared" si="74"/>
        <v>Green</v>
      </c>
      <c r="Z240" t="str">
        <f t="shared" si="75"/>
        <v>Green</v>
      </c>
      <c r="AA240" t="str">
        <f t="shared" si="76"/>
        <v>Red</v>
      </c>
      <c r="AB240" t="str">
        <f t="shared" si="77"/>
        <v>Green</v>
      </c>
      <c r="AC240" t="str">
        <f t="shared" si="78"/>
        <v>Green</v>
      </c>
      <c r="AD240" t="str">
        <f t="shared" si="79"/>
        <v>Red</v>
      </c>
    </row>
    <row r="241" spans="1:30" x14ac:dyDescent="0.25">
      <c r="A241" t="str">
        <f t="shared" si="60"/>
        <v>21/07/2026Vila Nova GOFortaleza EC</v>
      </c>
      <c r="B241" t="s">
        <v>822</v>
      </c>
      <c r="C241" t="s">
        <v>835</v>
      </c>
      <c r="D241" s="2">
        <v>46225</v>
      </c>
      <c r="E241" s="3">
        <v>2.4305555555555556E-2</v>
      </c>
      <c r="F241" t="s">
        <v>402</v>
      </c>
      <c r="G241" t="s">
        <v>403</v>
      </c>
      <c r="H241">
        <v>2</v>
      </c>
      <c r="I241">
        <v>0</v>
      </c>
      <c r="J241">
        <v>2</v>
      </c>
      <c r="K241">
        <v>1</v>
      </c>
      <c r="L241" s="30" t="str">
        <f t="shared" si="80"/>
        <v>21/07/2026</v>
      </c>
      <c r="M241" s="31">
        <f t="shared" si="81"/>
        <v>0.89930555555555558</v>
      </c>
      <c r="N241" t="str">
        <f t="shared" si="63"/>
        <v>2 - 1</v>
      </c>
      <c r="O241" t="str">
        <f t="shared" si="64"/>
        <v>Green</v>
      </c>
      <c r="P241" t="str">
        <f t="shared" si="65"/>
        <v>Red</v>
      </c>
      <c r="Q241" t="str">
        <f t="shared" si="66"/>
        <v>Red</v>
      </c>
      <c r="R241" t="str">
        <f t="shared" si="67"/>
        <v>Green</v>
      </c>
      <c r="S241" t="str">
        <f t="shared" si="68"/>
        <v>Red</v>
      </c>
      <c r="T241" t="str">
        <f t="shared" si="69"/>
        <v>Green</v>
      </c>
      <c r="U241" t="str">
        <f t="shared" si="70"/>
        <v>Green</v>
      </c>
      <c r="V241" t="str">
        <f t="shared" si="71"/>
        <v>Red</v>
      </c>
      <c r="W241" t="str">
        <f t="shared" si="72"/>
        <v>Red</v>
      </c>
      <c r="X241" t="str">
        <f t="shared" si="73"/>
        <v>Green</v>
      </c>
      <c r="Y241" t="str">
        <f t="shared" si="74"/>
        <v>Green</v>
      </c>
      <c r="Z241" t="str">
        <f t="shared" si="75"/>
        <v>Green</v>
      </c>
      <c r="AA241" t="str">
        <f t="shared" si="76"/>
        <v>Red</v>
      </c>
      <c r="AB241" t="str">
        <f t="shared" si="77"/>
        <v>Green</v>
      </c>
      <c r="AC241" t="str">
        <f t="shared" si="78"/>
        <v>Green</v>
      </c>
      <c r="AD241" t="str">
        <f t="shared" si="79"/>
        <v>Red</v>
      </c>
    </row>
    <row r="242" spans="1:30" x14ac:dyDescent="0.25">
      <c r="A242" t="str">
        <f t="shared" si="60"/>
        <v>21/07/2026Vasco da Gama WomenSao Paulo Women</v>
      </c>
      <c r="B242" t="s">
        <v>822</v>
      </c>
      <c r="C242" t="s">
        <v>1324</v>
      </c>
      <c r="D242" s="2">
        <v>46225</v>
      </c>
      <c r="E242" s="3">
        <v>3.125E-2</v>
      </c>
      <c r="F242" t="s">
        <v>1359</v>
      </c>
      <c r="G242" t="s">
        <v>1360</v>
      </c>
      <c r="H242">
        <v>0</v>
      </c>
      <c r="I242">
        <v>0</v>
      </c>
      <c r="J242">
        <v>0</v>
      </c>
      <c r="K242">
        <v>1</v>
      </c>
      <c r="L242" s="30" t="str">
        <f t="shared" si="80"/>
        <v>21/07/2026</v>
      </c>
      <c r="M242" s="31">
        <f t="shared" si="81"/>
        <v>0.90625</v>
      </c>
      <c r="N242" t="str">
        <f t="shared" si="63"/>
        <v>0 - 1</v>
      </c>
      <c r="O242" t="str">
        <f t="shared" si="64"/>
        <v>Red</v>
      </c>
      <c r="P242" t="str">
        <f t="shared" si="65"/>
        <v>Red</v>
      </c>
      <c r="Q242" t="str">
        <f t="shared" si="66"/>
        <v>Green</v>
      </c>
      <c r="R242" t="str">
        <f t="shared" si="67"/>
        <v>Red</v>
      </c>
      <c r="S242" t="str">
        <f t="shared" si="68"/>
        <v>Green</v>
      </c>
      <c r="T242" t="str">
        <f t="shared" si="69"/>
        <v>Green</v>
      </c>
      <c r="U242" t="str">
        <f t="shared" si="70"/>
        <v>Red</v>
      </c>
      <c r="V242" t="str">
        <f t="shared" si="71"/>
        <v>Green</v>
      </c>
      <c r="W242" t="str">
        <f t="shared" si="72"/>
        <v>Red</v>
      </c>
      <c r="X242" t="str">
        <f t="shared" si="73"/>
        <v>Red</v>
      </c>
      <c r="Y242" t="str">
        <f t="shared" si="74"/>
        <v>Red</v>
      </c>
      <c r="Z242" t="str">
        <f t="shared" si="75"/>
        <v>Red</v>
      </c>
      <c r="AA242" t="str">
        <f t="shared" si="76"/>
        <v>Green</v>
      </c>
      <c r="AB242" t="str">
        <f t="shared" si="77"/>
        <v>Green</v>
      </c>
      <c r="AC242" t="str">
        <f t="shared" si="78"/>
        <v>Red</v>
      </c>
      <c r="AD242" t="str">
        <f t="shared" si="79"/>
        <v>Green</v>
      </c>
    </row>
    <row r="243" spans="1:30" x14ac:dyDescent="0.25">
      <c r="A243" t="str">
        <f t="shared" si="60"/>
        <v>21/07/2026Cruz AzulPuebla</v>
      </c>
      <c r="D243" s="2">
        <v>46225</v>
      </c>
      <c r="E243" s="3">
        <v>4.1666666666666664E-2</v>
      </c>
      <c r="F243" t="s">
        <v>1388</v>
      </c>
      <c r="G243" t="s">
        <v>1389</v>
      </c>
      <c r="H243">
        <v>1</v>
      </c>
      <c r="I243">
        <v>1</v>
      </c>
      <c r="J243">
        <v>2</v>
      </c>
      <c r="K243">
        <v>1</v>
      </c>
      <c r="L243" s="30" t="str">
        <f t="shared" si="80"/>
        <v>21/07/2026</v>
      </c>
      <c r="M243" s="31">
        <f t="shared" si="81"/>
        <v>0.91666666666666663</v>
      </c>
      <c r="N243" t="str">
        <f t="shared" si="63"/>
        <v>2 - 1</v>
      </c>
      <c r="O243" t="str">
        <f t="shared" si="64"/>
        <v>Green</v>
      </c>
      <c r="P243" t="str">
        <f t="shared" si="65"/>
        <v>Red</v>
      </c>
      <c r="Q243" t="str">
        <f t="shared" si="66"/>
        <v>Red</v>
      </c>
      <c r="R243" t="str">
        <f t="shared" si="67"/>
        <v>Green</v>
      </c>
      <c r="S243" t="str">
        <f t="shared" si="68"/>
        <v>Red</v>
      </c>
      <c r="T243" t="str">
        <f t="shared" si="69"/>
        <v>Green</v>
      </c>
      <c r="U243" t="str">
        <f t="shared" si="70"/>
        <v>Red</v>
      </c>
      <c r="V243" t="str">
        <f t="shared" si="71"/>
        <v>Green</v>
      </c>
      <c r="W243" t="str">
        <f t="shared" si="72"/>
        <v>Red</v>
      </c>
      <c r="X243" t="str">
        <f t="shared" si="73"/>
        <v>Green</v>
      </c>
      <c r="Y243" t="str">
        <f t="shared" si="74"/>
        <v>Green</v>
      </c>
      <c r="Z243" t="str">
        <f t="shared" si="75"/>
        <v>Green</v>
      </c>
      <c r="AA243" t="str">
        <f t="shared" si="76"/>
        <v>Red</v>
      </c>
      <c r="AB243" t="str">
        <f t="shared" si="77"/>
        <v>Green</v>
      </c>
      <c r="AC243" t="str">
        <f t="shared" si="78"/>
        <v>Green</v>
      </c>
      <c r="AD243" t="str">
        <f t="shared" si="79"/>
        <v>Red</v>
      </c>
    </row>
    <row r="244" spans="1:30" x14ac:dyDescent="0.25">
      <c r="A244" t="str">
        <f t="shared" si="60"/>
        <v>22/07/2026Deportivo TolucaPumas UNAM</v>
      </c>
      <c r="D244" s="2">
        <v>46225</v>
      </c>
      <c r="E244" s="3">
        <v>0.12847222222222221</v>
      </c>
      <c r="F244" t="s">
        <v>1390</v>
      </c>
      <c r="G244" t="s">
        <v>1391</v>
      </c>
      <c r="H244">
        <v>1</v>
      </c>
      <c r="I244">
        <v>0</v>
      </c>
      <c r="J244">
        <v>1</v>
      </c>
      <c r="K244">
        <v>2</v>
      </c>
      <c r="L244" s="22" t="str">
        <f t="shared" si="61"/>
        <v>22/07/2026</v>
      </c>
      <c r="M244" s="23">
        <f t="shared" si="62"/>
        <v>3.4722222222222099E-3</v>
      </c>
      <c r="N244" t="str">
        <f t="shared" si="63"/>
        <v>1 - 2</v>
      </c>
      <c r="O244" t="str">
        <f t="shared" si="64"/>
        <v>Red</v>
      </c>
      <c r="P244" t="str">
        <f t="shared" si="65"/>
        <v>Red</v>
      </c>
      <c r="Q244" t="str">
        <f t="shared" si="66"/>
        <v>Green</v>
      </c>
      <c r="R244" t="str">
        <f t="shared" si="67"/>
        <v>Red</v>
      </c>
      <c r="S244" t="str">
        <f t="shared" si="68"/>
        <v>Green</v>
      </c>
      <c r="T244" t="str">
        <f t="shared" si="69"/>
        <v>Green</v>
      </c>
      <c r="U244" t="str">
        <f t="shared" si="70"/>
        <v>Green</v>
      </c>
      <c r="V244" t="str">
        <f t="shared" si="71"/>
        <v>Red</v>
      </c>
      <c r="W244" t="str">
        <f t="shared" si="72"/>
        <v>Red</v>
      </c>
      <c r="X244" t="str">
        <f t="shared" si="73"/>
        <v>Green</v>
      </c>
      <c r="Y244" t="str">
        <f t="shared" si="74"/>
        <v>Green</v>
      </c>
      <c r="Z244" t="str">
        <f t="shared" si="75"/>
        <v>Green</v>
      </c>
      <c r="AA244" t="str">
        <f t="shared" si="76"/>
        <v>Red</v>
      </c>
      <c r="AB244" t="str">
        <f t="shared" si="77"/>
        <v>Green</v>
      </c>
      <c r="AC244" t="str">
        <f t="shared" si="78"/>
        <v>Green</v>
      </c>
      <c r="AD244" t="str">
        <f t="shared" si="79"/>
        <v>Red</v>
      </c>
    </row>
    <row r="245" spans="1:30" x14ac:dyDescent="0.25">
      <c r="A245" t="str">
        <f t="shared" si="60"/>
        <v>22/07/2026Tuggeranong United U23Canberra White Eagles U23</v>
      </c>
      <c r="B245" t="s">
        <v>828</v>
      </c>
      <c r="C245" t="s">
        <v>927</v>
      </c>
      <c r="D245" s="2">
        <v>46225</v>
      </c>
      <c r="E245" s="3">
        <v>0.3125</v>
      </c>
      <c r="F245" t="s">
        <v>928</v>
      </c>
      <c r="G245" t="s">
        <v>929</v>
      </c>
      <c r="H245">
        <v>2</v>
      </c>
      <c r="I245">
        <v>0</v>
      </c>
      <c r="J245">
        <v>3</v>
      </c>
      <c r="K245">
        <v>2</v>
      </c>
      <c r="L245" s="22" t="str">
        <f t="shared" si="61"/>
        <v>22/07/2026</v>
      </c>
      <c r="M245" s="23">
        <f t="shared" si="62"/>
        <v>0.1875</v>
      </c>
      <c r="N245" t="str">
        <f t="shared" si="63"/>
        <v>3 - 2</v>
      </c>
      <c r="O245" t="str">
        <f t="shared" si="64"/>
        <v>Green</v>
      </c>
      <c r="P245" t="str">
        <f t="shared" si="65"/>
        <v>Red</v>
      </c>
      <c r="Q245" t="str">
        <f t="shared" si="66"/>
        <v>Red</v>
      </c>
      <c r="R245" t="str">
        <f t="shared" si="67"/>
        <v>Green</v>
      </c>
      <c r="S245" t="str">
        <f t="shared" si="68"/>
        <v>Red</v>
      </c>
      <c r="T245" t="str">
        <f t="shared" si="69"/>
        <v>Green</v>
      </c>
      <c r="U245" t="str">
        <f t="shared" si="70"/>
        <v>Green</v>
      </c>
      <c r="V245" t="str">
        <f t="shared" si="71"/>
        <v>Red</v>
      </c>
      <c r="W245" t="str">
        <f t="shared" si="72"/>
        <v>Red</v>
      </c>
      <c r="X245" t="str">
        <f t="shared" si="73"/>
        <v>Green</v>
      </c>
      <c r="Y245" t="str">
        <f t="shared" si="74"/>
        <v>Green</v>
      </c>
      <c r="Z245" t="str">
        <f t="shared" si="75"/>
        <v>Green</v>
      </c>
      <c r="AA245" t="str">
        <f t="shared" si="76"/>
        <v>Red</v>
      </c>
      <c r="AB245" t="str">
        <f t="shared" si="77"/>
        <v>Red</v>
      </c>
      <c r="AC245" t="str">
        <f t="shared" si="78"/>
        <v>Green</v>
      </c>
      <c r="AD245" t="str">
        <f t="shared" si="79"/>
        <v>Red</v>
      </c>
    </row>
    <row r="246" spans="1:30" x14ac:dyDescent="0.25">
      <c r="A246" t="str">
        <f t="shared" si="60"/>
        <v>22/07/2026FK Neftchi Baku WomenBuducnost Podgorica Women</v>
      </c>
      <c r="B246" t="s">
        <v>820</v>
      </c>
      <c r="D246" s="2">
        <v>46225</v>
      </c>
      <c r="E246" s="3">
        <v>0.33333333333333331</v>
      </c>
      <c r="F246" t="s">
        <v>1602</v>
      </c>
      <c r="G246" t="s">
        <v>1603</v>
      </c>
      <c r="H246">
        <v>0</v>
      </c>
      <c r="I246">
        <v>0</v>
      </c>
      <c r="J246">
        <v>0</v>
      </c>
      <c r="K246">
        <v>0</v>
      </c>
      <c r="L246" s="22" t="str">
        <f t="shared" si="61"/>
        <v>22/07/2026</v>
      </c>
      <c r="M246" s="23">
        <f t="shared" si="62"/>
        <v>0.20833333333333331</v>
      </c>
      <c r="N246" t="str">
        <f t="shared" si="63"/>
        <v>0 - 0</v>
      </c>
      <c r="O246" t="str">
        <f t="shared" si="64"/>
        <v>Red</v>
      </c>
      <c r="P246" t="str">
        <f t="shared" si="65"/>
        <v>Green</v>
      </c>
      <c r="Q246" t="str">
        <f t="shared" si="66"/>
        <v>Red</v>
      </c>
      <c r="R246" t="str">
        <f t="shared" si="67"/>
        <v>Green</v>
      </c>
      <c r="S246" t="str">
        <f t="shared" si="68"/>
        <v>Green</v>
      </c>
      <c r="T246" t="str">
        <f t="shared" si="69"/>
        <v>Red</v>
      </c>
      <c r="U246" t="str">
        <f t="shared" si="70"/>
        <v>Red</v>
      </c>
      <c r="V246" t="str">
        <f t="shared" si="71"/>
        <v>Green</v>
      </c>
      <c r="W246" t="str">
        <f t="shared" si="72"/>
        <v>Red</v>
      </c>
      <c r="X246" t="str">
        <f t="shared" si="73"/>
        <v>Red</v>
      </c>
      <c r="Y246" t="str">
        <f t="shared" si="74"/>
        <v>Red</v>
      </c>
      <c r="Z246" t="str">
        <f t="shared" si="75"/>
        <v>Red</v>
      </c>
      <c r="AA246" t="str">
        <f t="shared" si="76"/>
        <v>Green</v>
      </c>
      <c r="AB246" t="str">
        <f t="shared" si="77"/>
        <v>Green</v>
      </c>
      <c r="AC246" t="str">
        <f t="shared" si="78"/>
        <v>Red</v>
      </c>
      <c r="AD246" t="str">
        <f t="shared" si="79"/>
        <v>Green</v>
      </c>
    </row>
    <row r="247" spans="1:30" x14ac:dyDescent="0.25">
      <c r="A247" t="str">
        <f t="shared" si="60"/>
        <v>22/07/2026NK KustosijaNK Krka</v>
      </c>
      <c r="D247" s="2">
        <v>46225</v>
      </c>
      <c r="E247" s="3">
        <v>0.35416666666666669</v>
      </c>
      <c r="F247" t="s">
        <v>1604</v>
      </c>
      <c r="G247" t="s">
        <v>1605</v>
      </c>
      <c r="H247">
        <v>0</v>
      </c>
      <c r="I247">
        <v>1</v>
      </c>
      <c r="J247">
        <v>4</v>
      </c>
      <c r="K247">
        <v>1</v>
      </c>
      <c r="L247" s="22" t="str">
        <f t="shared" si="61"/>
        <v>22/07/2026</v>
      </c>
      <c r="M247" s="23">
        <f t="shared" si="62"/>
        <v>0.22916666666666669</v>
      </c>
      <c r="N247" t="str">
        <f t="shared" si="63"/>
        <v>4 - 1</v>
      </c>
      <c r="O247" t="str">
        <f t="shared" si="64"/>
        <v>Green</v>
      </c>
      <c r="P247" t="str">
        <f t="shared" si="65"/>
        <v>Red</v>
      </c>
      <c r="Q247" t="str">
        <f t="shared" si="66"/>
        <v>Red</v>
      </c>
      <c r="R247" t="str">
        <f t="shared" si="67"/>
        <v>Green</v>
      </c>
      <c r="S247" t="str">
        <f t="shared" si="68"/>
        <v>Red</v>
      </c>
      <c r="T247" t="str">
        <f t="shared" si="69"/>
        <v>Green</v>
      </c>
      <c r="U247" t="str">
        <f t="shared" si="70"/>
        <v>Red</v>
      </c>
      <c r="V247" t="str">
        <f t="shared" si="71"/>
        <v>Red</v>
      </c>
      <c r="W247" t="str">
        <f t="shared" si="72"/>
        <v>Green</v>
      </c>
      <c r="X247" t="str">
        <f t="shared" si="73"/>
        <v>Green</v>
      </c>
      <c r="Y247" t="str">
        <f t="shared" si="74"/>
        <v>Green</v>
      </c>
      <c r="Z247" t="str">
        <f t="shared" si="75"/>
        <v>Green</v>
      </c>
      <c r="AA247" t="str">
        <f t="shared" si="76"/>
        <v>Red</v>
      </c>
      <c r="AB247" t="str">
        <f t="shared" si="77"/>
        <v>Red</v>
      </c>
      <c r="AC247" t="str">
        <f t="shared" si="78"/>
        <v>Green</v>
      </c>
      <c r="AD247" t="str">
        <f t="shared" si="79"/>
        <v>Red</v>
      </c>
    </row>
    <row r="248" spans="1:30" x14ac:dyDescent="0.25">
      <c r="A248" t="str">
        <f t="shared" si="60"/>
        <v>22/07/2026Hamilton OlympicBelmont Swansea United SC</v>
      </c>
      <c r="B248" t="s">
        <v>828</v>
      </c>
      <c r="C248" t="s">
        <v>911</v>
      </c>
      <c r="D248" s="2">
        <v>46225</v>
      </c>
      <c r="E248" s="3">
        <v>0.375</v>
      </c>
      <c r="F248" t="s">
        <v>912</v>
      </c>
      <c r="G248" t="s">
        <v>21</v>
      </c>
      <c r="H248">
        <v>4</v>
      </c>
      <c r="I248">
        <v>1</v>
      </c>
      <c r="J248">
        <v>5</v>
      </c>
      <c r="K248">
        <v>2</v>
      </c>
      <c r="L248" s="22" t="str">
        <f t="shared" si="61"/>
        <v>22/07/2026</v>
      </c>
      <c r="M248" s="23">
        <f t="shared" si="62"/>
        <v>0.25</v>
      </c>
      <c r="N248" t="str">
        <f t="shared" si="63"/>
        <v>5 - 2</v>
      </c>
      <c r="O248" t="str">
        <f t="shared" si="64"/>
        <v>Green</v>
      </c>
      <c r="P248" t="str">
        <f t="shared" si="65"/>
        <v>Red</v>
      </c>
      <c r="Q248" t="str">
        <f t="shared" si="66"/>
        <v>Red</v>
      </c>
      <c r="R248" t="str">
        <f t="shared" si="67"/>
        <v>Green</v>
      </c>
      <c r="S248" t="str">
        <f t="shared" si="68"/>
        <v>Red</v>
      </c>
      <c r="T248" t="str">
        <f t="shared" si="69"/>
        <v>Green</v>
      </c>
      <c r="U248" t="str">
        <f t="shared" si="70"/>
        <v>Green</v>
      </c>
      <c r="V248" t="str">
        <f t="shared" si="71"/>
        <v>Red</v>
      </c>
      <c r="W248" t="str">
        <f t="shared" si="72"/>
        <v>Red</v>
      </c>
      <c r="X248" t="str">
        <f t="shared" si="73"/>
        <v>Green</v>
      </c>
      <c r="Y248" t="str">
        <f t="shared" si="74"/>
        <v>Green</v>
      </c>
      <c r="Z248" t="str">
        <f t="shared" si="75"/>
        <v>Green</v>
      </c>
      <c r="AA248" t="str">
        <f t="shared" si="76"/>
        <v>Red</v>
      </c>
      <c r="AB248" t="str">
        <f t="shared" si="77"/>
        <v>Red</v>
      </c>
      <c r="AC248" t="str">
        <f t="shared" si="78"/>
        <v>Green</v>
      </c>
      <c r="AD248" t="str">
        <f t="shared" si="79"/>
        <v>Red</v>
      </c>
    </row>
    <row r="249" spans="1:30" x14ac:dyDescent="0.25">
      <c r="A249" t="str">
        <f t="shared" si="60"/>
        <v>22/07/2026Edgeworth Eagles ReservesKahibah FC Reserves</v>
      </c>
      <c r="B249" t="s">
        <v>828</v>
      </c>
      <c r="C249" t="s">
        <v>831</v>
      </c>
      <c r="D249" s="2">
        <v>46225</v>
      </c>
      <c r="E249" s="3">
        <v>0.375</v>
      </c>
      <c r="F249" t="s">
        <v>914</v>
      </c>
      <c r="G249" t="s">
        <v>915</v>
      </c>
      <c r="H249">
        <v>0</v>
      </c>
      <c r="I249">
        <v>1</v>
      </c>
      <c r="J249">
        <v>2</v>
      </c>
      <c r="K249">
        <v>2</v>
      </c>
      <c r="L249" s="22" t="str">
        <f t="shared" si="61"/>
        <v>22/07/2026</v>
      </c>
      <c r="M249" s="23">
        <f t="shared" si="62"/>
        <v>0.25</v>
      </c>
      <c r="N249" t="str">
        <f t="shared" si="63"/>
        <v>2 - 2</v>
      </c>
      <c r="O249" t="str">
        <f t="shared" si="64"/>
        <v>Red</v>
      </c>
      <c r="P249" t="str">
        <f t="shared" si="65"/>
        <v>Green</v>
      </c>
      <c r="Q249" t="str">
        <f t="shared" si="66"/>
        <v>Red</v>
      </c>
      <c r="R249" t="str">
        <f t="shared" si="67"/>
        <v>Green</v>
      </c>
      <c r="S249" t="str">
        <f t="shared" si="68"/>
        <v>Green</v>
      </c>
      <c r="T249" t="str">
        <f t="shared" si="69"/>
        <v>Red</v>
      </c>
      <c r="U249" t="str">
        <f t="shared" si="70"/>
        <v>Red</v>
      </c>
      <c r="V249" t="str">
        <f t="shared" si="71"/>
        <v>Red</v>
      </c>
      <c r="W249" t="str">
        <f t="shared" si="72"/>
        <v>Green</v>
      </c>
      <c r="X249" t="str">
        <f t="shared" si="73"/>
        <v>Green</v>
      </c>
      <c r="Y249" t="str">
        <f t="shared" si="74"/>
        <v>Green</v>
      </c>
      <c r="Z249" t="str">
        <f t="shared" si="75"/>
        <v>Green</v>
      </c>
      <c r="AA249" t="str">
        <f t="shared" si="76"/>
        <v>Red</v>
      </c>
      <c r="AB249" t="str">
        <f t="shared" si="77"/>
        <v>Red</v>
      </c>
      <c r="AC249" t="str">
        <f t="shared" si="78"/>
        <v>Green</v>
      </c>
      <c r="AD249" t="str">
        <f t="shared" si="79"/>
        <v>Red</v>
      </c>
    </row>
    <row r="250" spans="1:30" x14ac:dyDescent="0.25">
      <c r="A250" t="str">
        <f t="shared" si="60"/>
        <v>22/07/2026Port Darwin FCCasuarina FC</v>
      </c>
      <c r="B250" t="s">
        <v>828</v>
      </c>
      <c r="C250" t="s">
        <v>916</v>
      </c>
      <c r="D250" s="2">
        <v>46225</v>
      </c>
      <c r="E250" s="3">
        <v>0.375</v>
      </c>
      <c r="F250" t="s">
        <v>917</v>
      </c>
      <c r="G250" t="s">
        <v>918</v>
      </c>
      <c r="L250" s="22" t="str">
        <f t="shared" si="61"/>
        <v>22/07/2026</v>
      </c>
      <c r="M250" s="23">
        <f t="shared" si="62"/>
        <v>0.25</v>
      </c>
      <c r="N250" t="str">
        <f t="shared" si="63"/>
        <v xml:space="preserve"> - </v>
      </c>
      <c r="O250" t="str">
        <f t="shared" si="64"/>
        <v>Red</v>
      </c>
      <c r="P250" t="str">
        <f t="shared" si="65"/>
        <v>Green</v>
      </c>
      <c r="Q250" t="str">
        <f t="shared" si="66"/>
        <v>Red</v>
      </c>
      <c r="R250" t="str">
        <f t="shared" si="67"/>
        <v>Green</v>
      </c>
      <c r="S250" t="str">
        <f t="shared" si="68"/>
        <v>Green</v>
      </c>
      <c r="T250" t="str">
        <f t="shared" si="69"/>
        <v>Red</v>
      </c>
      <c r="U250" t="str">
        <f t="shared" si="70"/>
        <v>Red</v>
      </c>
      <c r="V250" t="str">
        <f t="shared" si="71"/>
        <v>Green</v>
      </c>
      <c r="W250" t="str">
        <f t="shared" si="72"/>
        <v>Red</v>
      </c>
      <c r="X250" t="str">
        <f t="shared" si="73"/>
        <v>Red</v>
      </c>
      <c r="Y250" t="str">
        <f t="shared" si="74"/>
        <v>Red</v>
      </c>
      <c r="Z250" t="str">
        <f t="shared" si="75"/>
        <v>Red</v>
      </c>
      <c r="AA250" t="str">
        <f t="shared" si="76"/>
        <v>Green</v>
      </c>
      <c r="AB250" t="str">
        <f t="shared" si="77"/>
        <v>Green</v>
      </c>
      <c r="AC250" t="str">
        <f t="shared" si="78"/>
        <v>Red</v>
      </c>
      <c r="AD250" t="str">
        <f t="shared" si="79"/>
        <v>Green</v>
      </c>
    </row>
    <row r="251" spans="1:30" x14ac:dyDescent="0.25">
      <c r="A251" t="str">
        <f t="shared" si="60"/>
        <v>22/07/2026Athlone Town WomenZFK Dragon Women</v>
      </c>
      <c r="B251" t="s">
        <v>820</v>
      </c>
      <c r="D251" s="2">
        <v>46225</v>
      </c>
      <c r="E251" s="3">
        <v>0.375</v>
      </c>
      <c r="F251" t="s">
        <v>1606</v>
      </c>
      <c r="G251" t="s">
        <v>1607</v>
      </c>
      <c r="H251">
        <v>2</v>
      </c>
      <c r="I251">
        <v>0</v>
      </c>
      <c r="J251">
        <v>4</v>
      </c>
      <c r="K251">
        <v>0</v>
      </c>
      <c r="L251" s="22" t="str">
        <f t="shared" si="61"/>
        <v>22/07/2026</v>
      </c>
      <c r="M251" s="23">
        <f t="shared" si="62"/>
        <v>0.25</v>
      </c>
      <c r="N251" t="str">
        <f t="shared" si="63"/>
        <v>4 - 0</v>
      </c>
      <c r="O251" t="str">
        <f t="shared" si="64"/>
        <v>Green</v>
      </c>
      <c r="P251" t="str">
        <f t="shared" si="65"/>
        <v>Red</v>
      </c>
      <c r="Q251" t="str">
        <f t="shared" si="66"/>
        <v>Red</v>
      </c>
      <c r="R251" t="str">
        <f t="shared" si="67"/>
        <v>Green</v>
      </c>
      <c r="S251" t="str">
        <f t="shared" si="68"/>
        <v>Red</v>
      </c>
      <c r="T251" t="str">
        <f t="shared" si="69"/>
        <v>Green</v>
      </c>
      <c r="U251" t="str">
        <f t="shared" si="70"/>
        <v>Green</v>
      </c>
      <c r="V251" t="str">
        <f t="shared" si="71"/>
        <v>Red</v>
      </c>
      <c r="W251" t="str">
        <f t="shared" si="72"/>
        <v>Red</v>
      </c>
      <c r="X251" t="str">
        <f t="shared" si="73"/>
        <v>Green</v>
      </c>
      <c r="Y251" t="str">
        <f t="shared" si="74"/>
        <v>Green</v>
      </c>
      <c r="Z251" t="str">
        <f t="shared" si="75"/>
        <v>Green</v>
      </c>
      <c r="AA251" t="str">
        <f t="shared" si="76"/>
        <v>Red</v>
      </c>
      <c r="AB251" t="str">
        <f t="shared" si="77"/>
        <v>Red</v>
      </c>
      <c r="AC251" t="str">
        <f t="shared" si="78"/>
        <v>Red</v>
      </c>
      <c r="AD251" t="str">
        <f t="shared" si="79"/>
        <v>Green</v>
      </c>
    </row>
    <row r="252" spans="1:30" x14ac:dyDescent="0.25">
      <c r="A252" t="str">
        <f t="shared" si="60"/>
        <v>22/07/2026Ipswich FCBrisbane Roar</v>
      </c>
      <c r="D252" s="2">
        <v>46225</v>
      </c>
      <c r="E252" s="3">
        <v>0.375</v>
      </c>
      <c r="F252" t="s">
        <v>1608</v>
      </c>
      <c r="G252" t="s">
        <v>1609</v>
      </c>
      <c r="H252">
        <v>0</v>
      </c>
      <c r="I252">
        <v>2</v>
      </c>
      <c r="J252">
        <v>0</v>
      </c>
      <c r="K252">
        <v>5</v>
      </c>
      <c r="L252" s="22" t="str">
        <f t="shared" si="61"/>
        <v>22/07/2026</v>
      </c>
      <c r="M252" s="23">
        <f t="shared" si="62"/>
        <v>0.25</v>
      </c>
      <c r="N252" t="str">
        <f t="shared" si="63"/>
        <v>0 - 5</v>
      </c>
      <c r="O252" t="str">
        <f t="shared" si="64"/>
        <v>Red</v>
      </c>
      <c r="P252" t="str">
        <f t="shared" si="65"/>
        <v>Red</v>
      </c>
      <c r="Q252" t="str">
        <f t="shared" si="66"/>
        <v>Green</v>
      </c>
      <c r="R252" t="str">
        <f t="shared" si="67"/>
        <v>Red</v>
      </c>
      <c r="S252" t="str">
        <f t="shared" si="68"/>
        <v>Green</v>
      </c>
      <c r="T252" t="str">
        <f t="shared" si="69"/>
        <v>Green</v>
      </c>
      <c r="U252" t="str">
        <f t="shared" si="70"/>
        <v>Red</v>
      </c>
      <c r="V252" t="str">
        <f t="shared" si="71"/>
        <v>Red</v>
      </c>
      <c r="W252" t="str">
        <f t="shared" si="72"/>
        <v>Green</v>
      </c>
      <c r="X252" t="str">
        <f t="shared" si="73"/>
        <v>Green</v>
      </c>
      <c r="Y252" t="str">
        <f t="shared" si="74"/>
        <v>Green</v>
      </c>
      <c r="Z252" t="str">
        <f t="shared" si="75"/>
        <v>Green</v>
      </c>
      <c r="AA252" t="str">
        <f t="shared" si="76"/>
        <v>Red</v>
      </c>
      <c r="AB252" t="str">
        <f t="shared" si="77"/>
        <v>Red</v>
      </c>
      <c r="AC252" t="str">
        <f t="shared" si="78"/>
        <v>Red</v>
      </c>
      <c r="AD252" t="str">
        <f t="shared" si="79"/>
        <v>Green</v>
      </c>
    </row>
    <row r="253" spans="1:30" x14ac:dyDescent="0.25">
      <c r="A253" t="str">
        <f t="shared" si="60"/>
        <v>22/07/2026Tuggeranong UnitedCanberra White Eagles</v>
      </c>
      <c r="B253" t="s">
        <v>828</v>
      </c>
      <c r="C253" t="s">
        <v>829</v>
      </c>
      <c r="D253" s="2">
        <v>46225</v>
      </c>
      <c r="E253" s="3">
        <v>0.39583333333333331</v>
      </c>
      <c r="F253" t="s">
        <v>910</v>
      </c>
      <c r="G253" t="s">
        <v>24</v>
      </c>
      <c r="H253">
        <v>1</v>
      </c>
      <c r="I253">
        <v>1</v>
      </c>
      <c r="J253">
        <v>2</v>
      </c>
      <c r="K253">
        <v>1</v>
      </c>
      <c r="L253" s="22" t="str">
        <f t="shared" si="61"/>
        <v>22/07/2026</v>
      </c>
      <c r="M253" s="23">
        <f t="shared" si="62"/>
        <v>0.27083333333333331</v>
      </c>
      <c r="N253" t="str">
        <f t="shared" si="63"/>
        <v>2 - 1</v>
      </c>
      <c r="O253" t="str">
        <f t="shared" si="64"/>
        <v>Green</v>
      </c>
      <c r="P253" t="str">
        <f t="shared" si="65"/>
        <v>Red</v>
      </c>
      <c r="Q253" t="str">
        <f t="shared" si="66"/>
        <v>Red</v>
      </c>
      <c r="R253" t="str">
        <f t="shared" si="67"/>
        <v>Green</v>
      </c>
      <c r="S253" t="str">
        <f t="shared" si="68"/>
        <v>Red</v>
      </c>
      <c r="T253" t="str">
        <f t="shared" si="69"/>
        <v>Green</v>
      </c>
      <c r="U253" t="str">
        <f t="shared" si="70"/>
        <v>Red</v>
      </c>
      <c r="V253" t="str">
        <f t="shared" si="71"/>
        <v>Green</v>
      </c>
      <c r="W253" t="str">
        <f t="shared" si="72"/>
        <v>Red</v>
      </c>
      <c r="X253" t="str">
        <f t="shared" si="73"/>
        <v>Green</v>
      </c>
      <c r="Y253" t="str">
        <f t="shared" si="74"/>
        <v>Green</v>
      </c>
      <c r="Z253" t="str">
        <f t="shared" si="75"/>
        <v>Green</v>
      </c>
      <c r="AA253" t="str">
        <f t="shared" si="76"/>
        <v>Red</v>
      </c>
      <c r="AB253" t="str">
        <f t="shared" si="77"/>
        <v>Green</v>
      </c>
      <c r="AC253" t="str">
        <f t="shared" si="78"/>
        <v>Green</v>
      </c>
      <c r="AD253" t="str">
        <f t="shared" si="79"/>
        <v>Red</v>
      </c>
    </row>
    <row r="254" spans="1:30" x14ac:dyDescent="0.25">
      <c r="A254" t="str">
        <f t="shared" si="60"/>
        <v>22/07/2026CoomaWestern Sydney Wanderers</v>
      </c>
      <c r="B254" t="s">
        <v>828</v>
      </c>
      <c r="C254" t="s">
        <v>832</v>
      </c>
      <c r="D254" s="2">
        <v>46225</v>
      </c>
      <c r="E254" s="3">
        <v>0.39583333333333331</v>
      </c>
      <c r="F254" t="s">
        <v>921</v>
      </c>
      <c r="G254" t="s">
        <v>922</v>
      </c>
      <c r="H254">
        <v>0</v>
      </c>
      <c r="I254">
        <v>0</v>
      </c>
      <c r="J254">
        <v>0</v>
      </c>
      <c r="K254">
        <v>2</v>
      </c>
      <c r="L254" s="22" t="str">
        <f t="shared" si="61"/>
        <v>22/07/2026</v>
      </c>
      <c r="M254" s="23">
        <f t="shared" si="62"/>
        <v>0.27083333333333331</v>
      </c>
      <c r="N254" t="str">
        <f t="shared" si="63"/>
        <v>0 - 2</v>
      </c>
      <c r="O254" t="str">
        <f t="shared" si="64"/>
        <v>Red</v>
      </c>
      <c r="P254" t="str">
        <f t="shared" si="65"/>
        <v>Red</v>
      </c>
      <c r="Q254" t="str">
        <f t="shared" si="66"/>
        <v>Green</v>
      </c>
      <c r="R254" t="str">
        <f t="shared" si="67"/>
        <v>Red</v>
      </c>
      <c r="S254" t="str">
        <f t="shared" si="68"/>
        <v>Green</v>
      </c>
      <c r="T254" t="str">
        <f t="shared" si="69"/>
        <v>Green</v>
      </c>
      <c r="U254" t="str">
        <f t="shared" si="70"/>
        <v>Red</v>
      </c>
      <c r="V254" t="str">
        <f t="shared" si="71"/>
        <v>Green</v>
      </c>
      <c r="W254" t="str">
        <f t="shared" si="72"/>
        <v>Red</v>
      </c>
      <c r="X254" t="str">
        <f t="shared" si="73"/>
        <v>Red</v>
      </c>
      <c r="Y254" t="str">
        <f t="shared" si="74"/>
        <v>Green</v>
      </c>
      <c r="Z254" t="str">
        <f t="shared" si="75"/>
        <v>Red</v>
      </c>
      <c r="AA254" t="str">
        <f t="shared" si="76"/>
        <v>Green</v>
      </c>
      <c r="AB254" t="str">
        <f t="shared" si="77"/>
        <v>Green</v>
      </c>
      <c r="AC254" t="str">
        <f t="shared" si="78"/>
        <v>Red</v>
      </c>
      <c r="AD254" t="str">
        <f t="shared" si="79"/>
        <v>Green</v>
      </c>
    </row>
    <row r="255" spans="1:30" x14ac:dyDescent="0.25">
      <c r="A255" t="str">
        <f t="shared" si="60"/>
        <v>22/07/2026Maitland FCFremantle City FC</v>
      </c>
      <c r="B255" t="s">
        <v>828</v>
      </c>
      <c r="C255" t="s">
        <v>832</v>
      </c>
      <c r="D255" s="2">
        <v>46225</v>
      </c>
      <c r="E255" s="3">
        <v>0.39583333333333331</v>
      </c>
      <c r="F255" t="s">
        <v>531</v>
      </c>
      <c r="G255" t="s">
        <v>923</v>
      </c>
      <c r="H255">
        <v>0</v>
      </c>
      <c r="I255">
        <v>0</v>
      </c>
      <c r="J255">
        <v>1</v>
      </c>
      <c r="K255">
        <v>2</v>
      </c>
      <c r="L255" s="22" t="str">
        <f t="shared" si="61"/>
        <v>22/07/2026</v>
      </c>
      <c r="M255" s="23">
        <f t="shared" si="62"/>
        <v>0.27083333333333331</v>
      </c>
      <c r="N255" t="str">
        <f t="shared" si="63"/>
        <v>1 - 2</v>
      </c>
      <c r="O255" t="str">
        <f t="shared" si="64"/>
        <v>Red</v>
      </c>
      <c r="P255" t="str">
        <f t="shared" si="65"/>
        <v>Red</v>
      </c>
      <c r="Q255" t="str">
        <f t="shared" si="66"/>
        <v>Green</v>
      </c>
      <c r="R255" t="str">
        <f t="shared" si="67"/>
        <v>Red</v>
      </c>
      <c r="S255" t="str">
        <f t="shared" si="68"/>
        <v>Green</v>
      </c>
      <c r="T255" t="str">
        <f t="shared" si="69"/>
        <v>Green</v>
      </c>
      <c r="U255" t="str">
        <f t="shared" si="70"/>
        <v>Red</v>
      </c>
      <c r="V255" t="str">
        <f t="shared" si="71"/>
        <v>Green</v>
      </c>
      <c r="W255" t="str">
        <f t="shared" si="72"/>
        <v>Red</v>
      </c>
      <c r="X255" t="str">
        <f t="shared" si="73"/>
        <v>Red</v>
      </c>
      <c r="Y255" t="str">
        <f t="shared" si="74"/>
        <v>Green</v>
      </c>
      <c r="Z255" t="str">
        <f t="shared" si="75"/>
        <v>Green</v>
      </c>
      <c r="AA255" t="str">
        <f t="shared" si="76"/>
        <v>Red</v>
      </c>
      <c r="AB255" t="str">
        <f t="shared" si="77"/>
        <v>Green</v>
      </c>
      <c r="AC255" t="str">
        <f t="shared" si="78"/>
        <v>Green</v>
      </c>
      <c r="AD255" t="str">
        <f t="shared" si="79"/>
        <v>Red</v>
      </c>
    </row>
    <row r="256" spans="1:30" x14ac:dyDescent="0.25">
      <c r="A256" t="str">
        <f t="shared" si="60"/>
        <v>22/07/2026Sydney United 58Central Coast Mariners</v>
      </c>
      <c r="B256" t="s">
        <v>828</v>
      </c>
      <c r="C256" t="s">
        <v>832</v>
      </c>
      <c r="D256" s="2">
        <v>46225</v>
      </c>
      <c r="E256" s="3">
        <v>0.39583333333333331</v>
      </c>
      <c r="F256" t="s">
        <v>560</v>
      </c>
      <c r="G256" t="s">
        <v>924</v>
      </c>
      <c r="H256">
        <v>0</v>
      </c>
      <c r="I256">
        <v>0</v>
      </c>
      <c r="J256">
        <v>1</v>
      </c>
      <c r="K256">
        <v>1</v>
      </c>
      <c r="L256" s="22" t="str">
        <f t="shared" si="61"/>
        <v>22/07/2026</v>
      </c>
      <c r="M256" s="23">
        <f t="shared" si="62"/>
        <v>0.27083333333333331</v>
      </c>
      <c r="N256" t="str">
        <f t="shared" si="63"/>
        <v>1 - 1</v>
      </c>
      <c r="O256" t="str">
        <f t="shared" si="64"/>
        <v>Red</v>
      </c>
      <c r="P256" t="str">
        <f t="shared" si="65"/>
        <v>Green</v>
      </c>
      <c r="Q256" t="str">
        <f t="shared" si="66"/>
        <v>Red</v>
      </c>
      <c r="R256" t="str">
        <f t="shared" si="67"/>
        <v>Green</v>
      </c>
      <c r="S256" t="str">
        <f t="shared" si="68"/>
        <v>Green</v>
      </c>
      <c r="T256" t="str">
        <f t="shared" si="69"/>
        <v>Red</v>
      </c>
      <c r="U256" t="str">
        <f t="shared" si="70"/>
        <v>Red</v>
      </c>
      <c r="V256" t="str">
        <f t="shared" si="71"/>
        <v>Green</v>
      </c>
      <c r="W256" t="str">
        <f t="shared" si="72"/>
        <v>Red</v>
      </c>
      <c r="X256" t="str">
        <f t="shared" si="73"/>
        <v>Red</v>
      </c>
      <c r="Y256" t="str">
        <f t="shared" si="74"/>
        <v>Green</v>
      </c>
      <c r="Z256" t="str">
        <f t="shared" si="75"/>
        <v>Red</v>
      </c>
      <c r="AA256" t="str">
        <f t="shared" si="76"/>
        <v>Green</v>
      </c>
      <c r="AB256" t="str">
        <f t="shared" si="77"/>
        <v>Green</v>
      </c>
      <c r="AC256" t="str">
        <f t="shared" si="78"/>
        <v>Green</v>
      </c>
      <c r="AD256" t="str">
        <f t="shared" si="79"/>
        <v>Red</v>
      </c>
    </row>
    <row r="257" spans="1:30" x14ac:dyDescent="0.25">
      <c r="A257" t="str">
        <f t="shared" si="60"/>
        <v>22/07/2026University Azzurri FCMacarthur FC</v>
      </c>
      <c r="B257" t="s">
        <v>828</v>
      </c>
      <c r="C257" t="s">
        <v>832</v>
      </c>
      <c r="D257" s="2">
        <v>46225</v>
      </c>
      <c r="E257" s="3">
        <v>0.41666666666666669</v>
      </c>
      <c r="F257" t="s">
        <v>925</v>
      </c>
      <c r="G257" t="s">
        <v>926</v>
      </c>
      <c r="H257">
        <v>0</v>
      </c>
      <c r="I257">
        <v>1</v>
      </c>
      <c r="J257">
        <v>0</v>
      </c>
      <c r="K257">
        <v>3</v>
      </c>
      <c r="L257" s="22" t="str">
        <f t="shared" si="61"/>
        <v>22/07/2026</v>
      </c>
      <c r="M257" s="23">
        <f t="shared" si="62"/>
        <v>0.29166666666666669</v>
      </c>
      <c r="N257" t="str">
        <f t="shared" si="63"/>
        <v>0 - 3</v>
      </c>
      <c r="O257" t="str">
        <f t="shared" si="64"/>
        <v>Red</v>
      </c>
      <c r="P257" t="str">
        <f t="shared" si="65"/>
        <v>Red</v>
      </c>
      <c r="Q257" t="str">
        <f t="shared" si="66"/>
        <v>Green</v>
      </c>
      <c r="R257" t="str">
        <f t="shared" si="67"/>
        <v>Red</v>
      </c>
      <c r="S257" t="str">
        <f t="shared" si="68"/>
        <v>Green</v>
      </c>
      <c r="T257" t="str">
        <f t="shared" si="69"/>
        <v>Green</v>
      </c>
      <c r="U257" t="str">
        <f t="shared" si="70"/>
        <v>Red</v>
      </c>
      <c r="V257" t="str">
        <f t="shared" si="71"/>
        <v>Red</v>
      </c>
      <c r="W257" t="str">
        <f t="shared" si="72"/>
        <v>Green</v>
      </c>
      <c r="X257" t="str">
        <f t="shared" si="73"/>
        <v>Green</v>
      </c>
      <c r="Y257" t="str">
        <f t="shared" si="74"/>
        <v>Green</v>
      </c>
      <c r="Z257" t="str">
        <f t="shared" si="75"/>
        <v>Green</v>
      </c>
      <c r="AA257" t="str">
        <f t="shared" si="76"/>
        <v>Red</v>
      </c>
      <c r="AB257" t="str">
        <f t="shared" si="77"/>
        <v>Green</v>
      </c>
      <c r="AC257" t="str">
        <f t="shared" si="78"/>
        <v>Red</v>
      </c>
      <c r="AD257" t="str">
        <f t="shared" si="79"/>
        <v>Green</v>
      </c>
    </row>
    <row r="258" spans="1:30" x14ac:dyDescent="0.25">
      <c r="A258" t="str">
        <f t="shared" si="60"/>
        <v>22/07/2026CD NacionalCD Leganes</v>
      </c>
      <c r="D258" s="2">
        <v>46225</v>
      </c>
      <c r="E258" s="3">
        <v>0.41666666666666669</v>
      </c>
      <c r="F258" t="s">
        <v>1610</v>
      </c>
      <c r="G258" t="s">
        <v>1611</v>
      </c>
      <c r="H258">
        <v>0</v>
      </c>
      <c r="I258">
        <v>0</v>
      </c>
      <c r="J258">
        <v>0</v>
      </c>
      <c r="K258">
        <v>0</v>
      </c>
      <c r="L258" s="22" t="str">
        <f t="shared" si="61"/>
        <v>22/07/2026</v>
      </c>
      <c r="M258" s="23">
        <f t="shared" si="62"/>
        <v>0.29166666666666669</v>
      </c>
      <c r="N258" t="str">
        <f t="shared" si="63"/>
        <v>0 - 0</v>
      </c>
      <c r="O258" t="str">
        <f t="shared" si="64"/>
        <v>Red</v>
      </c>
      <c r="P258" t="str">
        <f t="shared" si="65"/>
        <v>Green</v>
      </c>
      <c r="Q258" t="str">
        <f t="shared" si="66"/>
        <v>Red</v>
      </c>
      <c r="R258" t="str">
        <f t="shared" si="67"/>
        <v>Green</v>
      </c>
      <c r="S258" t="str">
        <f t="shared" si="68"/>
        <v>Green</v>
      </c>
      <c r="T258" t="str">
        <f t="shared" si="69"/>
        <v>Red</v>
      </c>
      <c r="U258" t="str">
        <f t="shared" si="70"/>
        <v>Red</v>
      </c>
      <c r="V258" t="str">
        <f t="shared" si="71"/>
        <v>Green</v>
      </c>
      <c r="W258" t="str">
        <f t="shared" si="72"/>
        <v>Red</v>
      </c>
      <c r="X258" t="str">
        <f t="shared" si="73"/>
        <v>Red</v>
      </c>
      <c r="Y258" t="str">
        <f t="shared" si="74"/>
        <v>Red</v>
      </c>
      <c r="Z258" t="str">
        <f t="shared" si="75"/>
        <v>Red</v>
      </c>
      <c r="AA258" t="str">
        <f t="shared" si="76"/>
        <v>Green</v>
      </c>
      <c r="AB258" t="str">
        <f t="shared" si="77"/>
        <v>Green</v>
      </c>
      <c r="AC258" t="str">
        <f t="shared" si="78"/>
        <v>Red</v>
      </c>
      <c r="AD258" t="str">
        <f t="shared" si="79"/>
        <v>Green</v>
      </c>
    </row>
    <row r="259" spans="1:30" x14ac:dyDescent="0.25">
      <c r="A259" t="str">
        <f t="shared" ref="A259:A322" si="82">L259&amp;F259&amp;G259</f>
        <v>22/07/2026Nottingham ForestBlackburn Rovers</v>
      </c>
      <c r="D259" s="2">
        <v>46225</v>
      </c>
      <c r="E259" s="3">
        <v>0.41666666666666669</v>
      </c>
      <c r="F259" t="s">
        <v>1612</v>
      </c>
      <c r="G259" t="s">
        <v>1613</v>
      </c>
      <c r="H259">
        <v>1</v>
      </c>
      <c r="I259">
        <v>0</v>
      </c>
      <c r="J259">
        <v>3</v>
      </c>
      <c r="K259">
        <v>0</v>
      </c>
      <c r="L259" s="22" t="str">
        <f t="shared" ref="L259:L322" si="83">DAY(D259)&amp;"/"&amp;"07"&amp;"/"&amp;YEAR(D259)</f>
        <v>22/07/2026</v>
      </c>
      <c r="M259" s="23">
        <f t="shared" ref="M259:M322" si="84">E259-TIME(3,0,0)</f>
        <v>0.29166666666666669</v>
      </c>
      <c r="N259" t="str">
        <f t="shared" ref="N259:N322" si="85">J259&amp;" - "&amp;K259</f>
        <v>3 - 0</v>
      </c>
      <c r="O259" t="str">
        <f t="shared" ref="O259:O322" si="86">IF($J259&gt;$K259,"Green","Red")</f>
        <v>Green</v>
      </c>
      <c r="P259" t="str">
        <f t="shared" ref="P259:P322" si="87">IF($J259=$K259,"Green","Red")</f>
        <v>Red</v>
      </c>
      <c r="Q259" t="str">
        <f t="shared" ref="Q259:Q322" si="88">IF($J259&lt;$K259,"Green","Red")</f>
        <v>Red</v>
      </c>
      <c r="R259" t="str">
        <f t="shared" ref="R259:R322" si="89">IF($J259&gt;=$K259,"Green","Red")</f>
        <v>Green</v>
      </c>
      <c r="S259" t="str">
        <f t="shared" ref="S259:S322" si="90">IF($J259&lt;=$K259,"Green","Red")</f>
        <v>Red</v>
      </c>
      <c r="T259" t="str">
        <f t="shared" ref="T259:T322" si="91">IF(OR($J259&gt;$K259,$J259&lt;$K259),"Green","Red")</f>
        <v>Green</v>
      </c>
      <c r="U259" t="str">
        <f t="shared" ref="U259:U322" si="92">IF($H259&gt;$I259,"Green","Red")</f>
        <v>Green</v>
      </c>
      <c r="V259" t="str">
        <f t="shared" ref="V259:V322" si="93">IF($H259=$I259,"Green","Red")</f>
        <v>Red</v>
      </c>
      <c r="W259" t="str">
        <f t="shared" ref="W259:W322" si="94">IF($H259&lt;$I259,"Green","Red")</f>
        <v>Red</v>
      </c>
      <c r="X259" t="str">
        <f t="shared" ref="X259:X322" si="95">IF($H259+$I259&gt;0,"Green","Red")</f>
        <v>Green</v>
      </c>
      <c r="Y259" t="str">
        <f t="shared" ref="Y259:Y322" si="96">IF($J259+$K259&gt;1.5,"Green","Red")</f>
        <v>Green</v>
      </c>
      <c r="Z259" t="str">
        <f t="shared" ref="Z259:Z322" si="97">IF($J259+$K259&gt;2.5,"Green","Red")</f>
        <v>Green</v>
      </c>
      <c r="AA259" t="str">
        <f t="shared" ref="AA259:AA322" si="98">IF($J259+$K259&lt;2.5,"Green","Red")</f>
        <v>Red</v>
      </c>
      <c r="AB259" t="str">
        <f t="shared" ref="AB259:AB322" si="99">IF($J259+$K259&lt;3.5,"Green","Red")</f>
        <v>Green</v>
      </c>
      <c r="AC259" t="str">
        <f t="shared" ref="AC259:AC322" si="100">IF(AND($J259&gt;0,$K259&gt;0),"Green","Red")</f>
        <v>Red</v>
      </c>
      <c r="AD259" t="str">
        <f t="shared" ref="AD259:AD322" si="101">IF(OR($J259=0,$K259=0),"Green","Red")</f>
        <v>Green</v>
      </c>
    </row>
    <row r="260" spans="1:30" x14ac:dyDescent="0.25">
      <c r="A260" t="str">
        <f t="shared" si="82"/>
        <v>22/07/2026Launceston CityLaunceston United</v>
      </c>
      <c r="B260" t="s">
        <v>828</v>
      </c>
      <c r="C260" t="s">
        <v>913</v>
      </c>
      <c r="D260" s="2">
        <v>46225</v>
      </c>
      <c r="E260" s="3">
        <v>0.42708333333333331</v>
      </c>
      <c r="F260" t="s">
        <v>25</v>
      </c>
      <c r="G260" t="s">
        <v>26</v>
      </c>
      <c r="H260">
        <v>2</v>
      </c>
      <c r="I260">
        <v>1</v>
      </c>
      <c r="J260">
        <v>4</v>
      </c>
      <c r="K260">
        <v>2</v>
      </c>
      <c r="L260" s="22" t="str">
        <f t="shared" si="83"/>
        <v>22/07/2026</v>
      </c>
      <c r="M260" s="23">
        <f t="shared" si="84"/>
        <v>0.30208333333333331</v>
      </c>
      <c r="N260" t="str">
        <f t="shared" si="85"/>
        <v>4 - 2</v>
      </c>
      <c r="O260" t="str">
        <f t="shared" si="86"/>
        <v>Green</v>
      </c>
      <c r="P260" t="str">
        <f t="shared" si="87"/>
        <v>Red</v>
      </c>
      <c r="Q260" t="str">
        <f t="shared" si="88"/>
        <v>Red</v>
      </c>
      <c r="R260" t="str">
        <f t="shared" si="89"/>
        <v>Green</v>
      </c>
      <c r="S260" t="str">
        <f t="shared" si="90"/>
        <v>Red</v>
      </c>
      <c r="T260" t="str">
        <f t="shared" si="91"/>
        <v>Green</v>
      </c>
      <c r="U260" t="str">
        <f t="shared" si="92"/>
        <v>Green</v>
      </c>
      <c r="V260" t="str">
        <f t="shared" si="93"/>
        <v>Red</v>
      </c>
      <c r="W260" t="str">
        <f t="shared" si="94"/>
        <v>Red</v>
      </c>
      <c r="X260" t="str">
        <f t="shared" si="95"/>
        <v>Green</v>
      </c>
      <c r="Y260" t="str">
        <f t="shared" si="96"/>
        <v>Green</v>
      </c>
      <c r="Z260" t="str">
        <f t="shared" si="97"/>
        <v>Green</v>
      </c>
      <c r="AA260" t="str">
        <f t="shared" si="98"/>
        <v>Red</v>
      </c>
      <c r="AB260" t="str">
        <f t="shared" si="99"/>
        <v>Red</v>
      </c>
      <c r="AC260" t="str">
        <f t="shared" si="100"/>
        <v>Green</v>
      </c>
      <c r="AD260" t="str">
        <f t="shared" si="101"/>
        <v>Red</v>
      </c>
    </row>
    <row r="261" spans="1:30" x14ac:dyDescent="0.25">
      <c r="A261" t="str">
        <f t="shared" si="82"/>
        <v>22/07/2026Bucheon 1995Anyang</v>
      </c>
      <c r="D261" s="2">
        <v>46225</v>
      </c>
      <c r="E261" s="3">
        <v>0.4375</v>
      </c>
      <c r="F261" t="s">
        <v>1614</v>
      </c>
      <c r="G261" t="s">
        <v>1615</v>
      </c>
      <c r="H261">
        <v>1</v>
      </c>
      <c r="I261">
        <v>1</v>
      </c>
      <c r="J261">
        <v>2</v>
      </c>
      <c r="K261">
        <v>3</v>
      </c>
      <c r="L261" s="22" t="str">
        <f t="shared" si="83"/>
        <v>22/07/2026</v>
      </c>
      <c r="M261" s="23">
        <f t="shared" si="84"/>
        <v>0.3125</v>
      </c>
      <c r="N261" t="str">
        <f t="shared" si="85"/>
        <v>2 - 3</v>
      </c>
      <c r="O261" t="str">
        <f t="shared" si="86"/>
        <v>Red</v>
      </c>
      <c r="P261" t="str">
        <f t="shared" si="87"/>
        <v>Red</v>
      </c>
      <c r="Q261" t="str">
        <f t="shared" si="88"/>
        <v>Green</v>
      </c>
      <c r="R261" t="str">
        <f t="shared" si="89"/>
        <v>Red</v>
      </c>
      <c r="S261" t="str">
        <f t="shared" si="90"/>
        <v>Green</v>
      </c>
      <c r="T261" t="str">
        <f t="shared" si="91"/>
        <v>Green</v>
      </c>
      <c r="U261" t="str">
        <f t="shared" si="92"/>
        <v>Red</v>
      </c>
      <c r="V261" t="str">
        <f t="shared" si="93"/>
        <v>Green</v>
      </c>
      <c r="W261" t="str">
        <f t="shared" si="94"/>
        <v>Red</v>
      </c>
      <c r="X261" t="str">
        <f t="shared" si="95"/>
        <v>Green</v>
      </c>
      <c r="Y261" t="str">
        <f t="shared" si="96"/>
        <v>Green</v>
      </c>
      <c r="Z261" t="str">
        <f t="shared" si="97"/>
        <v>Green</v>
      </c>
      <c r="AA261" t="str">
        <f t="shared" si="98"/>
        <v>Red</v>
      </c>
      <c r="AB261" t="str">
        <f t="shared" si="99"/>
        <v>Red</v>
      </c>
      <c r="AC261" t="str">
        <f t="shared" si="100"/>
        <v>Green</v>
      </c>
      <c r="AD261" t="str">
        <f t="shared" si="101"/>
        <v>Red</v>
      </c>
    </row>
    <row r="262" spans="1:30" x14ac:dyDescent="0.25">
      <c r="A262" t="str">
        <f t="shared" si="82"/>
        <v>22/07/2026FC SeoulPohang Steelers</v>
      </c>
      <c r="D262" s="2">
        <v>46225</v>
      </c>
      <c r="E262" s="3">
        <v>0.4375</v>
      </c>
      <c r="F262" t="s">
        <v>29</v>
      </c>
      <c r="G262" t="s">
        <v>30</v>
      </c>
      <c r="H262">
        <v>1</v>
      </c>
      <c r="I262">
        <v>0</v>
      </c>
      <c r="J262">
        <v>3</v>
      </c>
      <c r="K262">
        <v>1</v>
      </c>
      <c r="L262" s="22" t="str">
        <f t="shared" si="83"/>
        <v>22/07/2026</v>
      </c>
      <c r="M262" s="23">
        <f t="shared" si="84"/>
        <v>0.3125</v>
      </c>
      <c r="N262" t="str">
        <f t="shared" si="85"/>
        <v>3 - 1</v>
      </c>
      <c r="O262" t="str">
        <f t="shared" si="86"/>
        <v>Green</v>
      </c>
      <c r="P262" t="str">
        <f t="shared" si="87"/>
        <v>Red</v>
      </c>
      <c r="Q262" t="str">
        <f t="shared" si="88"/>
        <v>Red</v>
      </c>
      <c r="R262" t="str">
        <f t="shared" si="89"/>
        <v>Green</v>
      </c>
      <c r="S262" t="str">
        <f t="shared" si="90"/>
        <v>Red</v>
      </c>
      <c r="T262" t="str">
        <f t="shared" si="91"/>
        <v>Green</v>
      </c>
      <c r="U262" t="str">
        <f t="shared" si="92"/>
        <v>Green</v>
      </c>
      <c r="V262" t="str">
        <f t="shared" si="93"/>
        <v>Red</v>
      </c>
      <c r="W262" t="str">
        <f t="shared" si="94"/>
        <v>Red</v>
      </c>
      <c r="X262" t="str">
        <f t="shared" si="95"/>
        <v>Green</v>
      </c>
      <c r="Y262" t="str">
        <f t="shared" si="96"/>
        <v>Green</v>
      </c>
      <c r="Z262" t="str">
        <f t="shared" si="97"/>
        <v>Green</v>
      </c>
      <c r="AA262" t="str">
        <f t="shared" si="98"/>
        <v>Red</v>
      </c>
      <c r="AB262" t="str">
        <f t="shared" si="99"/>
        <v>Red</v>
      </c>
      <c r="AC262" t="str">
        <f t="shared" si="100"/>
        <v>Green</v>
      </c>
      <c r="AD262" t="str">
        <f t="shared" si="101"/>
        <v>Red</v>
      </c>
    </row>
    <row r="263" spans="1:30" x14ac:dyDescent="0.25">
      <c r="A263" t="str">
        <f t="shared" si="82"/>
        <v>22/07/2026GwangjuSangju Sangmu</v>
      </c>
      <c r="D263" s="2">
        <v>46225</v>
      </c>
      <c r="E263" s="3">
        <v>0.4375</v>
      </c>
      <c r="F263" t="s">
        <v>1616</v>
      </c>
      <c r="G263" t="s">
        <v>1617</v>
      </c>
      <c r="H263">
        <v>1</v>
      </c>
      <c r="I263">
        <v>1</v>
      </c>
      <c r="J263">
        <v>1</v>
      </c>
      <c r="K263">
        <v>1</v>
      </c>
      <c r="L263" s="22" t="str">
        <f t="shared" si="83"/>
        <v>22/07/2026</v>
      </c>
      <c r="M263" s="23">
        <f t="shared" si="84"/>
        <v>0.3125</v>
      </c>
      <c r="N263" t="str">
        <f t="shared" si="85"/>
        <v>1 - 1</v>
      </c>
      <c r="O263" t="str">
        <f t="shared" si="86"/>
        <v>Red</v>
      </c>
      <c r="P263" t="str">
        <f t="shared" si="87"/>
        <v>Green</v>
      </c>
      <c r="Q263" t="str">
        <f t="shared" si="88"/>
        <v>Red</v>
      </c>
      <c r="R263" t="str">
        <f t="shared" si="89"/>
        <v>Green</v>
      </c>
      <c r="S263" t="str">
        <f t="shared" si="90"/>
        <v>Green</v>
      </c>
      <c r="T263" t="str">
        <f t="shared" si="91"/>
        <v>Red</v>
      </c>
      <c r="U263" t="str">
        <f t="shared" si="92"/>
        <v>Red</v>
      </c>
      <c r="V263" t="str">
        <f t="shared" si="93"/>
        <v>Green</v>
      </c>
      <c r="W263" t="str">
        <f t="shared" si="94"/>
        <v>Red</v>
      </c>
      <c r="X263" t="str">
        <f t="shared" si="95"/>
        <v>Green</v>
      </c>
      <c r="Y263" t="str">
        <f t="shared" si="96"/>
        <v>Green</v>
      </c>
      <c r="Z263" t="str">
        <f t="shared" si="97"/>
        <v>Red</v>
      </c>
      <c r="AA263" t="str">
        <f t="shared" si="98"/>
        <v>Green</v>
      </c>
      <c r="AB263" t="str">
        <f t="shared" si="99"/>
        <v>Green</v>
      </c>
      <c r="AC263" t="str">
        <f t="shared" si="100"/>
        <v>Green</v>
      </c>
      <c r="AD263" t="str">
        <f t="shared" si="101"/>
        <v>Red</v>
      </c>
    </row>
    <row r="264" spans="1:30" x14ac:dyDescent="0.25">
      <c r="A264" t="str">
        <f t="shared" si="82"/>
        <v>22/07/2026Mindil AcesDarwin Olympic</v>
      </c>
      <c r="B264" t="s">
        <v>828</v>
      </c>
      <c r="C264" t="s">
        <v>916</v>
      </c>
      <c r="D264" s="2">
        <v>46225</v>
      </c>
      <c r="E264" s="3">
        <v>0.45833333333333331</v>
      </c>
      <c r="F264" t="s">
        <v>919</v>
      </c>
      <c r="G264" t="s">
        <v>920</v>
      </c>
      <c r="L264" s="22" t="str">
        <f t="shared" si="83"/>
        <v>22/07/2026</v>
      </c>
      <c r="M264" s="23">
        <f t="shared" si="84"/>
        <v>0.33333333333333331</v>
      </c>
      <c r="N264" t="str">
        <f t="shared" si="85"/>
        <v xml:space="preserve"> - </v>
      </c>
      <c r="O264" t="str">
        <f t="shared" si="86"/>
        <v>Red</v>
      </c>
      <c r="P264" t="str">
        <f t="shared" si="87"/>
        <v>Green</v>
      </c>
      <c r="Q264" t="str">
        <f t="shared" si="88"/>
        <v>Red</v>
      </c>
      <c r="R264" t="str">
        <f t="shared" si="89"/>
        <v>Green</v>
      </c>
      <c r="S264" t="str">
        <f t="shared" si="90"/>
        <v>Green</v>
      </c>
      <c r="T264" t="str">
        <f t="shared" si="91"/>
        <v>Red</v>
      </c>
      <c r="U264" t="str">
        <f t="shared" si="92"/>
        <v>Red</v>
      </c>
      <c r="V264" t="str">
        <f t="shared" si="93"/>
        <v>Green</v>
      </c>
      <c r="W264" t="str">
        <f t="shared" si="94"/>
        <v>Red</v>
      </c>
      <c r="X264" t="str">
        <f t="shared" si="95"/>
        <v>Red</v>
      </c>
      <c r="Y264" t="str">
        <f t="shared" si="96"/>
        <v>Red</v>
      </c>
      <c r="Z264" t="str">
        <f t="shared" si="97"/>
        <v>Red</v>
      </c>
      <c r="AA264" t="str">
        <f t="shared" si="98"/>
        <v>Green</v>
      </c>
      <c r="AB264" t="str">
        <f t="shared" si="99"/>
        <v>Green</v>
      </c>
      <c r="AC264" t="str">
        <f t="shared" si="100"/>
        <v>Red</v>
      </c>
      <c r="AD264" t="str">
        <f t="shared" si="101"/>
        <v>Green</v>
      </c>
    </row>
    <row r="265" spans="1:30" x14ac:dyDescent="0.25">
      <c r="A265" t="str">
        <f t="shared" si="82"/>
        <v>22/07/2026Rizhao YuqiShaanxi Union FC</v>
      </c>
      <c r="D265" s="2">
        <v>46225</v>
      </c>
      <c r="E265" s="3">
        <v>0.5</v>
      </c>
      <c r="F265" t="s">
        <v>1618</v>
      </c>
      <c r="G265" t="s">
        <v>1619</v>
      </c>
      <c r="H265">
        <v>0</v>
      </c>
      <c r="I265">
        <v>0</v>
      </c>
      <c r="J265">
        <v>2</v>
      </c>
      <c r="K265">
        <v>0</v>
      </c>
      <c r="L265" s="22" t="str">
        <f t="shared" si="83"/>
        <v>22/07/2026</v>
      </c>
      <c r="M265" s="23">
        <f t="shared" si="84"/>
        <v>0.375</v>
      </c>
      <c r="N265" t="str">
        <f t="shared" si="85"/>
        <v>2 - 0</v>
      </c>
      <c r="O265" t="str">
        <f t="shared" si="86"/>
        <v>Green</v>
      </c>
      <c r="P265" t="str">
        <f t="shared" si="87"/>
        <v>Red</v>
      </c>
      <c r="Q265" t="str">
        <f t="shared" si="88"/>
        <v>Red</v>
      </c>
      <c r="R265" t="str">
        <f t="shared" si="89"/>
        <v>Green</v>
      </c>
      <c r="S265" t="str">
        <f t="shared" si="90"/>
        <v>Red</v>
      </c>
      <c r="T265" t="str">
        <f t="shared" si="91"/>
        <v>Green</v>
      </c>
      <c r="U265" t="str">
        <f t="shared" si="92"/>
        <v>Red</v>
      </c>
      <c r="V265" t="str">
        <f t="shared" si="93"/>
        <v>Green</v>
      </c>
      <c r="W265" t="str">
        <f t="shared" si="94"/>
        <v>Red</v>
      </c>
      <c r="X265" t="str">
        <f t="shared" si="95"/>
        <v>Red</v>
      </c>
      <c r="Y265" t="str">
        <f t="shared" si="96"/>
        <v>Green</v>
      </c>
      <c r="Z265" t="str">
        <f t="shared" si="97"/>
        <v>Red</v>
      </c>
      <c r="AA265" t="str">
        <f t="shared" si="98"/>
        <v>Green</v>
      </c>
      <c r="AB265" t="str">
        <f t="shared" si="99"/>
        <v>Green</v>
      </c>
      <c r="AC265" t="str">
        <f t="shared" si="100"/>
        <v>Red</v>
      </c>
      <c r="AD265" t="str">
        <f t="shared" si="101"/>
        <v>Green</v>
      </c>
    </row>
    <row r="266" spans="1:30" x14ac:dyDescent="0.25">
      <c r="A266" t="str">
        <f t="shared" si="82"/>
        <v>22/07/2026Glentoran Belfast United WomenRiga FC Women</v>
      </c>
      <c r="B266" t="s">
        <v>820</v>
      </c>
      <c r="D266" s="2">
        <v>46225</v>
      </c>
      <c r="E266" s="3">
        <v>0.5</v>
      </c>
      <c r="F266" t="s">
        <v>1620</v>
      </c>
      <c r="G266" t="s">
        <v>1621</v>
      </c>
      <c r="H266">
        <v>0</v>
      </c>
      <c r="I266">
        <v>1</v>
      </c>
      <c r="J266">
        <v>1</v>
      </c>
      <c r="K266">
        <v>4</v>
      </c>
      <c r="L266" s="22" t="str">
        <f t="shared" si="83"/>
        <v>22/07/2026</v>
      </c>
      <c r="M266" s="23">
        <f t="shared" si="84"/>
        <v>0.375</v>
      </c>
      <c r="N266" t="str">
        <f t="shared" si="85"/>
        <v>1 - 4</v>
      </c>
      <c r="O266" t="str">
        <f t="shared" si="86"/>
        <v>Red</v>
      </c>
      <c r="P266" t="str">
        <f t="shared" si="87"/>
        <v>Red</v>
      </c>
      <c r="Q266" t="str">
        <f t="shared" si="88"/>
        <v>Green</v>
      </c>
      <c r="R266" t="str">
        <f t="shared" si="89"/>
        <v>Red</v>
      </c>
      <c r="S266" t="str">
        <f t="shared" si="90"/>
        <v>Green</v>
      </c>
      <c r="T266" t="str">
        <f t="shared" si="91"/>
        <v>Green</v>
      </c>
      <c r="U266" t="str">
        <f t="shared" si="92"/>
        <v>Red</v>
      </c>
      <c r="V266" t="str">
        <f t="shared" si="93"/>
        <v>Red</v>
      </c>
      <c r="W266" t="str">
        <f t="shared" si="94"/>
        <v>Green</v>
      </c>
      <c r="X266" t="str">
        <f t="shared" si="95"/>
        <v>Green</v>
      </c>
      <c r="Y266" t="str">
        <f t="shared" si="96"/>
        <v>Green</v>
      </c>
      <c r="Z266" t="str">
        <f t="shared" si="97"/>
        <v>Green</v>
      </c>
      <c r="AA266" t="str">
        <f t="shared" si="98"/>
        <v>Red</v>
      </c>
      <c r="AB266" t="str">
        <f t="shared" si="99"/>
        <v>Red</v>
      </c>
      <c r="AC266" t="str">
        <f t="shared" si="100"/>
        <v>Green</v>
      </c>
      <c r="AD266" t="str">
        <f t="shared" si="101"/>
        <v>Red</v>
      </c>
    </row>
    <row r="267" spans="1:30" x14ac:dyDescent="0.25">
      <c r="A267" t="str">
        <f t="shared" si="82"/>
        <v>22/07/2026DunkerqueSamsunspor</v>
      </c>
      <c r="D267" s="2">
        <v>46225</v>
      </c>
      <c r="E267" s="3">
        <v>0.5</v>
      </c>
      <c r="F267" t="s">
        <v>1622</v>
      </c>
      <c r="G267" t="s">
        <v>1623</v>
      </c>
      <c r="H267">
        <v>2</v>
      </c>
      <c r="I267">
        <v>0</v>
      </c>
      <c r="J267">
        <v>2</v>
      </c>
      <c r="K267">
        <v>1</v>
      </c>
      <c r="L267" s="22" t="str">
        <f t="shared" si="83"/>
        <v>22/07/2026</v>
      </c>
      <c r="M267" s="23">
        <f t="shared" si="84"/>
        <v>0.375</v>
      </c>
      <c r="N267" t="str">
        <f t="shared" si="85"/>
        <v>2 - 1</v>
      </c>
      <c r="O267" t="str">
        <f t="shared" si="86"/>
        <v>Green</v>
      </c>
      <c r="P267" t="str">
        <f t="shared" si="87"/>
        <v>Red</v>
      </c>
      <c r="Q267" t="str">
        <f t="shared" si="88"/>
        <v>Red</v>
      </c>
      <c r="R267" t="str">
        <f t="shared" si="89"/>
        <v>Green</v>
      </c>
      <c r="S267" t="str">
        <f t="shared" si="90"/>
        <v>Red</v>
      </c>
      <c r="T267" t="str">
        <f t="shared" si="91"/>
        <v>Green</v>
      </c>
      <c r="U267" t="str">
        <f t="shared" si="92"/>
        <v>Green</v>
      </c>
      <c r="V267" t="str">
        <f t="shared" si="93"/>
        <v>Red</v>
      </c>
      <c r="W267" t="str">
        <f t="shared" si="94"/>
        <v>Red</v>
      </c>
      <c r="X267" t="str">
        <f t="shared" si="95"/>
        <v>Green</v>
      </c>
      <c r="Y267" t="str">
        <f t="shared" si="96"/>
        <v>Green</v>
      </c>
      <c r="Z267" t="str">
        <f t="shared" si="97"/>
        <v>Green</v>
      </c>
      <c r="AA267" t="str">
        <f t="shared" si="98"/>
        <v>Red</v>
      </c>
      <c r="AB267" t="str">
        <f t="shared" si="99"/>
        <v>Green</v>
      </c>
      <c r="AC267" t="str">
        <f t="shared" si="100"/>
        <v>Green</v>
      </c>
      <c r="AD267" t="str">
        <f t="shared" si="101"/>
        <v>Red</v>
      </c>
    </row>
    <row r="268" spans="1:30" x14ac:dyDescent="0.25">
      <c r="A268" t="str">
        <f t="shared" si="82"/>
        <v>22/07/2026FamalicaoArouca</v>
      </c>
      <c r="D268" s="2">
        <v>46225</v>
      </c>
      <c r="E268" s="3">
        <v>0.5</v>
      </c>
      <c r="F268" t="s">
        <v>1624</v>
      </c>
      <c r="G268" t="s">
        <v>1625</v>
      </c>
      <c r="H268">
        <v>0</v>
      </c>
      <c r="I268">
        <v>0</v>
      </c>
      <c r="J268">
        <v>0</v>
      </c>
      <c r="K268">
        <v>0</v>
      </c>
      <c r="L268" s="22" t="str">
        <f t="shared" si="83"/>
        <v>22/07/2026</v>
      </c>
      <c r="M268" s="23">
        <f t="shared" si="84"/>
        <v>0.375</v>
      </c>
      <c r="N268" t="str">
        <f t="shared" si="85"/>
        <v>0 - 0</v>
      </c>
      <c r="O268" t="str">
        <f t="shared" si="86"/>
        <v>Red</v>
      </c>
      <c r="P268" t="str">
        <f t="shared" si="87"/>
        <v>Green</v>
      </c>
      <c r="Q268" t="str">
        <f t="shared" si="88"/>
        <v>Red</v>
      </c>
      <c r="R268" t="str">
        <f t="shared" si="89"/>
        <v>Green</v>
      </c>
      <c r="S268" t="str">
        <f t="shared" si="90"/>
        <v>Green</v>
      </c>
      <c r="T268" t="str">
        <f t="shared" si="91"/>
        <v>Red</v>
      </c>
      <c r="U268" t="str">
        <f t="shared" si="92"/>
        <v>Red</v>
      </c>
      <c r="V268" t="str">
        <f t="shared" si="93"/>
        <v>Green</v>
      </c>
      <c r="W268" t="str">
        <f t="shared" si="94"/>
        <v>Red</v>
      </c>
      <c r="X268" t="str">
        <f t="shared" si="95"/>
        <v>Red</v>
      </c>
      <c r="Y268" t="str">
        <f t="shared" si="96"/>
        <v>Red</v>
      </c>
      <c r="Z268" t="str">
        <f t="shared" si="97"/>
        <v>Red</v>
      </c>
      <c r="AA268" t="str">
        <f t="shared" si="98"/>
        <v>Green</v>
      </c>
      <c r="AB268" t="str">
        <f t="shared" si="99"/>
        <v>Green</v>
      </c>
      <c r="AC268" t="str">
        <f t="shared" si="100"/>
        <v>Red</v>
      </c>
      <c r="AD268" t="str">
        <f t="shared" si="101"/>
        <v>Green</v>
      </c>
    </row>
    <row r="269" spans="1:30" x14ac:dyDescent="0.25">
      <c r="A269" t="str">
        <f t="shared" si="82"/>
        <v>22/07/2026Chicken Inn FCTelOne FC</v>
      </c>
      <c r="D269" s="2">
        <v>46225</v>
      </c>
      <c r="E269" s="3">
        <v>0.54166666666666663</v>
      </c>
      <c r="F269" t="s">
        <v>1626</v>
      </c>
      <c r="G269" t="s">
        <v>1627</v>
      </c>
      <c r="H269">
        <v>0</v>
      </c>
      <c r="I269">
        <v>0</v>
      </c>
      <c r="J269">
        <v>1</v>
      </c>
      <c r="K269">
        <v>0</v>
      </c>
      <c r="L269" s="22" t="str">
        <f t="shared" si="83"/>
        <v>22/07/2026</v>
      </c>
      <c r="M269" s="23">
        <f t="shared" si="84"/>
        <v>0.41666666666666663</v>
      </c>
      <c r="N269" t="str">
        <f t="shared" si="85"/>
        <v>1 - 0</v>
      </c>
      <c r="O269" t="str">
        <f t="shared" si="86"/>
        <v>Green</v>
      </c>
      <c r="P269" t="str">
        <f t="shared" si="87"/>
        <v>Red</v>
      </c>
      <c r="Q269" t="str">
        <f t="shared" si="88"/>
        <v>Red</v>
      </c>
      <c r="R269" t="str">
        <f t="shared" si="89"/>
        <v>Green</v>
      </c>
      <c r="S269" t="str">
        <f t="shared" si="90"/>
        <v>Red</v>
      </c>
      <c r="T269" t="str">
        <f t="shared" si="91"/>
        <v>Green</v>
      </c>
      <c r="U269" t="str">
        <f t="shared" si="92"/>
        <v>Red</v>
      </c>
      <c r="V269" t="str">
        <f t="shared" si="93"/>
        <v>Green</v>
      </c>
      <c r="W269" t="str">
        <f t="shared" si="94"/>
        <v>Red</v>
      </c>
      <c r="X269" t="str">
        <f t="shared" si="95"/>
        <v>Red</v>
      </c>
      <c r="Y269" t="str">
        <f t="shared" si="96"/>
        <v>Red</v>
      </c>
      <c r="Z269" t="str">
        <f t="shared" si="97"/>
        <v>Red</v>
      </c>
      <c r="AA269" t="str">
        <f t="shared" si="98"/>
        <v>Green</v>
      </c>
      <c r="AB269" t="str">
        <f t="shared" si="99"/>
        <v>Green</v>
      </c>
      <c r="AC269" t="str">
        <f t="shared" si="100"/>
        <v>Red</v>
      </c>
      <c r="AD269" t="str">
        <f t="shared" si="101"/>
        <v>Green</v>
      </c>
    </row>
    <row r="270" spans="1:30" x14ac:dyDescent="0.25">
      <c r="A270" t="str">
        <f t="shared" si="82"/>
        <v>22/07/2026FC PlatinumDynamos FC</v>
      </c>
      <c r="D270" s="2">
        <v>46225</v>
      </c>
      <c r="E270" s="3">
        <v>0.54166666666666663</v>
      </c>
      <c r="F270" t="s">
        <v>1628</v>
      </c>
      <c r="G270" t="s">
        <v>1629</v>
      </c>
      <c r="H270">
        <v>0</v>
      </c>
      <c r="I270">
        <v>0</v>
      </c>
      <c r="J270">
        <v>0</v>
      </c>
      <c r="K270">
        <v>1</v>
      </c>
      <c r="L270" s="22" t="str">
        <f t="shared" si="83"/>
        <v>22/07/2026</v>
      </c>
      <c r="M270" s="23">
        <f t="shared" si="84"/>
        <v>0.41666666666666663</v>
      </c>
      <c r="N270" t="str">
        <f t="shared" si="85"/>
        <v>0 - 1</v>
      </c>
      <c r="O270" t="str">
        <f t="shared" si="86"/>
        <v>Red</v>
      </c>
      <c r="P270" t="str">
        <f t="shared" si="87"/>
        <v>Red</v>
      </c>
      <c r="Q270" t="str">
        <f t="shared" si="88"/>
        <v>Green</v>
      </c>
      <c r="R270" t="str">
        <f t="shared" si="89"/>
        <v>Red</v>
      </c>
      <c r="S270" t="str">
        <f t="shared" si="90"/>
        <v>Green</v>
      </c>
      <c r="T270" t="str">
        <f t="shared" si="91"/>
        <v>Green</v>
      </c>
      <c r="U270" t="str">
        <f t="shared" si="92"/>
        <v>Red</v>
      </c>
      <c r="V270" t="str">
        <f t="shared" si="93"/>
        <v>Green</v>
      </c>
      <c r="W270" t="str">
        <f t="shared" si="94"/>
        <v>Red</v>
      </c>
      <c r="X270" t="str">
        <f t="shared" si="95"/>
        <v>Red</v>
      </c>
      <c r="Y270" t="str">
        <f t="shared" si="96"/>
        <v>Red</v>
      </c>
      <c r="Z270" t="str">
        <f t="shared" si="97"/>
        <v>Red</v>
      </c>
      <c r="AA270" t="str">
        <f t="shared" si="98"/>
        <v>Green</v>
      </c>
      <c r="AB270" t="str">
        <f t="shared" si="99"/>
        <v>Green</v>
      </c>
      <c r="AC270" t="str">
        <f t="shared" si="100"/>
        <v>Red</v>
      </c>
      <c r="AD270" t="str">
        <f t="shared" si="101"/>
        <v>Green</v>
      </c>
    </row>
    <row r="271" spans="1:30" x14ac:dyDescent="0.25">
      <c r="A271" t="str">
        <f t="shared" si="82"/>
        <v>22/07/2026Scottland FCBulawayo Chiefs FC</v>
      </c>
      <c r="D271" s="2">
        <v>46225</v>
      </c>
      <c r="E271" s="3">
        <v>0.54166666666666663</v>
      </c>
      <c r="F271" t="s">
        <v>1630</v>
      </c>
      <c r="G271" t="s">
        <v>1631</v>
      </c>
      <c r="H271">
        <v>0</v>
      </c>
      <c r="I271">
        <v>0</v>
      </c>
      <c r="J271">
        <v>2</v>
      </c>
      <c r="K271">
        <v>1</v>
      </c>
      <c r="L271" s="22" t="str">
        <f t="shared" si="83"/>
        <v>22/07/2026</v>
      </c>
      <c r="M271" s="23">
        <f t="shared" si="84"/>
        <v>0.41666666666666663</v>
      </c>
      <c r="N271" t="str">
        <f t="shared" si="85"/>
        <v>2 - 1</v>
      </c>
      <c r="O271" t="str">
        <f t="shared" si="86"/>
        <v>Green</v>
      </c>
      <c r="P271" t="str">
        <f t="shared" si="87"/>
        <v>Red</v>
      </c>
      <c r="Q271" t="str">
        <f t="shared" si="88"/>
        <v>Red</v>
      </c>
      <c r="R271" t="str">
        <f t="shared" si="89"/>
        <v>Green</v>
      </c>
      <c r="S271" t="str">
        <f t="shared" si="90"/>
        <v>Red</v>
      </c>
      <c r="T271" t="str">
        <f t="shared" si="91"/>
        <v>Green</v>
      </c>
      <c r="U271" t="str">
        <f t="shared" si="92"/>
        <v>Red</v>
      </c>
      <c r="V271" t="str">
        <f t="shared" si="93"/>
        <v>Green</v>
      </c>
      <c r="W271" t="str">
        <f t="shared" si="94"/>
        <v>Red</v>
      </c>
      <c r="X271" t="str">
        <f t="shared" si="95"/>
        <v>Red</v>
      </c>
      <c r="Y271" t="str">
        <f t="shared" si="96"/>
        <v>Green</v>
      </c>
      <c r="Z271" t="str">
        <f t="shared" si="97"/>
        <v>Green</v>
      </c>
      <c r="AA271" t="str">
        <f t="shared" si="98"/>
        <v>Red</v>
      </c>
      <c r="AB271" t="str">
        <f t="shared" si="99"/>
        <v>Green</v>
      </c>
      <c r="AC271" t="str">
        <f t="shared" si="100"/>
        <v>Green</v>
      </c>
      <c r="AD271" t="str">
        <f t="shared" si="101"/>
        <v>Red</v>
      </c>
    </row>
    <row r="272" spans="1:30" x14ac:dyDescent="0.25">
      <c r="A272" t="str">
        <f t="shared" si="82"/>
        <v>22/07/2026Simba BhoraMwos FC</v>
      </c>
      <c r="D272" s="2">
        <v>46225</v>
      </c>
      <c r="E272" s="3">
        <v>0.54166666666666663</v>
      </c>
      <c r="F272" t="s">
        <v>1632</v>
      </c>
      <c r="G272" t="s">
        <v>1633</v>
      </c>
      <c r="H272">
        <v>0</v>
      </c>
      <c r="I272">
        <v>0</v>
      </c>
      <c r="J272">
        <v>2</v>
      </c>
      <c r="K272">
        <v>2</v>
      </c>
      <c r="L272" s="22" t="str">
        <f t="shared" si="83"/>
        <v>22/07/2026</v>
      </c>
      <c r="M272" s="23">
        <f t="shared" si="84"/>
        <v>0.41666666666666663</v>
      </c>
      <c r="N272" t="str">
        <f t="shared" si="85"/>
        <v>2 - 2</v>
      </c>
      <c r="O272" t="str">
        <f t="shared" si="86"/>
        <v>Red</v>
      </c>
      <c r="P272" t="str">
        <f t="shared" si="87"/>
        <v>Green</v>
      </c>
      <c r="Q272" t="str">
        <f t="shared" si="88"/>
        <v>Red</v>
      </c>
      <c r="R272" t="str">
        <f t="shared" si="89"/>
        <v>Green</v>
      </c>
      <c r="S272" t="str">
        <f t="shared" si="90"/>
        <v>Green</v>
      </c>
      <c r="T272" t="str">
        <f t="shared" si="91"/>
        <v>Red</v>
      </c>
      <c r="U272" t="str">
        <f t="shared" si="92"/>
        <v>Red</v>
      </c>
      <c r="V272" t="str">
        <f t="shared" si="93"/>
        <v>Green</v>
      </c>
      <c r="W272" t="str">
        <f t="shared" si="94"/>
        <v>Red</v>
      </c>
      <c r="X272" t="str">
        <f t="shared" si="95"/>
        <v>Red</v>
      </c>
      <c r="Y272" t="str">
        <f t="shared" si="96"/>
        <v>Green</v>
      </c>
      <c r="Z272" t="str">
        <f t="shared" si="97"/>
        <v>Green</v>
      </c>
      <c r="AA272" t="str">
        <f t="shared" si="98"/>
        <v>Red</v>
      </c>
      <c r="AB272" t="str">
        <f t="shared" si="99"/>
        <v>Red</v>
      </c>
      <c r="AC272" t="str">
        <f t="shared" si="100"/>
        <v>Green</v>
      </c>
      <c r="AD272" t="str">
        <f t="shared" si="101"/>
        <v>Red</v>
      </c>
    </row>
    <row r="273" spans="1:30" x14ac:dyDescent="0.25">
      <c r="A273" t="str">
        <f t="shared" si="82"/>
        <v>22/07/2026ZPC Kariba FCHighlanders FC</v>
      </c>
      <c r="D273" s="2">
        <v>46225</v>
      </c>
      <c r="E273" s="3">
        <v>0.54166666666666663</v>
      </c>
      <c r="F273" t="s">
        <v>1634</v>
      </c>
      <c r="G273" t="s">
        <v>1635</v>
      </c>
      <c r="H273">
        <v>0</v>
      </c>
      <c r="I273">
        <v>0</v>
      </c>
      <c r="J273">
        <v>1</v>
      </c>
      <c r="K273">
        <v>0</v>
      </c>
      <c r="L273" s="22" t="str">
        <f t="shared" si="83"/>
        <v>22/07/2026</v>
      </c>
      <c r="M273" s="23">
        <f t="shared" si="84"/>
        <v>0.41666666666666663</v>
      </c>
      <c r="N273" t="str">
        <f t="shared" si="85"/>
        <v>1 - 0</v>
      </c>
      <c r="O273" t="str">
        <f t="shared" si="86"/>
        <v>Green</v>
      </c>
      <c r="P273" t="str">
        <f t="shared" si="87"/>
        <v>Red</v>
      </c>
      <c r="Q273" t="str">
        <f t="shared" si="88"/>
        <v>Red</v>
      </c>
      <c r="R273" t="str">
        <f t="shared" si="89"/>
        <v>Green</v>
      </c>
      <c r="S273" t="str">
        <f t="shared" si="90"/>
        <v>Red</v>
      </c>
      <c r="T273" t="str">
        <f t="shared" si="91"/>
        <v>Green</v>
      </c>
      <c r="U273" t="str">
        <f t="shared" si="92"/>
        <v>Red</v>
      </c>
      <c r="V273" t="str">
        <f t="shared" si="93"/>
        <v>Green</v>
      </c>
      <c r="W273" t="str">
        <f t="shared" si="94"/>
        <v>Red</v>
      </c>
      <c r="X273" t="str">
        <f t="shared" si="95"/>
        <v>Red</v>
      </c>
      <c r="Y273" t="str">
        <f t="shared" si="96"/>
        <v>Red</v>
      </c>
      <c r="Z273" t="str">
        <f t="shared" si="97"/>
        <v>Red</v>
      </c>
      <c r="AA273" t="str">
        <f t="shared" si="98"/>
        <v>Green</v>
      </c>
      <c r="AB273" t="str">
        <f t="shared" si="99"/>
        <v>Green</v>
      </c>
      <c r="AC273" t="str">
        <f t="shared" si="100"/>
        <v>Red</v>
      </c>
      <c r="AD273" t="str">
        <f t="shared" si="101"/>
        <v>Green</v>
      </c>
    </row>
    <row r="274" spans="1:30" x14ac:dyDescent="0.25">
      <c r="A274" t="str">
        <f t="shared" si="82"/>
        <v>22/07/2026Boca Juniors WomenTalleres de Cordoba Women</v>
      </c>
      <c r="B274" t="s">
        <v>824</v>
      </c>
      <c r="C274" t="s">
        <v>897</v>
      </c>
      <c r="D274" s="2">
        <v>46225</v>
      </c>
      <c r="E274" s="3">
        <v>0.58333333333333337</v>
      </c>
      <c r="F274" t="s">
        <v>898</v>
      </c>
      <c r="G274" t="s">
        <v>899</v>
      </c>
      <c r="H274">
        <v>0</v>
      </c>
      <c r="I274">
        <v>0</v>
      </c>
      <c r="J274">
        <v>1</v>
      </c>
      <c r="K274">
        <v>1</v>
      </c>
      <c r="L274" s="22" t="str">
        <f t="shared" si="83"/>
        <v>22/07/2026</v>
      </c>
      <c r="M274" s="23">
        <f t="shared" si="84"/>
        <v>0.45833333333333337</v>
      </c>
      <c r="N274" t="str">
        <f t="shared" si="85"/>
        <v>1 - 1</v>
      </c>
      <c r="O274" t="str">
        <f t="shared" si="86"/>
        <v>Red</v>
      </c>
      <c r="P274" t="str">
        <f t="shared" si="87"/>
        <v>Green</v>
      </c>
      <c r="Q274" t="str">
        <f t="shared" si="88"/>
        <v>Red</v>
      </c>
      <c r="R274" t="str">
        <f t="shared" si="89"/>
        <v>Green</v>
      </c>
      <c r="S274" t="str">
        <f t="shared" si="90"/>
        <v>Green</v>
      </c>
      <c r="T274" t="str">
        <f t="shared" si="91"/>
        <v>Red</v>
      </c>
      <c r="U274" t="str">
        <f t="shared" si="92"/>
        <v>Red</v>
      </c>
      <c r="V274" t="str">
        <f t="shared" si="93"/>
        <v>Green</v>
      </c>
      <c r="W274" t="str">
        <f t="shared" si="94"/>
        <v>Red</v>
      </c>
      <c r="X274" t="str">
        <f t="shared" si="95"/>
        <v>Red</v>
      </c>
      <c r="Y274" t="str">
        <f t="shared" si="96"/>
        <v>Green</v>
      </c>
      <c r="Z274" t="str">
        <f t="shared" si="97"/>
        <v>Red</v>
      </c>
      <c r="AA274" t="str">
        <f t="shared" si="98"/>
        <v>Green</v>
      </c>
      <c r="AB274" t="str">
        <f t="shared" si="99"/>
        <v>Green</v>
      </c>
      <c r="AC274" t="str">
        <f t="shared" si="100"/>
        <v>Green</v>
      </c>
      <c r="AD274" t="str">
        <f t="shared" si="101"/>
        <v>Red</v>
      </c>
    </row>
    <row r="275" spans="1:30" x14ac:dyDescent="0.25">
      <c r="A275" t="str">
        <f t="shared" si="82"/>
        <v>22/07/2026BolognaHeidenheim</v>
      </c>
      <c r="D275" s="2">
        <v>46225</v>
      </c>
      <c r="E275" s="3">
        <v>0.58333333333333337</v>
      </c>
      <c r="F275" t="s">
        <v>1636</v>
      </c>
      <c r="G275" t="s">
        <v>1637</v>
      </c>
      <c r="H275">
        <v>1</v>
      </c>
      <c r="I275">
        <v>1</v>
      </c>
      <c r="J275">
        <v>1</v>
      </c>
      <c r="K275">
        <v>1</v>
      </c>
      <c r="L275" s="22" t="str">
        <f t="shared" si="83"/>
        <v>22/07/2026</v>
      </c>
      <c r="M275" s="23">
        <f t="shared" si="84"/>
        <v>0.45833333333333337</v>
      </c>
      <c r="N275" t="str">
        <f t="shared" si="85"/>
        <v>1 - 1</v>
      </c>
      <c r="O275" t="str">
        <f t="shared" si="86"/>
        <v>Red</v>
      </c>
      <c r="P275" t="str">
        <f t="shared" si="87"/>
        <v>Green</v>
      </c>
      <c r="Q275" t="str">
        <f t="shared" si="88"/>
        <v>Red</v>
      </c>
      <c r="R275" t="str">
        <f t="shared" si="89"/>
        <v>Green</v>
      </c>
      <c r="S275" t="str">
        <f t="shared" si="90"/>
        <v>Green</v>
      </c>
      <c r="T275" t="str">
        <f t="shared" si="91"/>
        <v>Red</v>
      </c>
      <c r="U275" t="str">
        <f t="shared" si="92"/>
        <v>Red</v>
      </c>
      <c r="V275" t="str">
        <f t="shared" si="93"/>
        <v>Green</v>
      </c>
      <c r="W275" t="str">
        <f t="shared" si="94"/>
        <v>Red</v>
      </c>
      <c r="X275" t="str">
        <f t="shared" si="95"/>
        <v>Green</v>
      </c>
      <c r="Y275" t="str">
        <f t="shared" si="96"/>
        <v>Green</v>
      </c>
      <c r="Z275" t="str">
        <f t="shared" si="97"/>
        <v>Red</v>
      </c>
      <c r="AA275" t="str">
        <f t="shared" si="98"/>
        <v>Green</v>
      </c>
      <c r="AB275" t="str">
        <f t="shared" si="99"/>
        <v>Green</v>
      </c>
      <c r="AC275" t="str">
        <f t="shared" si="100"/>
        <v>Green</v>
      </c>
      <c r="AD275" t="str">
        <f t="shared" si="101"/>
        <v>Red</v>
      </c>
    </row>
    <row r="276" spans="1:30" x14ac:dyDescent="0.25">
      <c r="A276" t="str">
        <f t="shared" si="82"/>
        <v>22/07/2026FC Metalist 1925Schalke 04</v>
      </c>
      <c r="D276" s="2">
        <v>46225</v>
      </c>
      <c r="E276" s="3">
        <v>0.58333333333333337</v>
      </c>
      <c r="F276" t="s">
        <v>1462</v>
      </c>
      <c r="G276" t="s">
        <v>1638</v>
      </c>
      <c r="H276">
        <v>0</v>
      </c>
      <c r="I276">
        <v>0</v>
      </c>
      <c r="J276">
        <v>0</v>
      </c>
      <c r="K276">
        <v>2</v>
      </c>
      <c r="L276" s="22" t="str">
        <f t="shared" si="83"/>
        <v>22/07/2026</v>
      </c>
      <c r="M276" s="23">
        <f t="shared" si="84"/>
        <v>0.45833333333333337</v>
      </c>
      <c r="N276" t="str">
        <f t="shared" si="85"/>
        <v>0 - 2</v>
      </c>
      <c r="O276" t="str">
        <f t="shared" si="86"/>
        <v>Red</v>
      </c>
      <c r="P276" t="str">
        <f t="shared" si="87"/>
        <v>Red</v>
      </c>
      <c r="Q276" t="str">
        <f t="shared" si="88"/>
        <v>Green</v>
      </c>
      <c r="R276" t="str">
        <f t="shared" si="89"/>
        <v>Red</v>
      </c>
      <c r="S276" t="str">
        <f t="shared" si="90"/>
        <v>Green</v>
      </c>
      <c r="T276" t="str">
        <f t="shared" si="91"/>
        <v>Green</v>
      </c>
      <c r="U276" t="str">
        <f t="shared" si="92"/>
        <v>Red</v>
      </c>
      <c r="V276" t="str">
        <f t="shared" si="93"/>
        <v>Green</v>
      </c>
      <c r="W276" t="str">
        <f t="shared" si="94"/>
        <v>Red</v>
      </c>
      <c r="X276" t="str">
        <f t="shared" si="95"/>
        <v>Red</v>
      </c>
      <c r="Y276" t="str">
        <f t="shared" si="96"/>
        <v>Green</v>
      </c>
      <c r="Z276" t="str">
        <f t="shared" si="97"/>
        <v>Red</v>
      </c>
      <c r="AA276" t="str">
        <f t="shared" si="98"/>
        <v>Green</v>
      </c>
      <c r="AB276" t="str">
        <f t="shared" si="99"/>
        <v>Green</v>
      </c>
      <c r="AC276" t="str">
        <f t="shared" si="100"/>
        <v>Red</v>
      </c>
      <c r="AD276" t="str">
        <f t="shared" si="101"/>
        <v>Green</v>
      </c>
    </row>
    <row r="277" spans="1:30" x14ac:dyDescent="0.25">
      <c r="A277" t="str">
        <f t="shared" si="82"/>
        <v>22/07/2026ReimsAmiens</v>
      </c>
      <c r="D277" s="2">
        <v>46225</v>
      </c>
      <c r="E277" s="3">
        <v>0.58333333333333337</v>
      </c>
      <c r="F277" t="s">
        <v>1639</v>
      </c>
      <c r="G277" t="s">
        <v>1640</v>
      </c>
      <c r="H277">
        <v>0</v>
      </c>
      <c r="I277">
        <v>1</v>
      </c>
      <c r="J277">
        <v>1</v>
      </c>
      <c r="K277">
        <v>1</v>
      </c>
      <c r="L277" s="22" t="str">
        <f t="shared" si="83"/>
        <v>22/07/2026</v>
      </c>
      <c r="M277" s="23">
        <f t="shared" si="84"/>
        <v>0.45833333333333337</v>
      </c>
      <c r="N277" t="str">
        <f t="shared" si="85"/>
        <v>1 - 1</v>
      </c>
      <c r="O277" t="str">
        <f t="shared" si="86"/>
        <v>Red</v>
      </c>
      <c r="P277" t="str">
        <f t="shared" si="87"/>
        <v>Green</v>
      </c>
      <c r="Q277" t="str">
        <f t="shared" si="88"/>
        <v>Red</v>
      </c>
      <c r="R277" t="str">
        <f t="shared" si="89"/>
        <v>Green</v>
      </c>
      <c r="S277" t="str">
        <f t="shared" si="90"/>
        <v>Green</v>
      </c>
      <c r="T277" t="str">
        <f t="shared" si="91"/>
        <v>Red</v>
      </c>
      <c r="U277" t="str">
        <f t="shared" si="92"/>
        <v>Red</v>
      </c>
      <c r="V277" t="str">
        <f t="shared" si="93"/>
        <v>Red</v>
      </c>
      <c r="W277" t="str">
        <f t="shared" si="94"/>
        <v>Green</v>
      </c>
      <c r="X277" t="str">
        <f t="shared" si="95"/>
        <v>Green</v>
      </c>
      <c r="Y277" t="str">
        <f t="shared" si="96"/>
        <v>Green</v>
      </c>
      <c r="Z277" t="str">
        <f t="shared" si="97"/>
        <v>Red</v>
      </c>
      <c r="AA277" t="str">
        <f t="shared" si="98"/>
        <v>Green</v>
      </c>
      <c r="AB277" t="str">
        <f t="shared" si="99"/>
        <v>Green</v>
      </c>
      <c r="AC277" t="str">
        <f t="shared" si="100"/>
        <v>Green</v>
      </c>
      <c r="AD277" t="str">
        <f t="shared" si="101"/>
        <v>Red</v>
      </c>
    </row>
    <row r="278" spans="1:30" x14ac:dyDescent="0.25">
      <c r="A278" t="str">
        <f t="shared" si="82"/>
        <v>22/07/2026KFF Mitrovica WomenZimbru Chisinau Women</v>
      </c>
      <c r="B278" t="s">
        <v>820</v>
      </c>
      <c r="D278" s="2">
        <v>46225</v>
      </c>
      <c r="E278" s="3">
        <v>0.60416666666666663</v>
      </c>
      <c r="F278" t="s">
        <v>1641</v>
      </c>
      <c r="G278" t="s">
        <v>1642</v>
      </c>
      <c r="H278">
        <v>5</v>
      </c>
      <c r="I278">
        <v>0</v>
      </c>
      <c r="J278">
        <v>10</v>
      </c>
      <c r="K278">
        <v>0</v>
      </c>
      <c r="L278" s="22" t="str">
        <f t="shared" si="83"/>
        <v>22/07/2026</v>
      </c>
      <c r="M278" s="23">
        <f t="shared" si="84"/>
        <v>0.47916666666666663</v>
      </c>
      <c r="N278" t="str">
        <f t="shared" si="85"/>
        <v>10 - 0</v>
      </c>
      <c r="O278" t="str">
        <f t="shared" si="86"/>
        <v>Green</v>
      </c>
      <c r="P278" t="str">
        <f t="shared" si="87"/>
        <v>Red</v>
      </c>
      <c r="Q278" t="str">
        <f t="shared" si="88"/>
        <v>Red</v>
      </c>
      <c r="R278" t="str">
        <f t="shared" si="89"/>
        <v>Green</v>
      </c>
      <c r="S278" t="str">
        <f t="shared" si="90"/>
        <v>Red</v>
      </c>
      <c r="T278" t="str">
        <f t="shared" si="91"/>
        <v>Green</v>
      </c>
      <c r="U278" t="str">
        <f t="shared" si="92"/>
        <v>Green</v>
      </c>
      <c r="V278" t="str">
        <f t="shared" si="93"/>
        <v>Red</v>
      </c>
      <c r="W278" t="str">
        <f t="shared" si="94"/>
        <v>Red</v>
      </c>
      <c r="X278" t="str">
        <f t="shared" si="95"/>
        <v>Green</v>
      </c>
      <c r="Y278" t="str">
        <f t="shared" si="96"/>
        <v>Green</v>
      </c>
      <c r="Z278" t="str">
        <f t="shared" si="97"/>
        <v>Green</v>
      </c>
      <c r="AA278" t="str">
        <f t="shared" si="98"/>
        <v>Red</v>
      </c>
      <c r="AB278" t="str">
        <f t="shared" si="99"/>
        <v>Red</v>
      </c>
      <c r="AC278" t="str">
        <f t="shared" si="100"/>
        <v>Red</v>
      </c>
      <c r="AD278" t="str">
        <f t="shared" si="101"/>
        <v>Green</v>
      </c>
    </row>
    <row r="279" spans="1:30" x14ac:dyDescent="0.25">
      <c r="A279" t="str">
        <f t="shared" si="82"/>
        <v>22/07/2026KI Klaksvik WomenLudogorets Women</v>
      </c>
      <c r="B279" t="s">
        <v>820</v>
      </c>
      <c r="D279" s="2">
        <v>46225</v>
      </c>
      <c r="E279" s="3">
        <v>0.60416666666666663</v>
      </c>
      <c r="F279" t="s">
        <v>1643</v>
      </c>
      <c r="G279" t="s">
        <v>1644</v>
      </c>
      <c r="H279">
        <v>0</v>
      </c>
      <c r="I279">
        <v>2</v>
      </c>
      <c r="J279">
        <v>0</v>
      </c>
      <c r="K279">
        <v>3</v>
      </c>
      <c r="L279" s="22" t="str">
        <f t="shared" si="83"/>
        <v>22/07/2026</v>
      </c>
      <c r="M279" s="23">
        <f t="shared" si="84"/>
        <v>0.47916666666666663</v>
      </c>
      <c r="N279" t="str">
        <f t="shared" si="85"/>
        <v>0 - 3</v>
      </c>
      <c r="O279" t="str">
        <f t="shared" si="86"/>
        <v>Red</v>
      </c>
      <c r="P279" t="str">
        <f t="shared" si="87"/>
        <v>Red</v>
      </c>
      <c r="Q279" t="str">
        <f t="shared" si="88"/>
        <v>Green</v>
      </c>
      <c r="R279" t="str">
        <f t="shared" si="89"/>
        <v>Red</v>
      </c>
      <c r="S279" t="str">
        <f t="shared" si="90"/>
        <v>Green</v>
      </c>
      <c r="T279" t="str">
        <f t="shared" si="91"/>
        <v>Green</v>
      </c>
      <c r="U279" t="str">
        <f t="shared" si="92"/>
        <v>Red</v>
      </c>
      <c r="V279" t="str">
        <f t="shared" si="93"/>
        <v>Red</v>
      </c>
      <c r="W279" t="str">
        <f t="shared" si="94"/>
        <v>Green</v>
      </c>
      <c r="X279" t="str">
        <f t="shared" si="95"/>
        <v>Green</v>
      </c>
      <c r="Y279" t="str">
        <f t="shared" si="96"/>
        <v>Green</v>
      </c>
      <c r="Z279" t="str">
        <f t="shared" si="97"/>
        <v>Green</v>
      </c>
      <c r="AA279" t="str">
        <f t="shared" si="98"/>
        <v>Red</v>
      </c>
      <c r="AB279" t="str">
        <f t="shared" si="99"/>
        <v>Green</v>
      </c>
      <c r="AC279" t="str">
        <f t="shared" si="100"/>
        <v>Red</v>
      </c>
      <c r="AD279" t="str">
        <f t="shared" si="101"/>
        <v>Green</v>
      </c>
    </row>
    <row r="280" spans="1:30" x14ac:dyDescent="0.25">
      <c r="A280" t="str">
        <f t="shared" si="82"/>
        <v>22/07/2026Satsaid WomenFerro Carril Oeste Women</v>
      </c>
      <c r="B280" t="s">
        <v>824</v>
      </c>
      <c r="C280" t="s">
        <v>897</v>
      </c>
      <c r="D280" s="2">
        <v>46225</v>
      </c>
      <c r="E280" s="3">
        <v>0.625</v>
      </c>
      <c r="F280" t="s">
        <v>900</v>
      </c>
      <c r="G280" t="s">
        <v>901</v>
      </c>
      <c r="H280">
        <v>0</v>
      </c>
      <c r="I280">
        <v>0</v>
      </c>
      <c r="J280">
        <v>2</v>
      </c>
      <c r="K280">
        <v>0</v>
      </c>
      <c r="L280" s="22" t="str">
        <f t="shared" si="83"/>
        <v>22/07/2026</v>
      </c>
      <c r="M280" s="23">
        <f t="shared" si="84"/>
        <v>0.5</v>
      </c>
      <c r="N280" t="str">
        <f t="shared" si="85"/>
        <v>2 - 0</v>
      </c>
      <c r="O280" t="str">
        <f t="shared" si="86"/>
        <v>Green</v>
      </c>
      <c r="P280" t="str">
        <f t="shared" si="87"/>
        <v>Red</v>
      </c>
      <c r="Q280" t="str">
        <f t="shared" si="88"/>
        <v>Red</v>
      </c>
      <c r="R280" t="str">
        <f t="shared" si="89"/>
        <v>Green</v>
      </c>
      <c r="S280" t="str">
        <f t="shared" si="90"/>
        <v>Red</v>
      </c>
      <c r="T280" t="str">
        <f t="shared" si="91"/>
        <v>Green</v>
      </c>
      <c r="U280" t="str">
        <f t="shared" si="92"/>
        <v>Red</v>
      </c>
      <c r="V280" t="str">
        <f t="shared" si="93"/>
        <v>Green</v>
      </c>
      <c r="W280" t="str">
        <f t="shared" si="94"/>
        <v>Red</v>
      </c>
      <c r="X280" t="str">
        <f t="shared" si="95"/>
        <v>Red</v>
      </c>
      <c r="Y280" t="str">
        <f t="shared" si="96"/>
        <v>Green</v>
      </c>
      <c r="Z280" t="str">
        <f t="shared" si="97"/>
        <v>Red</v>
      </c>
      <c r="AA280" t="str">
        <f t="shared" si="98"/>
        <v>Green</v>
      </c>
      <c r="AB280" t="str">
        <f t="shared" si="99"/>
        <v>Green</v>
      </c>
      <c r="AC280" t="str">
        <f t="shared" si="100"/>
        <v>Red</v>
      </c>
      <c r="AD280" t="str">
        <f t="shared" si="101"/>
        <v>Green</v>
      </c>
    </row>
    <row r="281" spans="1:30" x14ac:dyDescent="0.25">
      <c r="A281" t="str">
        <f t="shared" si="82"/>
        <v>22/07/2026FC HiiumaaJK Viljandi Tulevik</v>
      </c>
      <c r="D281" s="2">
        <v>46225</v>
      </c>
      <c r="E281" s="3">
        <v>0.625</v>
      </c>
      <c r="F281" t="s">
        <v>1645</v>
      </c>
      <c r="G281" t="s">
        <v>1646</v>
      </c>
      <c r="H281">
        <v>3</v>
      </c>
      <c r="I281">
        <v>0</v>
      </c>
      <c r="J281">
        <v>4</v>
      </c>
      <c r="K281">
        <v>1</v>
      </c>
      <c r="L281" s="22" t="str">
        <f t="shared" si="83"/>
        <v>22/07/2026</v>
      </c>
      <c r="M281" s="23">
        <f t="shared" si="84"/>
        <v>0.5</v>
      </c>
      <c r="N281" t="str">
        <f t="shared" si="85"/>
        <v>4 - 1</v>
      </c>
      <c r="O281" t="str">
        <f t="shared" si="86"/>
        <v>Green</v>
      </c>
      <c r="P281" t="str">
        <f t="shared" si="87"/>
        <v>Red</v>
      </c>
      <c r="Q281" t="str">
        <f t="shared" si="88"/>
        <v>Red</v>
      </c>
      <c r="R281" t="str">
        <f t="shared" si="89"/>
        <v>Green</v>
      </c>
      <c r="S281" t="str">
        <f t="shared" si="90"/>
        <v>Red</v>
      </c>
      <c r="T281" t="str">
        <f t="shared" si="91"/>
        <v>Green</v>
      </c>
      <c r="U281" t="str">
        <f t="shared" si="92"/>
        <v>Green</v>
      </c>
      <c r="V281" t="str">
        <f t="shared" si="93"/>
        <v>Red</v>
      </c>
      <c r="W281" t="str">
        <f t="shared" si="94"/>
        <v>Red</v>
      </c>
      <c r="X281" t="str">
        <f t="shared" si="95"/>
        <v>Green</v>
      </c>
      <c r="Y281" t="str">
        <f t="shared" si="96"/>
        <v>Green</v>
      </c>
      <c r="Z281" t="str">
        <f t="shared" si="97"/>
        <v>Green</v>
      </c>
      <c r="AA281" t="str">
        <f t="shared" si="98"/>
        <v>Red</v>
      </c>
      <c r="AB281" t="str">
        <f t="shared" si="99"/>
        <v>Red</v>
      </c>
      <c r="AC281" t="str">
        <f t="shared" si="100"/>
        <v>Green</v>
      </c>
      <c r="AD281" t="str">
        <f t="shared" si="101"/>
        <v>Red</v>
      </c>
    </row>
    <row r="282" spans="1:30" x14ac:dyDescent="0.25">
      <c r="A282" t="str">
        <f t="shared" si="82"/>
        <v>22/07/2026Tabasalu CharmaTallinna FC Tamper</v>
      </c>
      <c r="D282" s="2">
        <v>46225</v>
      </c>
      <c r="E282" s="3">
        <v>0.625</v>
      </c>
      <c r="F282" t="s">
        <v>1647</v>
      </c>
      <c r="G282" t="s">
        <v>1648</v>
      </c>
      <c r="H282">
        <v>0</v>
      </c>
      <c r="I282">
        <v>2</v>
      </c>
      <c r="J282">
        <v>0</v>
      </c>
      <c r="K282">
        <v>2</v>
      </c>
      <c r="L282" s="22" t="str">
        <f t="shared" si="83"/>
        <v>22/07/2026</v>
      </c>
      <c r="M282" s="23">
        <f t="shared" si="84"/>
        <v>0.5</v>
      </c>
      <c r="N282" t="str">
        <f t="shared" si="85"/>
        <v>0 - 2</v>
      </c>
      <c r="O282" t="str">
        <f t="shared" si="86"/>
        <v>Red</v>
      </c>
      <c r="P282" t="str">
        <f t="shared" si="87"/>
        <v>Red</v>
      </c>
      <c r="Q282" t="str">
        <f t="shared" si="88"/>
        <v>Green</v>
      </c>
      <c r="R282" t="str">
        <f t="shared" si="89"/>
        <v>Red</v>
      </c>
      <c r="S282" t="str">
        <f t="shared" si="90"/>
        <v>Green</v>
      </c>
      <c r="T282" t="str">
        <f t="shared" si="91"/>
        <v>Green</v>
      </c>
      <c r="U282" t="str">
        <f t="shared" si="92"/>
        <v>Red</v>
      </c>
      <c r="V282" t="str">
        <f t="shared" si="93"/>
        <v>Red</v>
      </c>
      <c r="W282" t="str">
        <f t="shared" si="94"/>
        <v>Green</v>
      </c>
      <c r="X282" t="str">
        <f t="shared" si="95"/>
        <v>Green</v>
      </c>
      <c r="Y282" t="str">
        <f t="shared" si="96"/>
        <v>Green</v>
      </c>
      <c r="Z282" t="str">
        <f t="shared" si="97"/>
        <v>Red</v>
      </c>
      <c r="AA282" t="str">
        <f t="shared" si="98"/>
        <v>Green</v>
      </c>
      <c r="AB282" t="str">
        <f t="shared" si="99"/>
        <v>Green</v>
      </c>
      <c r="AC282" t="str">
        <f t="shared" si="100"/>
        <v>Red</v>
      </c>
      <c r="AD282" t="str">
        <f t="shared" si="101"/>
        <v>Green</v>
      </c>
    </row>
    <row r="283" spans="1:30" x14ac:dyDescent="0.25">
      <c r="A283" t="str">
        <f t="shared" si="82"/>
        <v>22/07/2026Kokand 1912Olmaliq</v>
      </c>
      <c r="D283" s="2">
        <v>46225</v>
      </c>
      <c r="E283" s="3">
        <v>0.625</v>
      </c>
      <c r="F283" t="s">
        <v>1649</v>
      </c>
      <c r="G283" t="s">
        <v>1650</v>
      </c>
      <c r="H283">
        <v>0</v>
      </c>
      <c r="I283">
        <v>0</v>
      </c>
      <c r="J283">
        <v>1</v>
      </c>
      <c r="K283">
        <v>4</v>
      </c>
      <c r="L283" s="22" t="str">
        <f t="shared" si="83"/>
        <v>22/07/2026</v>
      </c>
      <c r="M283" s="23">
        <f t="shared" si="84"/>
        <v>0.5</v>
      </c>
      <c r="N283" t="str">
        <f t="shared" si="85"/>
        <v>1 - 4</v>
      </c>
      <c r="O283" t="str">
        <f t="shared" si="86"/>
        <v>Red</v>
      </c>
      <c r="P283" t="str">
        <f t="shared" si="87"/>
        <v>Red</v>
      </c>
      <c r="Q283" t="str">
        <f t="shared" si="88"/>
        <v>Green</v>
      </c>
      <c r="R283" t="str">
        <f t="shared" si="89"/>
        <v>Red</v>
      </c>
      <c r="S283" t="str">
        <f t="shared" si="90"/>
        <v>Green</v>
      </c>
      <c r="T283" t="str">
        <f t="shared" si="91"/>
        <v>Green</v>
      </c>
      <c r="U283" t="str">
        <f t="shared" si="92"/>
        <v>Red</v>
      </c>
      <c r="V283" t="str">
        <f t="shared" si="93"/>
        <v>Green</v>
      </c>
      <c r="W283" t="str">
        <f t="shared" si="94"/>
        <v>Red</v>
      </c>
      <c r="X283" t="str">
        <f t="shared" si="95"/>
        <v>Red</v>
      </c>
      <c r="Y283" t="str">
        <f t="shared" si="96"/>
        <v>Green</v>
      </c>
      <c r="Z283" t="str">
        <f t="shared" si="97"/>
        <v>Green</v>
      </c>
      <c r="AA283" t="str">
        <f t="shared" si="98"/>
        <v>Red</v>
      </c>
      <c r="AB283" t="str">
        <f t="shared" si="99"/>
        <v>Red</v>
      </c>
      <c r="AC283" t="str">
        <f t="shared" si="100"/>
        <v>Green</v>
      </c>
      <c r="AD283" t="str">
        <f t="shared" si="101"/>
        <v>Red</v>
      </c>
    </row>
    <row r="284" spans="1:30" x14ac:dyDescent="0.25">
      <c r="A284" t="str">
        <f t="shared" si="82"/>
        <v>22/07/2026Lokomotiv TashkentAndijan</v>
      </c>
      <c r="D284" s="2">
        <v>46225</v>
      </c>
      <c r="E284" s="3">
        <v>0.625</v>
      </c>
      <c r="F284" t="s">
        <v>1651</v>
      </c>
      <c r="G284" t="s">
        <v>1652</v>
      </c>
      <c r="H284">
        <v>1</v>
      </c>
      <c r="I284">
        <v>0</v>
      </c>
      <c r="J284">
        <v>3</v>
      </c>
      <c r="K284">
        <v>3</v>
      </c>
      <c r="L284" s="22" t="str">
        <f t="shared" si="83"/>
        <v>22/07/2026</v>
      </c>
      <c r="M284" s="23">
        <f t="shared" si="84"/>
        <v>0.5</v>
      </c>
      <c r="N284" t="str">
        <f t="shared" si="85"/>
        <v>3 - 3</v>
      </c>
      <c r="O284" t="str">
        <f t="shared" si="86"/>
        <v>Red</v>
      </c>
      <c r="P284" t="str">
        <f t="shared" si="87"/>
        <v>Green</v>
      </c>
      <c r="Q284" t="str">
        <f t="shared" si="88"/>
        <v>Red</v>
      </c>
      <c r="R284" t="str">
        <f t="shared" si="89"/>
        <v>Green</v>
      </c>
      <c r="S284" t="str">
        <f t="shared" si="90"/>
        <v>Green</v>
      </c>
      <c r="T284" t="str">
        <f t="shared" si="91"/>
        <v>Red</v>
      </c>
      <c r="U284" t="str">
        <f t="shared" si="92"/>
        <v>Green</v>
      </c>
      <c r="V284" t="str">
        <f t="shared" si="93"/>
        <v>Red</v>
      </c>
      <c r="W284" t="str">
        <f t="shared" si="94"/>
        <v>Red</v>
      </c>
      <c r="X284" t="str">
        <f t="shared" si="95"/>
        <v>Green</v>
      </c>
      <c r="Y284" t="str">
        <f t="shared" si="96"/>
        <v>Green</v>
      </c>
      <c r="Z284" t="str">
        <f t="shared" si="97"/>
        <v>Green</v>
      </c>
      <c r="AA284" t="str">
        <f t="shared" si="98"/>
        <v>Red</v>
      </c>
      <c r="AB284" t="str">
        <f t="shared" si="99"/>
        <v>Red</v>
      </c>
      <c r="AC284" t="str">
        <f t="shared" si="100"/>
        <v>Green</v>
      </c>
      <c r="AD284" t="str">
        <f t="shared" si="101"/>
        <v>Red</v>
      </c>
    </row>
    <row r="285" spans="1:30" x14ac:dyDescent="0.25">
      <c r="A285" t="str">
        <f t="shared" si="82"/>
        <v>22/07/2026Mash Al MubarekNasaf Qarshi</v>
      </c>
      <c r="D285" s="2">
        <v>46225</v>
      </c>
      <c r="E285" s="3">
        <v>0.625</v>
      </c>
      <c r="F285" t="s">
        <v>1653</v>
      </c>
      <c r="G285" t="s">
        <v>1654</v>
      </c>
      <c r="H285">
        <v>1</v>
      </c>
      <c r="I285">
        <v>1</v>
      </c>
      <c r="J285">
        <v>1</v>
      </c>
      <c r="K285">
        <v>1</v>
      </c>
      <c r="L285" s="22" t="str">
        <f t="shared" si="83"/>
        <v>22/07/2026</v>
      </c>
      <c r="M285" s="23">
        <f t="shared" si="84"/>
        <v>0.5</v>
      </c>
      <c r="N285" t="str">
        <f t="shared" si="85"/>
        <v>1 - 1</v>
      </c>
      <c r="O285" t="str">
        <f t="shared" si="86"/>
        <v>Red</v>
      </c>
      <c r="P285" t="str">
        <f t="shared" si="87"/>
        <v>Green</v>
      </c>
      <c r="Q285" t="str">
        <f t="shared" si="88"/>
        <v>Red</v>
      </c>
      <c r="R285" t="str">
        <f t="shared" si="89"/>
        <v>Green</v>
      </c>
      <c r="S285" t="str">
        <f t="shared" si="90"/>
        <v>Green</v>
      </c>
      <c r="T285" t="str">
        <f t="shared" si="91"/>
        <v>Red</v>
      </c>
      <c r="U285" t="str">
        <f t="shared" si="92"/>
        <v>Red</v>
      </c>
      <c r="V285" t="str">
        <f t="shared" si="93"/>
        <v>Green</v>
      </c>
      <c r="W285" t="str">
        <f t="shared" si="94"/>
        <v>Red</v>
      </c>
      <c r="X285" t="str">
        <f t="shared" si="95"/>
        <v>Green</v>
      </c>
      <c r="Y285" t="str">
        <f t="shared" si="96"/>
        <v>Green</v>
      </c>
      <c r="Z285" t="str">
        <f t="shared" si="97"/>
        <v>Red</v>
      </c>
      <c r="AA285" t="str">
        <f t="shared" si="98"/>
        <v>Green</v>
      </c>
      <c r="AB285" t="str">
        <f t="shared" si="99"/>
        <v>Green</v>
      </c>
      <c r="AC285" t="str">
        <f t="shared" si="100"/>
        <v>Green</v>
      </c>
      <c r="AD285" t="str">
        <f t="shared" si="101"/>
        <v>Red</v>
      </c>
    </row>
    <row r="286" spans="1:30" x14ac:dyDescent="0.25">
      <c r="A286" t="str">
        <f t="shared" si="82"/>
        <v>22/07/2026AS AvellinoScafatese Calcio</v>
      </c>
      <c r="D286" s="2">
        <v>46225</v>
      </c>
      <c r="E286" s="3">
        <v>0.625</v>
      </c>
      <c r="F286" t="s">
        <v>1655</v>
      </c>
      <c r="G286" t="s">
        <v>1656</v>
      </c>
      <c r="L286" s="22" t="str">
        <f t="shared" si="83"/>
        <v>22/07/2026</v>
      </c>
      <c r="M286" s="23">
        <f t="shared" si="84"/>
        <v>0.5</v>
      </c>
      <c r="N286" t="str">
        <f t="shared" si="85"/>
        <v xml:space="preserve"> - </v>
      </c>
      <c r="O286" t="str">
        <f t="shared" si="86"/>
        <v>Red</v>
      </c>
      <c r="P286" t="str">
        <f t="shared" si="87"/>
        <v>Green</v>
      </c>
      <c r="Q286" t="str">
        <f t="shared" si="88"/>
        <v>Red</v>
      </c>
      <c r="R286" t="str">
        <f t="shared" si="89"/>
        <v>Green</v>
      </c>
      <c r="S286" t="str">
        <f t="shared" si="90"/>
        <v>Green</v>
      </c>
      <c r="T286" t="str">
        <f t="shared" si="91"/>
        <v>Red</v>
      </c>
      <c r="U286" t="str">
        <f t="shared" si="92"/>
        <v>Red</v>
      </c>
      <c r="V286" t="str">
        <f t="shared" si="93"/>
        <v>Green</v>
      </c>
      <c r="W286" t="str">
        <f t="shared" si="94"/>
        <v>Red</v>
      </c>
      <c r="X286" t="str">
        <f t="shared" si="95"/>
        <v>Red</v>
      </c>
      <c r="Y286" t="str">
        <f t="shared" si="96"/>
        <v>Red</v>
      </c>
      <c r="Z286" t="str">
        <f t="shared" si="97"/>
        <v>Red</v>
      </c>
      <c r="AA286" t="str">
        <f t="shared" si="98"/>
        <v>Green</v>
      </c>
      <c r="AB286" t="str">
        <f t="shared" si="99"/>
        <v>Green</v>
      </c>
      <c r="AC286" t="str">
        <f t="shared" si="100"/>
        <v>Red</v>
      </c>
      <c r="AD286" t="str">
        <f t="shared" si="101"/>
        <v>Green</v>
      </c>
    </row>
    <row r="287" spans="1:30" x14ac:dyDescent="0.25">
      <c r="A287" t="str">
        <f t="shared" si="82"/>
        <v>22/07/2026FK Backa TopolaIlirija Ljubljana</v>
      </c>
      <c r="D287" s="2">
        <v>46225</v>
      </c>
      <c r="E287" s="3">
        <v>0.625</v>
      </c>
      <c r="F287" t="s">
        <v>1657</v>
      </c>
      <c r="G287" t="s">
        <v>1658</v>
      </c>
      <c r="H287">
        <v>2</v>
      </c>
      <c r="I287">
        <v>0</v>
      </c>
      <c r="J287">
        <v>4</v>
      </c>
      <c r="K287">
        <v>0</v>
      </c>
      <c r="L287" s="22" t="str">
        <f t="shared" si="83"/>
        <v>22/07/2026</v>
      </c>
      <c r="M287" s="23">
        <f t="shared" si="84"/>
        <v>0.5</v>
      </c>
      <c r="N287" t="str">
        <f t="shared" si="85"/>
        <v>4 - 0</v>
      </c>
      <c r="O287" t="str">
        <f t="shared" si="86"/>
        <v>Green</v>
      </c>
      <c r="P287" t="str">
        <f t="shared" si="87"/>
        <v>Red</v>
      </c>
      <c r="Q287" t="str">
        <f t="shared" si="88"/>
        <v>Red</v>
      </c>
      <c r="R287" t="str">
        <f t="shared" si="89"/>
        <v>Green</v>
      </c>
      <c r="S287" t="str">
        <f t="shared" si="90"/>
        <v>Red</v>
      </c>
      <c r="T287" t="str">
        <f t="shared" si="91"/>
        <v>Green</v>
      </c>
      <c r="U287" t="str">
        <f t="shared" si="92"/>
        <v>Green</v>
      </c>
      <c r="V287" t="str">
        <f t="shared" si="93"/>
        <v>Red</v>
      </c>
      <c r="W287" t="str">
        <f t="shared" si="94"/>
        <v>Red</v>
      </c>
      <c r="X287" t="str">
        <f t="shared" si="95"/>
        <v>Green</v>
      </c>
      <c r="Y287" t="str">
        <f t="shared" si="96"/>
        <v>Green</v>
      </c>
      <c r="Z287" t="str">
        <f t="shared" si="97"/>
        <v>Green</v>
      </c>
      <c r="AA287" t="str">
        <f t="shared" si="98"/>
        <v>Red</v>
      </c>
      <c r="AB287" t="str">
        <f t="shared" si="99"/>
        <v>Red</v>
      </c>
      <c r="AC287" t="str">
        <f t="shared" si="100"/>
        <v>Red</v>
      </c>
      <c r="AD287" t="str">
        <f t="shared" si="101"/>
        <v>Green</v>
      </c>
    </row>
    <row r="288" spans="1:30" x14ac:dyDescent="0.25">
      <c r="A288" t="str">
        <f t="shared" si="82"/>
        <v>22/07/2026PalermoFC Paradiso</v>
      </c>
      <c r="D288" s="2">
        <v>46225</v>
      </c>
      <c r="E288" s="3">
        <v>0.625</v>
      </c>
      <c r="F288" t="s">
        <v>1659</v>
      </c>
      <c r="G288" t="s">
        <v>1660</v>
      </c>
      <c r="H288">
        <v>4</v>
      </c>
      <c r="I288">
        <v>0</v>
      </c>
      <c r="J288">
        <v>7</v>
      </c>
      <c r="K288">
        <v>0</v>
      </c>
      <c r="L288" s="22" t="str">
        <f t="shared" si="83"/>
        <v>22/07/2026</v>
      </c>
      <c r="M288" s="23">
        <f t="shared" si="84"/>
        <v>0.5</v>
      </c>
      <c r="N288" t="str">
        <f t="shared" si="85"/>
        <v>7 - 0</v>
      </c>
      <c r="O288" t="str">
        <f t="shared" si="86"/>
        <v>Green</v>
      </c>
      <c r="P288" t="str">
        <f t="shared" si="87"/>
        <v>Red</v>
      </c>
      <c r="Q288" t="str">
        <f t="shared" si="88"/>
        <v>Red</v>
      </c>
      <c r="R288" t="str">
        <f t="shared" si="89"/>
        <v>Green</v>
      </c>
      <c r="S288" t="str">
        <f t="shared" si="90"/>
        <v>Red</v>
      </c>
      <c r="T288" t="str">
        <f t="shared" si="91"/>
        <v>Green</v>
      </c>
      <c r="U288" t="str">
        <f t="shared" si="92"/>
        <v>Green</v>
      </c>
      <c r="V288" t="str">
        <f t="shared" si="93"/>
        <v>Red</v>
      </c>
      <c r="W288" t="str">
        <f t="shared" si="94"/>
        <v>Red</v>
      </c>
      <c r="X288" t="str">
        <f t="shared" si="95"/>
        <v>Green</v>
      </c>
      <c r="Y288" t="str">
        <f t="shared" si="96"/>
        <v>Green</v>
      </c>
      <c r="Z288" t="str">
        <f t="shared" si="97"/>
        <v>Green</v>
      </c>
      <c r="AA288" t="str">
        <f t="shared" si="98"/>
        <v>Red</v>
      </c>
      <c r="AB288" t="str">
        <f t="shared" si="99"/>
        <v>Red</v>
      </c>
      <c r="AC288" t="str">
        <f t="shared" si="100"/>
        <v>Red</v>
      </c>
      <c r="AD288" t="str">
        <f t="shared" si="101"/>
        <v>Green</v>
      </c>
    </row>
    <row r="289" spans="1:30" x14ac:dyDescent="0.25">
      <c r="A289" t="str">
        <f t="shared" si="82"/>
        <v>22/07/2026SassuoloPadova Calcio</v>
      </c>
      <c r="D289" s="2">
        <v>46225</v>
      </c>
      <c r="E289" s="3">
        <v>0.625</v>
      </c>
      <c r="F289" t="s">
        <v>1661</v>
      </c>
      <c r="G289" t="s">
        <v>1662</v>
      </c>
      <c r="H289">
        <v>2</v>
      </c>
      <c r="I289">
        <v>1</v>
      </c>
      <c r="J289">
        <v>4</v>
      </c>
      <c r="K289">
        <v>1</v>
      </c>
      <c r="L289" s="22" t="str">
        <f t="shared" si="83"/>
        <v>22/07/2026</v>
      </c>
      <c r="M289" s="23">
        <f t="shared" si="84"/>
        <v>0.5</v>
      </c>
      <c r="N289" t="str">
        <f t="shared" si="85"/>
        <v>4 - 1</v>
      </c>
      <c r="O289" t="str">
        <f t="shared" si="86"/>
        <v>Green</v>
      </c>
      <c r="P289" t="str">
        <f t="shared" si="87"/>
        <v>Red</v>
      </c>
      <c r="Q289" t="str">
        <f t="shared" si="88"/>
        <v>Red</v>
      </c>
      <c r="R289" t="str">
        <f t="shared" si="89"/>
        <v>Green</v>
      </c>
      <c r="S289" t="str">
        <f t="shared" si="90"/>
        <v>Red</v>
      </c>
      <c r="T289" t="str">
        <f t="shared" si="91"/>
        <v>Green</v>
      </c>
      <c r="U289" t="str">
        <f t="shared" si="92"/>
        <v>Green</v>
      </c>
      <c r="V289" t="str">
        <f t="shared" si="93"/>
        <v>Red</v>
      </c>
      <c r="W289" t="str">
        <f t="shared" si="94"/>
        <v>Red</v>
      </c>
      <c r="X289" t="str">
        <f t="shared" si="95"/>
        <v>Green</v>
      </c>
      <c r="Y289" t="str">
        <f t="shared" si="96"/>
        <v>Green</v>
      </c>
      <c r="Z289" t="str">
        <f t="shared" si="97"/>
        <v>Green</v>
      </c>
      <c r="AA289" t="str">
        <f t="shared" si="98"/>
        <v>Red</v>
      </c>
      <c r="AB289" t="str">
        <f t="shared" si="99"/>
        <v>Red</v>
      </c>
      <c r="AC289" t="str">
        <f t="shared" si="100"/>
        <v>Green</v>
      </c>
      <c r="AD289" t="str">
        <f t="shared" si="101"/>
        <v>Red</v>
      </c>
    </row>
    <row r="290" spans="1:30" x14ac:dyDescent="0.25">
      <c r="A290" t="str">
        <f t="shared" si="82"/>
        <v>22/07/2026PAOK FC WomenHapoel Jerusalem Women</v>
      </c>
      <c r="B290" t="s">
        <v>820</v>
      </c>
      <c r="D290" s="2">
        <v>46225</v>
      </c>
      <c r="E290" s="3">
        <v>0.64583333333333337</v>
      </c>
      <c r="F290" t="s">
        <v>1663</v>
      </c>
      <c r="G290" t="s">
        <v>1664</v>
      </c>
      <c r="H290">
        <v>1</v>
      </c>
      <c r="I290">
        <v>0</v>
      </c>
      <c r="J290">
        <v>3</v>
      </c>
      <c r="K290">
        <v>1</v>
      </c>
      <c r="L290" s="22" t="str">
        <f t="shared" si="83"/>
        <v>22/07/2026</v>
      </c>
      <c r="M290" s="23">
        <f t="shared" si="84"/>
        <v>0.52083333333333337</v>
      </c>
      <c r="N290" t="str">
        <f t="shared" si="85"/>
        <v>3 - 1</v>
      </c>
      <c r="O290" t="str">
        <f t="shared" si="86"/>
        <v>Green</v>
      </c>
      <c r="P290" t="str">
        <f t="shared" si="87"/>
        <v>Red</v>
      </c>
      <c r="Q290" t="str">
        <f t="shared" si="88"/>
        <v>Red</v>
      </c>
      <c r="R290" t="str">
        <f t="shared" si="89"/>
        <v>Green</v>
      </c>
      <c r="S290" t="str">
        <f t="shared" si="90"/>
        <v>Red</v>
      </c>
      <c r="T290" t="str">
        <f t="shared" si="91"/>
        <v>Green</v>
      </c>
      <c r="U290" t="str">
        <f t="shared" si="92"/>
        <v>Green</v>
      </c>
      <c r="V290" t="str">
        <f t="shared" si="93"/>
        <v>Red</v>
      </c>
      <c r="W290" t="str">
        <f t="shared" si="94"/>
        <v>Red</v>
      </c>
      <c r="X290" t="str">
        <f t="shared" si="95"/>
        <v>Green</v>
      </c>
      <c r="Y290" t="str">
        <f t="shared" si="96"/>
        <v>Green</v>
      </c>
      <c r="Z290" t="str">
        <f t="shared" si="97"/>
        <v>Green</v>
      </c>
      <c r="AA290" t="str">
        <f t="shared" si="98"/>
        <v>Red</v>
      </c>
      <c r="AB290" t="str">
        <f t="shared" si="99"/>
        <v>Red</v>
      </c>
      <c r="AC290" t="str">
        <f t="shared" si="100"/>
        <v>Green</v>
      </c>
      <c r="AD290" t="str">
        <f t="shared" si="101"/>
        <v>Red</v>
      </c>
    </row>
    <row r="291" spans="1:30" x14ac:dyDescent="0.25">
      <c r="A291" t="str">
        <f t="shared" si="82"/>
        <v xml:space="preserve">22/07/2026FF Jaro IIGBK Kokkola </v>
      </c>
      <c r="D291" s="2">
        <v>46225</v>
      </c>
      <c r="E291" s="3">
        <v>0.64583333333333337</v>
      </c>
      <c r="F291" t="s">
        <v>1665</v>
      </c>
      <c r="G291" t="s">
        <v>1666</v>
      </c>
      <c r="H291">
        <v>1</v>
      </c>
      <c r="I291">
        <v>0</v>
      </c>
      <c r="J291">
        <v>1</v>
      </c>
      <c r="K291">
        <v>1</v>
      </c>
      <c r="L291" s="22" t="str">
        <f t="shared" si="83"/>
        <v>22/07/2026</v>
      </c>
      <c r="M291" s="23">
        <f t="shared" si="84"/>
        <v>0.52083333333333337</v>
      </c>
      <c r="N291" t="str">
        <f t="shared" si="85"/>
        <v>1 - 1</v>
      </c>
      <c r="O291" t="str">
        <f t="shared" si="86"/>
        <v>Red</v>
      </c>
      <c r="P291" t="str">
        <f t="shared" si="87"/>
        <v>Green</v>
      </c>
      <c r="Q291" t="str">
        <f t="shared" si="88"/>
        <v>Red</v>
      </c>
      <c r="R291" t="str">
        <f t="shared" si="89"/>
        <v>Green</v>
      </c>
      <c r="S291" t="str">
        <f t="shared" si="90"/>
        <v>Green</v>
      </c>
      <c r="T291" t="str">
        <f t="shared" si="91"/>
        <v>Red</v>
      </c>
      <c r="U291" t="str">
        <f t="shared" si="92"/>
        <v>Green</v>
      </c>
      <c r="V291" t="str">
        <f t="shared" si="93"/>
        <v>Red</v>
      </c>
      <c r="W291" t="str">
        <f t="shared" si="94"/>
        <v>Red</v>
      </c>
      <c r="X291" t="str">
        <f t="shared" si="95"/>
        <v>Green</v>
      </c>
      <c r="Y291" t="str">
        <f t="shared" si="96"/>
        <v>Green</v>
      </c>
      <c r="Z291" t="str">
        <f t="shared" si="97"/>
        <v>Red</v>
      </c>
      <c r="AA291" t="str">
        <f t="shared" si="98"/>
        <v>Green</v>
      </c>
      <c r="AB291" t="str">
        <f t="shared" si="99"/>
        <v>Green</v>
      </c>
      <c r="AC291" t="str">
        <f t="shared" si="100"/>
        <v>Green</v>
      </c>
      <c r="AD291" t="str">
        <f t="shared" si="101"/>
        <v>Red</v>
      </c>
    </row>
    <row r="292" spans="1:30" x14ac:dyDescent="0.25">
      <c r="A292" t="str">
        <f t="shared" si="82"/>
        <v>22/07/2026Kaapo KaarinaPargas Idrottsforening</v>
      </c>
      <c r="D292" s="2">
        <v>46225</v>
      </c>
      <c r="E292" s="3">
        <v>0.64583333333333337</v>
      </c>
      <c r="F292" t="s">
        <v>1667</v>
      </c>
      <c r="G292" t="s">
        <v>1668</v>
      </c>
      <c r="H292">
        <v>0</v>
      </c>
      <c r="I292">
        <v>0</v>
      </c>
      <c r="J292">
        <v>2</v>
      </c>
      <c r="K292">
        <v>4</v>
      </c>
      <c r="L292" s="22" t="str">
        <f t="shared" si="83"/>
        <v>22/07/2026</v>
      </c>
      <c r="M292" s="23">
        <f t="shared" si="84"/>
        <v>0.52083333333333337</v>
      </c>
      <c r="N292" t="str">
        <f t="shared" si="85"/>
        <v>2 - 4</v>
      </c>
      <c r="O292" t="str">
        <f t="shared" si="86"/>
        <v>Red</v>
      </c>
      <c r="P292" t="str">
        <f t="shared" si="87"/>
        <v>Red</v>
      </c>
      <c r="Q292" t="str">
        <f t="shared" si="88"/>
        <v>Green</v>
      </c>
      <c r="R292" t="str">
        <f t="shared" si="89"/>
        <v>Red</v>
      </c>
      <c r="S292" t="str">
        <f t="shared" si="90"/>
        <v>Green</v>
      </c>
      <c r="T292" t="str">
        <f t="shared" si="91"/>
        <v>Green</v>
      </c>
      <c r="U292" t="str">
        <f t="shared" si="92"/>
        <v>Red</v>
      </c>
      <c r="V292" t="str">
        <f t="shared" si="93"/>
        <v>Green</v>
      </c>
      <c r="W292" t="str">
        <f t="shared" si="94"/>
        <v>Red</v>
      </c>
      <c r="X292" t="str">
        <f t="shared" si="95"/>
        <v>Red</v>
      </c>
      <c r="Y292" t="str">
        <f t="shared" si="96"/>
        <v>Green</v>
      </c>
      <c r="Z292" t="str">
        <f t="shared" si="97"/>
        <v>Green</v>
      </c>
      <c r="AA292" t="str">
        <f t="shared" si="98"/>
        <v>Red</v>
      </c>
      <c r="AB292" t="str">
        <f t="shared" si="99"/>
        <v>Red</v>
      </c>
      <c r="AC292" t="str">
        <f t="shared" si="100"/>
        <v>Green</v>
      </c>
      <c r="AD292" t="str">
        <f t="shared" si="101"/>
        <v>Red</v>
      </c>
    </row>
    <row r="293" spans="1:30" x14ac:dyDescent="0.25">
      <c r="A293" t="str">
        <f t="shared" si="82"/>
        <v>22/07/2026GuingampConcarneau</v>
      </c>
      <c r="D293" s="2">
        <v>46225</v>
      </c>
      <c r="E293" s="3">
        <v>0.64583333333333337</v>
      </c>
      <c r="F293" t="s">
        <v>1669</v>
      </c>
      <c r="G293" t="s">
        <v>1670</v>
      </c>
      <c r="H293">
        <v>0</v>
      </c>
      <c r="I293">
        <v>0</v>
      </c>
      <c r="J293">
        <v>0</v>
      </c>
      <c r="K293">
        <v>1</v>
      </c>
      <c r="L293" s="22" t="str">
        <f t="shared" si="83"/>
        <v>22/07/2026</v>
      </c>
      <c r="M293" s="23">
        <f t="shared" si="84"/>
        <v>0.52083333333333337</v>
      </c>
      <c r="N293" t="str">
        <f t="shared" si="85"/>
        <v>0 - 1</v>
      </c>
      <c r="O293" t="str">
        <f t="shared" si="86"/>
        <v>Red</v>
      </c>
      <c r="P293" t="str">
        <f t="shared" si="87"/>
        <v>Red</v>
      </c>
      <c r="Q293" t="str">
        <f t="shared" si="88"/>
        <v>Green</v>
      </c>
      <c r="R293" t="str">
        <f t="shared" si="89"/>
        <v>Red</v>
      </c>
      <c r="S293" t="str">
        <f t="shared" si="90"/>
        <v>Green</v>
      </c>
      <c r="T293" t="str">
        <f t="shared" si="91"/>
        <v>Green</v>
      </c>
      <c r="U293" t="str">
        <f t="shared" si="92"/>
        <v>Red</v>
      </c>
      <c r="V293" t="str">
        <f t="shared" si="93"/>
        <v>Green</v>
      </c>
      <c r="W293" t="str">
        <f t="shared" si="94"/>
        <v>Red</v>
      </c>
      <c r="X293" t="str">
        <f t="shared" si="95"/>
        <v>Red</v>
      </c>
      <c r="Y293" t="str">
        <f t="shared" si="96"/>
        <v>Red</v>
      </c>
      <c r="Z293" t="str">
        <f t="shared" si="97"/>
        <v>Red</v>
      </c>
      <c r="AA293" t="str">
        <f t="shared" si="98"/>
        <v>Green</v>
      </c>
      <c r="AB293" t="str">
        <f t="shared" si="99"/>
        <v>Green</v>
      </c>
      <c r="AC293" t="str">
        <f t="shared" si="100"/>
        <v>Red</v>
      </c>
      <c r="AD293" t="str">
        <f t="shared" si="101"/>
        <v>Green</v>
      </c>
    </row>
    <row r="294" spans="1:30" x14ac:dyDescent="0.25">
      <c r="A294" t="str">
        <f t="shared" si="82"/>
        <v>22/07/2026LecceACS ASU Politehnica Timisoara</v>
      </c>
      <c r="D294" s="2">
        <v>46225</v>
      </c>
      <c r="E294" s="3">
        <v>0.64583333333333337</v>
      </c>
      <c r="F294" t="s">
        <v>1671</v>
      </c>
      <c r="G294" t="s">
        <v>1451</v>
      </c>
      <c r="H294">
        <v>0</v>
      </c>
      <c r="I294">
        <v>0</v>
      </c>
      <c r="J294">
        <v>0</v>
      </c>
      <c r="K294">
        <v>1</v>
      </c>
      <c r="L294" s="22" t="str">
        <f t="shared" si="83"/>
        <v>22/07/2026</v>
      </c>
      <c r="M294" s="23">
        <f t="shared" si="84"/>
        <v>0.52083333333333337</v>
      </c>
      <c r="N294" t="str">
        <f t="shared" si="85"/>
        <v>0 - 1</v>
      </c>
      <c r="O294" t="str">
        <f t="shared" si="86"/>
        <v>Red</v>
      </c>
      <c r="P294" t="str">
        <f t="shared" si="87"/>
        <v>Red</v>
      </c>
      <c r="Q294" t="str">
        <f t="shared" si="88"/>
        <v>Green</v>
      </c>
      <c r="R294" t="str">
        <f t="shared" si="89"/>
        <v>Red</v>
      </c>
      <c r="S294" t="str">
        <f t="shared" si="90"/>
        <v>Green</v>
      </c>
      <c r="T294" t="str">
        <f t="shared" si="91"/>
        <v>Green</v>
      </c>
      <c r="U294" t="str">
        <f t="shared" si="92"/>
        <v>Red</v>
      </c>
      <c r="V294" t="str">
        <f t="shared" si="93"/>
        <v>Green</v>
      </c>
      <c r="W294" t="str">
        <f t="shared" si="94"/>
        <v>Red</v>
      </c>
      <c r="X294" t="str">
        <f t="shared" si="95"/>
        <v>Red</v>
      </c>
      <c r="Y294" t="str">
        <f t="shared" si="96"/>
        <v>Red</v>
      </c>
      <c r="Z294" t="str">
        <f t="shared" si="97"/>
        <v>Red</v>
      </c>
      <c r="AA294" t="str">
        <f t="shared" si="98"/>
        <v>Green</v>
      </c>
      <c r="AB294" t="str">
        <f t="shared" si="99"/>
        <v>Green</v>
      </c>
      <c r="AC294" t="str">
        <f t="shared" si="100"/>
        <v>Red</v>
      </c>
      <c r="AD294" t="str">
        <f t="shared" si="101"/>
        <v>Green</v>
      </c>
    </row>
    <row r="295" spans="1:30" x14ac:dyDescent="0.25">
      <c r="A295" t="str">
        <f t="shared" si="82"/>
        <v>22/07/2026MetzSochaux</v>
      </c>
      <c r="D295" s="2">
        <v>46225</v>
      </c>
      <c r="E295" s="3">
        <v>0.64583333333333337</v>
      </c>
      <c r="F295" t="s">
        <v>1672</v>
      </c>
      <c r="G295" t="s">
        <v>1673</v>
      </c>
      <c r="H295">
        <v>3</v>
      </c>
      <c r="I295">
        <v>0</v>
      </c>
      <c r="J295">
        <v>4</v>
      </c>
      <c r="K295">
        <v>1</v>
      </c>
      <c r="L295" s="22" t="str">
        <f t="shared" si="83"/>
        <v>22/07/2026</v>
      </c>
      <c r="M295" s="23">
        <f t="shared" si="84"/>
        <v>0.52083333333333337</v>
      </c>
      <c r="N295" t="str">
        <f t="shared" si="85"/>
        <v>4 - 1</v>
      </c>
      <c r="O295" t="str">
        <f t="shared" si="86"/>
        <v>Green</v>
      </c>
      <c r="P295" t="str">
        <f t="shared" si="87"/>
        <v>Red</v>
      </c>
      <c r="Q295" t="str">
        <f t="shared" si="88"/>
        <v>Red</v>
      </c>
      <c r="R295" t="str">
        <f t="shared" si="89"/>
        <v>Green</v>
      </c>
      <c r="S295" t="str">
        <f t="shared" si="90"/>
        <v>Red</v>
      </c>
      <c r="T295" t="str">
        <f t="shared" si="91"/>
        <v>Green</v>
      </c>
      <c r="U295" t="str">
        <f t="shared" si="92"/>
        <v>Green</v>
      </c>
      <c r="V295" t="str">
        <f t="shared" si="93"/>
        <v>Red</v>
      </c>
      <c r="W295" t="str">
        <f t="shared" si="94"/>
        <v>Red</v>
      </c>
      <c r="X295" t="str">
        <f t="shared" si="95"/>
        <v>Green</v>
      </c>
      <c r="Y295" t="str">
        <f t="shared" si="96"/>
        <v>Green</v>
      </c>
      <c r="Z295" t="str">
        <f t="shared" si="97"/>
        <v>Green</v>
      </c>
      <c r="AA295" t="str">
        <f t="shared" si="98"/>
        <v>Red</v>
      </c>
      <c r="AB295" t="str">
        <f t="shared" si="99"/>
        <v>Red</v>
      </c>
      <c r="AC295" t="str">
        <f t="shared" si="100"/>
        <v>Green</v>
      </c>
      <c r="AD295" t="str">
        <f t="shared" si="101"/>
        <v>Red</v>
      </c>
    </row>
    <row r="296" spans="1:30" x14ac:dyDescent="0.25">
      <c r="A296" t="str">
        <f t="shared" si="82"/>
        <v>22/07/2026NantesLa Roche VF</v>
      </c>
      <c r="D296" s="2">
        <v>46225</v>
      </c>
      <c r="E296" s="3">
        <v>0.64583333333333337</v>
      </c>
      <c r="F296" t="s">
        <v>1674</v>
      </c>
      <c r="G296" t="s">
        <v>1675</v>
      </c>
      <c r="H296">
        <v>0</v>
      </c>
      <c r="I296">
        <v>0</v>
      </c>
      <c r="J296">
        <v>1</v>
      </c>
      <c r="K296">
        <v>1</v>
      </c>
      <c r="L296" s="22" t="str">
        <f t="shared" si="83"/>
        <v>22/07/2026</v>
      </c>
      <c r="M296" s="23">
        <f t="shared" si="84"/>
        <v>0.52083333333333337</v>
      </c>
      <c r="N296" t="str">
        <f t="shared" si="85"/>
        <v>1 - 1</v>
      </c>
      <c r="O296" t="str">
        <f t="shared" si="86"/>
        <v>Red</v>
      </c>
      <c r="P296" t="str">
        <f t="shared" si="87"/>
        <v>Green</v>
      </c>
      <c r="Q296" t="str">
        <f t="shared" si="88"/>
        <v>Red</v>
      </c>
      <c r="R296" t="str">
        <f t="shared" si="89"/>
        <v>Green</v>
      </c>
      <c r="S296" t="str">
        <f t="shared" si="90"/>
        <v>Green</v>
      </c>
      <c r="T296" t="str">
        <f t="shared" si="91"/>
        <v>Red</v>
      </c>
      <c r="U296" t="str">
        <f t="shared" si="92"/>
        <v>Red</v>
      </c>
      <c r="V296" t="str">
        <f t="shared" si="93"/>
        <v>Green</v>
      </c>
      <c r="W296" t="str">
        <f t="shared" si="94"/>
        <v>Red</v>
      </c>
      <c r="X296" t="str">
        <f t="shared" si="95"/>
        <v>Red</v>
      </c>
      <c r="Y296" t="str">
        <f t="shared" si="96"/>
        <v>Green</v>
      </c>
      <c r="Z296" t="str">
        <f t="shared" si="97"/>
        <v>Red</v>
      </c>
      <c r="AA296" t="str">
        <f t="shared" si="98"/>
        <v>Green</v>
      </c>
      <c r="AB296" t="str">
        <f t="shared" si="99"/>
        <v>Green</v>
      </c>
      <c r="AC296" t="str">
        <f t="shared" si="100"/>
        <v>Green</v>
      </c>
      <c r="AD296" t="str">
        <f t="shared" si="101"/>
        <v>Red</v>
      </c>
    </row>
    <row r="297" spans="1:30" x14ac:dyDescent="0.25">
      <c r="A297" t="str">
        <f t="shared" si="82"/>
        <v>22/07/2026ND BeltinciAl Sharjah</v>
      </c>
      <c r="D297" s="2">
        <v>46225</v>
      </c>
      <c r="E297" s="3">
        <v>0.64583333333333337</v>
      </c>
      <c r="F297" t="s">
        <v>1676</v>
      </c>
      <c r="G297" t="s">
        <v>1677</v>
      </c>
      <c r="H297">
        <v>0</v>
      </c>
      <c r="I297">
        <v>3</v>
      </c>
      <c r="J297">
        <v>0</v>
      </c>
      <c r="K297">
        <v>4</v>
      </c>
      <c r="L297" s="22" t="str">
        <f t="shared" si="83"/>
        <v>22/07/2026</v>
      </c>
      <c r="M297" s="23">
        <f t="shared" si="84"/>
        <v>0.52083333333333337</v>
      </c>
      <c r="N297" t="str">
        <f t="shared" si="85"/>
        <v>0 - 4</v>
      </c>
      <c r="O297" t="str">
        <f t="shared" si="86"/>
        <v>Red</v>
      </c>
      <c r="P297" t="str">
        <f t="shared" si="87"/>
        <v>Red</v>
      </c>
      <c r="Q297" t="str">
        <f t="shared" si="88"/>
        <v>Green</v>
      </c>
      <c r="R297" t="str">
        <f t="shared" si="89"/>
        <v>Red</v>
      </c>
      <c r="S297" t="str">
        <f t="shared" si="90"/>
        <v>Green</v>
      </c>
      <c r="T297" t="str">
        <f t="shared" si="91"/>
        <v>Green</v>
      </c>
      <c r="U297" t="str">
        <f t="shared" si="92"/>
        <v>Red</v>
      </c>
      <c r="V297" t="str">
        <f t="shared" si="93"/>
        <v>Red</v>
      </c>
      <c r="W297" t="str">
        <f t="shared" si="94"/>
        <v>Green</v>
      </c>
      <c r="X297" t="str">
        <f t="shared" si="95"/>
        <v>Green</v>
      </c>
      <c r="Y297" t="str">
        <f t="shared" si="96"/>
        <v>Green</v>
      </c>
      <c r="Z297" t="str">
        <f t="shared" si="97"/>
        <v>Green</v>
      </c>
      <c r="AA297" t="str">
        <f t="shared" si="98"/>
        <v>Red</v>
      </c>
      <c r="AB297" t="str">
        <f t="shared" si="99"/>
        <v>Red</v>
      </c>
      <c r="AC297" t="str">
        <f t="shared" si="100"/>
        <v>Red</v>
      </c>
      <c r="AD297" t="str">
        <f t="shared" si="101"/>
        <v>Green</v>
      </c>
    </row>
    <row r="298" spans="1:30" x14ac:dyDescent="0.25">
      <c r="A298" t="str">
        <f t="shared" si="82"/>
        <v>22/07/2026SK Vysoke MytoPardubice II</v>
      </c>
      <c r="D298" s="2">
        <v>46225</v>
      </c>
      <c r="E298" s="3">
        <v>0.64583333333333337</v>
      </c>
      <c r="F298" t="s">
        <v>1678</v>
      </c>
      <c r="G298" t="s">
        <v>1679</v>
      </c>
      <c r="H298">
        <v>1</v>
      </c>
      <c r="I298">
        <v>0</v>
      </c>
      <c r="J298">
        <v>2</v>
      </c>
      <c r="K298">
        <v>3</v>
      </c>
      <c r="L298" s="22" t="str">
        <f t="shared" si="83"/>
        <v>22/07/2026</v>
      </c>
      <c r="M298" s="23">
        <f t="shared" si="84"/>
        <v>0.52083333333333337</v>
      </c>
      <c r="N298" t="str">
        <f t="shared" si="85"/>
        <v>2 - 3</v>
      </c>
      <c r="O298" t="str">
        <f t="shared" si="86"/>
        <v>Red</v>
      </c>
      <c r="P298" t="str">
        <f t="shared" si="87"/>
        <v>Red</v>
      </c>
      <c r="Q298" t="str">
        <f t="shared" si="88"/>
        <v>Green</v>
      </c>
      <c r="R298" t="str">
        <f t="shared" si="89"/>
        <v>Red</v>
      </c>
      <c r="S298" t="str">
        <f t="shared" si="90"/>
        <v>Green</v>
      </c>
      <c r="T298" t="str">
        <f t="shared" si="91"/>
        <v>Green</v>
      </c>
      <c r="U298" t="str">
        <f t="shared" si="92"/>
        <v>Green</v>
      </c>
      <c r="V298" t="str">
        <f t="shared" si="93"/>
        <v>Red</v>
      </c>
      <c r="W298" t="str">
        <f t="shared" si="94"/>
        <v>Red</v>
      </c>
      <c r="X298" t="str">
        <f t="shared" si="95"/>
        <v>Green</v>
      </c>
      <c r="Y298" t="str">
        <f t="shared" si="96"/>
        <v>Green</v>
      </c>
      <c r="Z298" t="str">
        <f t="shared" si="97"/>
        <v>Green</v>
      </c>
      <c r="AA298" t="str">
        <f t="shared" si="98"/>
        <v>Red</v>
      </c>
      <c r="AB298" t="str">
        <f t="shared" si="99"/>
        <v>Red</v>
      </c>
      <c r="AC298" t="str">
        <f t="shared" si="100"/>
        <v>Green</v>
      </c>
      <c r="AD298" t="str">
        <f t="shared" si="101"/>
        <v>Red</v>
      </c>
    </row>
    <row r="299" spans="1:30" x14ac:dyDescent="0.25">
      <c r="A299" t="str">
        <f t="shared" si="82"/>
        <v>22/07/2026TorinoASD Alcione</v>
      </c>
      <c r="D299" s="2">
        <v>46225</v>
      </c>
      <c r="E299" s="3">
        <v>0.64583333333333337</v>
      </c>
      <c r="F299" t="s">
        <v>1680</v>
      </c>
      <c r="G299" t="s">
        <v>1681</v>
      </c>
      <c r="H299">
        <v>0</v>
      </c>
      <c r="I299">
        <v>0</v>
      </c>
      <c r="J299">
        <v>1</v>
      </c>
      <c r="K299">
        <v>0</v>
      </c>
      <c r="L299" s="22" t="str">
        <f t="shared" si="83"/>
        <v>22/07/2026</v>
      </c>
      <c r="M299" s="23">
        <f t="shared" si="84"/>
        <v>0.52083333333333337</v>
      </c>
      <c r="N299" t="str">
        <f t="shared" si="85"/>
        <v>1 - 0</v>
      </c>
      <c r="O299" t="str">
        <f t="shared" si="86"/>
        <v>Green</v>
      </c>
      <c r="P299" t="str">
        <f t="shared" si="87"/>
        <v>Red</v>
      </c>
      <c r="Q299" t="str">
        <f t="shared" si="88"/>
        <v>Red</v>
      </c>
      <c r="R299" t="str">
        <f t="shared" si="89"/>
        <v>Green</v>
      </c>
      <c r="S299" t="str">
        <f t="shared" si="90"/>
        <v>Red</v>
      </c>
      <c r="T299" t="str">
        <f t="shared" si="91"/>
        <v>Green</v>
      </c>
      <c r="U299" t="str">
        <f t="shared" si="92"/>
        <v>Red</v>
      </c>
      <c r="V299" t="str">
        <f t="shared" si="93"/>
        <v>Green</v>
      </c>
      <c r="W299" t="str">
        <f t="shared" si="94"/>
        <v>Red</v>
      </c>
      <c r="X299" t="str">
        <f t="shared" si="95"/>
        <v>Red</v>
      </c>
      <c r="Y299" t="str">
        <f t="shared" si="96"/>
        <v>Red</v>
      </c>
      <c r="Z299" t="str">
        <f t="shared" si="97"/>
        <v>Red</v>
      </c>
      <c r="AA299" t="str">
        <f t="shared" si="98"/>
        <v>Green</v>
      </c>
      <c r="AB299" t="str">
        <f t="shared" si="99"/>
        <v>Green</v>
      </c>
      <c r="AC299" t="str">
        <f t="shared" si="100"/>
        <v>Red</v>
      </c>
      <c r="AD299" t="str">
        <f t="shared" si="101"/>
        <v>Green</v>
      </c>
    </row>
    <row r="300" spans="1:30" x14ac:dyDescent="0.25">
      <c r="A300" t="str">
        <f t="shared" si="82"/>
        <v>22/07/2026VeronaVirtus Vecomp Verona</v>
      </c>
      <c r="D300" s="2">
        <v>46225</v>
      </c>
      <c r="E300" s="3">
        <v>0.64583333333333337</v>
      </c>
      <c r="F300" t="s">
        <v>1682</v>
      </c>
      <c r="G300" t="s">
        <v>1683</v>
      </c>
      <c r="H300">
        <v>2</v>
      </c>
      <c r="I300">
        <v>0</v>
      </c>
      <c r="J300">
        <v>2</v>
      </c>
      <c r="K300">
        <v>1</v>
      </c>
      <c r="L300" s="22" t="str">
        <f t="shared" si="83"/>
        <v>22/07/2026</v>
      </c>
      <c r="M300" s="23">
        <f t="shared" si="84"/>
        <v>0.52083333333333337</v>
      </c>
      <c r="N300" t="str">
        <f t="shared" si="85"/>
        <v>2 - 1</v>
      </c>
      <c r="O300" t="str">
        <f t="shared" si="86"/>
        <v>Green</v>
      </c>
      <c r="P300" t="str">
        <f t="shared" si="87"/>
        <v>Red</v>
      </c>
      <c r="Q300" t="str">
        <f t="shared" si="88"/>
        <v>Red</v>
      </c>
      <c r="R300" t="str">
        <f t="shared" si="89"/>
        <v>Green</v>
      </c>
      <c r="S300" t="str">
        <f t="shared" si="90"/>
        <v>Red</v>
      </c>
      <c r="T300" t="str">
        <f t="shared" si="91"/>
        <v>Green</v>
      </c>
      <c r="U300" t="str">
        <f t="shared" si="92"/>
        <v>Green</v>
      </c>
      <c r="V300" t="str">
        <f t="shared" si="93"/>
        <v>Red</v>
      </c>
      <c r="W300" t="str">
        <f t="shared" si="94"/>
        <v>Red</v>
      </c>
      <c r="X300" t="str">
        <f t="shared" si="95"/>
        <v>Green</v>
      </c>
      <c r="Y300" t="str">
        <f t="shared" si="96"/>
        <v>Green</v>
      </c>
      <c r="Z300" t="str">
        <f t="shared" si="97"/>
        <v>Green</v>
      </c>
      <c r="AA300" t="str">
        <f t="shared" si="98"/>
        <v>Red</v>
      </c>
      <c r="AB300" t="str">
        <f t="shared" si="99"/>
        <v>Green</v>
      </c>
      <c r="AC300" t="str">
        <f t="shared" si="100"/>
        <v>Green</v>
      </c>
      <c r="AD300" t="str">
        <f t="shared" si="101"/>
        <v>Red</v>
      </c>
    </row>
    <row r="301" spans="1:30" x14ac:dyDescent="0.25">
      <c r="A301" t="str">
        <f t="shared" si="82"/>
        <v>22/07/2026Werder BremenFagiano Okayama</v>
      </c>
      <c r="D301" s="2">
        <v>46225</v>
      </c>
      <c r="E301" s="3">
        <v>0.64583333333333337</v>
      </c>
      <c r="F301" t="s">
        <v>1684</v>
      </c>
      <c r="G301" t="s">
        <v>1461</v>
      </c>
      <c r="H301">
        <v>1</v>
      </c>
      <c r="I301">
        <v>0</v>
      </c>
      <c r="J301">
        <v>2</v>
      </c>
      <c r="K301">
        <v>0</v>
      </c>
      <c r="L301" s="22" t="str">
        <f t="shared" si="83"/>
        <v>22/07/2026</v>
      </c>
      <c r="M301" s="23">
        <f t="shared" si="84"/>
        <v>0.52083333333333337</v>
      </c>
      <c r="N301" t="str">
        <f t="shared" si="85"/>
        <v>2 - 0</v>
      </c>
      <c r="O301" t="str">
        <f t="shared" si="86"/>
        <v>Green</v>
      </c>
      <c r="P301" t="str">
        <f t="shared" si="87"/>
        <v>Red</v>
      </c>
      <c r="Q301" t="str">
        <f t="shared" si="88"/>
        <v>Red</v>
      </c>
      <c r="R301" t="str">
        <f t="shared" si="89"/>
        <v>Green</v>
      </c>
      <c r="S301" t="str">
        <f t="shared" si="90"/>
        <v>Red</v>
      </c>
      <c r="T301" t="str">
        <f t="shared" si="91"/>
        <v>Green</v>
      </c>
      <c r="U301" t="str">
        <f t="shared" si="92"/>
        <v>Green</v>
      </c>
      <c r="V301" t="str">
        <f t="shared" si="93"/>
        <v>Red</v>
      </c>
      <c r="W301" t="str">
        <f t="shared" si="94"/>
        <v>Red</v>
      </c>
      <c r="X301" t="str">
        <f t="shared" si="95"/>
        <v>Green</v>
      </c>
      <c r="Y301" t="str">
        <f t="shared" si="96"/>
        <v>Green</v>
      </c>
      <c r="Z301" t="str">
        <f t="shared" si="97"/>
        <v>Red</v>
      </c>
      <c r="AA301" t="str">
        <f t="shared" si="98"/>
        <v>Green</v>
      </c>
      <c r="AB301" t="str">
        <f t="shared" si="99"/>
        <v>Green</v>
      </c>
      <c r="AC301" t="str">
        <f t="shared" si="100"/>
        <v>Red</v>
      </c>
      <c r="AD301" t="str">
        <f t="shared" si="101"/>
        <v>Green</v>
      </c>
    </row>
    <row r="302" spans="1:30" x14ac:dyDescent="0.25">
      <c r="A302" t="str">
        <f t="shared" si="82"/>
        <v>22/07/2026CS 2 de Mayo WomenSportivo Luqueno Women</v>
      </c>
      <c r="D302" s="2">
        <v>46225</v>
      </c>
      <c r="E302" s="3">
        <v>0.65625</v>
      </c>
      <c r="F302" t="s">
        <v>1685</v>
      </c>
      <c r="G302" t="s">
        <v>1686</v>
      </c>
      <c r="H302">
        <v>0</v>
      </c>
      <c r="I302">
        <v>0</v>
      </c>
      <c r="J302">
        <v>2</v>
      </c>
      <c r="K302">
        <v>2</v>
      </c>
      <c r="L302" s="22" t="str">
        <f t="shared" si="83"/>
        <v>22/07/2026</v>
      </c>
      <c r="M302" s="23">
        <f t="shared" si="84"/>
        <v>0.53125</v>
      </c>
      <c r="N302" t="str">
        <f t="shared" si="85"/>
        <v>2 - 2</v>
      </c>
      <c r="O302" t="str">
        <f t="shared" si="86"/>
        <v>Red</v>
      </c>
      <c r="P302" t="str">
        <f t="shared" si="87"/>
        <v>Green</v>
      </c>
      <c r="Q302" t="str">
        <f t="shared" si="88"/>
        <v>Red</v>
      </c>
      <c r="R302" t="str">
        <f t="shared" si="89"/>
        <v>Green</v>
      </c>
      <c r="S302" t="str">
        <f t="shared" si="90"/>
        <v>Green</v>
      </c>
      <c r="T302" t="str">
        <f t="shared" si="91"/>
        <v>Red</v>
      </c>
      <c r="U302" t="str">
        <f t="shared" si="92"/>
        <v>Red</v>
      </c>
      <c r="V302" t="str">
        <f t="shared" si="93"/>
        <v>Green</v>
      </c>
      <c r="W302" t="str">
        <f t="shared" si="94"/>
        <v>Red</v>
      </c>
      <c r="X302" t="str">
        <f t="shared" si="95"/>
        <v>Red</v>
      </c>
      <c r="Y302" t="str">
        <f t="shared" si="96"/>
        <v>Green</v>
      </c>
      <c r="Z302" t="str">
        <f t="shared" si="97"/>
        <v>Green</v>
      </c>
      <c r="AA302" t="str">
        <f t="shared" si="98"/>
        <v>Red</v>
      </c>
      <c r="AB302" t="str">
        <f t="shared" si="99"/>
        <v>Red</v>
      </c>
      <c r="AC302" t="str">
        <f t="shared" si="100"/>
        <v>Green</v>
      </c>
      <c r="AD302" t="str">
        <f t="shared" si="101"/>
        <v>Red</v>
      </c>
    </row>
    <row r="303" spans="1:30" x14ac:dyDescent="0.25">
      <c r="A303" t="str">
        <f t="shared" si="82"/>
        <v>22/07/2026FK Neftchi BakuDinamo Minsk</v>
      </c>
      <c r="B303" t="s">
        <v>820</v>
      </c>
      <c r="C303" t="s">
        <v>1344</v>
      </c>
      <c r="D303" s="2">
        <v>46225</v>
      </c>
      <c r="E303" s="3">
        <v>0.66666666666666663</v>
      </c>
      <c r="F303" t="s">
        <v>1687</v>
      </c>
      <c r="G303" t="s">
        <v>1688</v>
      </c>
      <c r="H303">
        <v>2</v>
      </c>
      <c r="I303">
        <v>1</v>
      </c>
      <c r="J303">
        <v>2</v>
      </c>
      <c r="K303">
        <v>4</v>
      </c>
      <c r="L303" s="22" t="str">
        <f t="shared" si="83"/>
        <v>22/07/2026</v>
      </c>
      <c r="M303" s="23">
        <f t="shared" si="84"/>
        <v>0.54166666666666663</v>
      </c>
      <c r="N303" t="str">
        <f t="shared" si="85"/>
        <v>2 - 4</v>
      </c>
      <c r="O303" t="str">
        <f t="shared" si="86"/>
        <v>Red</v>
      </c>
      <c r="P303" t="str">
        <f t="shared" si="87"/>
        <v>Red</v>
      </c>
      <c r="Q303" t="str">
        <f t="shared" si="88"/>
        <v>Green</v>
      </c>
      <c r="R303" t="str">
        <f t="shared" si="89"/>
        <v>Red</v>
      </c>
      <c r="S303" t="str">
        <f t="shared" si="90"/>
        <v>Green</v>
      </c>
      <c r="T303" t="str">
        <f t="shared" si="91"/>
        <v>Green</v>
      </c>
      <c r="U303" t="str">
        <f t="shared" si="92"/>
        <v>Green</v>
      </c>
      <c r="V303" t="str">
        <f t="shared" si="93"/>
        <v>Red</v>
      </c>
      <c r="W303" t="str">
        <f t="shared" si="94"/>
        <v>Red</v>
      </c>
      <c r="X303" t="str">
        <f t="shared" si="95"/>
        <v>Green</v>
      </c>
      <c r="Y303" t="str">
        <f t="shared" si="96"/>
        <v>Green</v>
      </c>
      <c r="Z303" t="str">
        <f t="shared" si="97"/>
        <v>Green</v>
      </c>
      <c r="AA303" t="str">
        <f t="shared" si="98"/>
        <v>Red</v>
      </c>
      <c r="AB303" t="str">
        <f t="shared" si="99"/>
        <v>Red</v>
      </c>
      <c r="AC303" t="str">
        <f t="shared" si="100"/>
        <v>Green</v>
      </c>
      <c r="AD303" t="str">
        <f t="shared" si="101"/>
        <v>Red</v>
      </c>
    </row>
    <row r="304" spans="1:30" x14ac:dyDescent="0.25">
      <c r="A304" t="str">
        <f t="shared" si="82"/>
        <v>22/07/2026JK Trans NarvaFlora Tallinn II</v>
      </c>
      <c r="D304" s="2">
        <v>46225</v>
      </c>
      <c r="E304" s="3">
        <v>0.66666666666666663</v>
      </c>
      <c r="F304" t="s">
        <v>1689</v>
      </c>
      <c r="G304" t="s">
        <v>1690</v>
      </c>
      <c r="H304">
        <v>0</v>
      </c>
      <c r="I304">
        <v>0</v>
      </c>
      <c r="J304">
        <v>0</v>
      </c>
      <c r="K304">
        <v>0</v>
      </c>
      <c r="L304" s="22" t="str">
        <f t="shared" si="83"/>
        <v>22/07/2026</v>
      </c>
      <c r="M304" s="23">
        <f t="shared" si="84"/>
        <v>0.54166666666666663</v>
      </c>
      <c r="N304" t="str">
        <f t="shared" si="85"/>
        <v>0 - 0</v>
      </c>
      <c r="O304" t="str">
        <f t="shared" si="86"/>
        <v>Red</v>
      </c>
      <c r="P304" t="str">
        <f t="shared" si="87"/>
        <v>Green</v>
      </c>
      <c r="Q304" t="str">
        <f t="shared" si="88"/>
        <v>Red</v>
      </c>
      <c r="R304" t="str">
        <f t="shared" si="89"/>
        <v>Green</v>
      </c>
      <c r="S304" t="str">
        <f t="shared" si="90"/>
        <v>Green</v>
      </c>
      <c r="T304" t="str">
        <f t="shared" si="91"/>
        <v>Red</v>
      </c>
      <c r="U304" t="str">
        <f t="shared" si="92"/>
        <v>Red</v>
      </c>
      <c r="V304" t="str">
        <f t="shared" si="93"/>
        <v>Green</v>
      </c>
      <c r="W304" t="str">
        <f t="shared" si="94"/>
        <v>Red</v>
      </c>
      <c r="X304" t="str">
        <f t="shared" si="95"/>
        <v>Red</v>
      </c>
      <c r="Y304" t="str">
        <f t="shared" si="96"/>
        <v>Red</v>
      </c>
      <c r="Z304" t="str">
        <f t="shared" si="97"/>
        <v>Red</v>
      </c>
      <c r="AA304" t="str">
        <f t="shared" si="98"/>
        <v>Green</v>
      </c>
      <c r="AB304" t="str">
        <f t="shared" si="99"/>
        <v>Green</v>
      </c>
      <c r="AC304" t="str">
        <f t="shared" si="100"/>
        <v>Red</v>
      </c>
      <c r="AD304" t="str">
        <f t="shared" si="101"/>
        <v>Green</v>
      </c>
    </row>
    <row r="305" spans="1:30" x14ac:dyDescent="0.25">
      <c r="A305" t="str">
        <f t="shared" si="82"/>
        <v>22/07/2026Johvi FC PhoenixFC Hell Hunt</v>
      </c>
      <c r="D305" s="2">
        <v>46225</v>
      </c>
      <c r="E305" s="3">
        <v>0.66666666666666663</v>
      </c>
      <c r="F305" t="s">
        <v>1691</v>
      </c>
      <c r="G305" t="s">
        <v>1692</v>
      </c>
      <c r="H305">
        <v>5</v>
      </c>
      <c r="I305">
        <v>1</v>
      </c>
      <c r="J305">
        <v>8</v>
      </c>
      <c r="K305">
        <v>1</v>
      </c>
      <c r="L305" s="22" t="str">
        <f t="shared" si="83"/>
        <v>22/07/2026</v>
      </c>
      <c r="M305" s="23">
        <f t="shared" si="84"/>
        <v>0.54166666666666663</v>
      </c>
      <c r="N305" t="str">
        <f t="shared" si="85"/>
        <v>8 - 1</v>
      </c>
      <c r="O305" t="str">
        <f t="shared" si="86"/>
        <v>Green</v>
      </c>
      <c r="P305" t="str">
        <f t="shared" si="87"/>
        <v>Red</v>
      </c>
      <c r="Q305" t="str">
        <f t="shared" si="88"/>
        <v>Red</v>
      </c>
      <c r="R305" t="str">
        <f t="shared" si="89"/>
        <v>Green</v>
      </c>
      <c r="S305" t="str">
        <f t="shared" si="90"/>
        <v>Red</v>
      </c>
      <c r="T305" t="str">
        <f t="shared" si="91"/>
        <v>Green</v>
      </c>
      <c r="U305" t="str">
        <f t="shared" si="92"/>
        <v>Green</v>
      </c>
      <c r="V305" t="str">
        <f t="shared" si="93"/>
        <v>Red</v>
      </c>
      <c r="W305" t="str">
        <f t="shared" si="94"/>
        <v>Red</v>
      </c>
      <c r="X305" t="str">
        <f t="shared" si="95"/>
        <v>Green</v>
      </c>
      <c r="Y305" t="str">
        <f t="shared" si="96"/>
        <v>Green</v>
      </c>
      <c r="Z305" t="str">
        <f t="shared" si="97"/>
        <v>Green</v>
      </c>
      <c r="AA305" t="str">
        <f t="shared" si="98"/>
        <v>Red</v>
      </c>
      <c r="AB305" t="str">
        <f t="shared" si="99"/>
        <v>Red</v>
      </c>
      <c r="AC305" t="str">
        <f t="shared" si="100"/>
        <v>Green</v>
      </c>
      <c r="AD305" t="str">
        <f t="shared" si="101"/>
        <v>Red</v>
      </c>
    </row>
    <row r="306" spans="1:30" x14ac:dyDescent="0.25">
      <c r="A306" t="str">
        <f t="shared" si="82"/>
        <v>22/07/2026Laanemaa JK HaapsaluElva</v>
      </c>
      <c r="D306" s="2">
        <v>46225</v>
      </c>
      <c r="E306" s="3">
        <v>0.66666666666666663</v>
      </c>
      <c r="F306" t="s">
        <v>1693</v>
      </c>
      <c r="G306" t="s">
        <v>1694</v>
      </c>
      <c r="H306">
        <v>0</v>
      </c>
      <c r="I306">
        <v>2</v>
      </c>
      <c r="J306">
        <v>0</v>
      </c>
      <c r="K306">
        <v>6</v>
      </c>
      <c r="L306" s="22" t="str">
        <f t="shared" si="83"/>
        <v>22/07/2026</v>
      </c>
      <c r="M306" s="23">
        <f t="shared" si="84"/>
        <v>0.54166666666666663</v>
      </c>
      <c r="N306" t="str">
        <f t="shared" si="85"/>
        <v>0 - 6</v>
      </c>
      <c r="O306" t="str">
        <f t="shared" si="86"/>
        <v>Red</v>
      </c>
      <c r="P306" t="str">
        <f t="shared" si="87"/>
        <v>Red</v>
      </c>
      <c r="Q306" t="str">
        <f t="shared" si="88"/>
        <v>Green</v>
      </c>
      <c r="R306" t="str">
        <f t="shared" si="89"/>
        <v>Red</v>
      </c>
      <c r="S306" t="str">
        <f t="shared" si="90"/>
        <v>Green</v>
      </c>
      <c r="T306" t="str">
        <f t="shared" si="91"/>
        <v>Green</v>
      </c>
      <c r="U306" t="str">
        <f t="shared" si="92"/>
        <v>Red</v>
      </c>
      <c r="V306" t="str">
        <f t="shared" si="93"/>
        <v>Red</v>
      </c>
      <c r="W306" t="str">
        <f t="shared" si="94"/>
        <v>Green</v>
      </c>
      <c r="X306" t="str">
        <f t="shared" si="95"/>
        <v>Green</v>
      </c>
      <c r="Y306" t="str">
        <f t="shared" si="96"/>
        <v>Green</v>
      </c>
      <c r="Z306" t="str">
        <f t="shared" si="97"/>
        <v>Green</v>
      </c>
      <c r="AA306" t="str">
        <f t="shared" si="98"/>
        <v>Red</v>
      </c>
      <c r="AB306" t="str">
        <f t="shared" si="99"/>
        <v>Red</v>
      </c>
      <c r="AC306" t="str">
        <f t="shared" si="100"/>
        <v>Red</v>
      </c>
      <c r="AD306" t="str">
        <f t="shared" si="101"/>
        <v>Green</v>
      </c>
    </row>
    <row r="307" spans="1:30" x14ac:dyDescent="0.25">
      <c r="A307" t="str">
        <f t="shared" si="82"/>
        <v>22/07/2026Czarni Sosnowiec WomenNike Women</v>
      </c>
      <c r="B307" t="s">
        <v>820</v>
      </c>
      <c r="D307" s="2">
        <v>46225</v>
      </c>
      <c r="E307" s="3">
        <v>0.66666666666666663</v>
      </c>
      <c r="F307" t="s">
        <v>1695</v>
      </c>
      <c r="G307" t="s">
        <v>1696</v>
      </c>
      <c r="H307">
        <v>3</v>
      </c>
      <c r="I307">
        <v>1</v>
      </c>
      <c r="J307">
        <v>7</v>
      </c>
      <c r="K307">
        <v>1</v>
      </c>
      <c r="L307" s="22" t="str">
        <f t="shared" si="83"/>
        <v>22/07/2026</v>
      </c>
      <c r="M307" s="23">
        <f t="shared" si="84"/>
        <v>0.54166666666666663</v>
      </c>
      <c r="N307" t="str">
        <f t="shared" si="85"/>
        <v>7 - 1</v>
      </c>
      <c r="O307" t="str">
        <f t="shared" si="86"/>
        <v>Green</v>
      </c>
      <c r="P307" t="str">
        <f t="shared" si="87"/>
        <v>Red</v>
      </c>
      <c r="Q307" t="str">
        <f t="shared" si="88"/>
        <v>Red</v>
      </c>
      <c r="R307" t="str">
        <f t="shared" si="89"/>
        <v>Green</v>
      </c>
      <c r="S307" t="str">
        <f t="shared" si="90"/>
        <v>Red</v>
      </c>
      <c r="T307" t="str">
        <f t="shared" si="91"/>
        <v>Green</v>
      </c>
      <c r="U307" t="str">
        <f t="shared" si="92"/>
        <v>Green</v>
      </c>
      <c r="V307" t="str">
        <f t="shared" si="93"/>
        <v>Red</v>
      </c>
      <c r="W307" t="str">
        <f t="shared" si="94"/>
        <v>Red</v>
      </c>
      <c r="X307" t="str">
        <f t="shared" si="95"/>
        <v>Green</v>
      </c>
      <c r="Y307" t="str">
        <f t="shared" si="96"/>
        <v>Green</v>
      </c>
      <c r="Z307" t="str">
        <f t="shared" si="97"/>
        <v>Green</v>
      </c>
      <c r="AA307" t="str">
        <f t="shared" si="98"/>
        <v>Red</v>
      </c>
      <c r="AB307" t="str">
        <f t="shared" si="99"/>
        <v>Red</v>
      </c>
      <c r="AC307" t="str">
        <f t="shared" si="100"/>
        <v>Green</v>
      </c>
      <c r="AD307" t="str">
        <f t="shared" si="101"/>
        <v>Red</v>
      </c>
    </row>
    <row r="308" spans="1:30" x14ac:dyDescent="0.25">
      <c r="A308" t="str">
        <f t="shared" si="82"/>
        <v>22/07/2026Flora Tallinn WomenMgarr United Women</v>
      </c>
      <c r="B308" t="s">
        <v>820</v>
      </c>
      <c r="D308" s="2">
        <v>46225</v>
      </c>
      <c r="E308" s="3">
        <v>0.66666666666666663</v>
      </c>
      <c r="F308" t="s">
        <v>1697</v>
      </c>
      <c r="G308" t="s">
        <v>1698</v>
      </c>
      <c r="H308">
        <v>0</v>
      </c>
      <c r="I308">
        <v>0</v>
      </c>
      <c r="J308">
        <v>0</v>
      </c>
      <c r="K308">
        <v>4</v>
      </c>
      <c r="L308" s="22" t="str">
        <f t="shared" si="83"/>
        <v>22/07/2026</v>
      </c>
      <c r="M308" s="23">
        <f t="shared" si="84"/>
        <v>0.54166666666666663</v>
      </c>
      <c r="N308" t="str">
        <f t="shared" si="85"/>
        <v>0 - 4</v>
      </c>
      <c r="O308" t="str">
        <f t="shared" si="86"/>
        <v>Red</v>
      </c>
      <c r="P308" t="str">
        <f t="shared" si="87"/>
        <v>Red</v>
      </c>
      <c r="Q308" t="str">
        <f t="shared" si="88"/>
        <v>Green</v>
      </c>
      <c r="R308" t="str">
        <f t="shared" si="89"/>
        <v>Red</v>
      </c>
      <c r="S308" t="str">
        <f t="shared" si="90"/>
        <v>Green</v>
      </c>
      <c r="T308" t="str">
        <f t="shared" si="91"/>
        <v>Green</v>
      </c>
      <c r="U308" t="str">
        <f t="shared" si="92"/>
        <v>Red</v>
      </c>
      <c r="V308" t="str">
        <f t="shared" si="93"/>
        <v>Green</v>
      </c>
      <c r="W308" t="str">
        <f t="shared" si="94"/>
        <v>Red</v>
      </c>
      <c r="X308" t="str">
        <f t="shared" si="95"/>
        <v>Red</v>
      </c>
      <c r="Y308" t="str">
        <f t="shared" si="96"/>
        <v>Green</v>
      </c>
      <c r="Z308" t="str">
        <f t="shared" si="97"/>
        <v>Green</v>
      </c>
      <c r="AA308" t="str">
        <f t="shared" si="98"/>
        <v>Red</v>
      </c>
      <c r="AB308" t="str">
        <f t="shared" si="99"/>
        <v>Red</v>
      </c>
      <c r="AC308" t="str">
        <f t="shared" si="100"/>
        <v>Red</v>
      </c>
      <c r="AD308" t="str">
        <f t="shared" si="101"/>
        <v>Green</v>
      </c>
    </row>
    <row r="309" spans="1:30" x14ac:dyDescent="0.25">
      <c r="A309" t="str">
        <f t="shared" si="82"/>
        <v>22/07/2026Pallokerho Keski-UusimaaVJS Vantaa</v>
      </c>
      <c r="D309" s="2">
        <v>46225</v>
      </c>
      <c r="E309" s="3">
        <v>0.66666666666666663</v>
      </c>
      <c r="F309" t="s">
        <v>1699</v>
      </c>
      <c r="G309" t="s">
        <v>1700</v>
      </c>
      <c r="H309">
        <v>1</v>
      </c>
      <c r="I309">
        <v>0</v>
      </c>
      <c r="J309">
        <v>1</v>
      </c>
      <c r="K309">
        <v>3</v>
      </c>
      <c r="L309" s="22" t="str">
        <f t="shared" si="83"/>
        <v>22/07/2026</v>
      </c>
      <c r="M309" s="23">
        <f t="shared" si="84"/>
        <v>0.54166666666666663</v>
      </c>
      <c r="N309" t="str">
        <f t="shared" si="85"/>
        <v>1 - 3</v>
      </c>
      <c r="O309" t="str">
        <f t="shared" si="86"/>
        <v>Red</v>
      </c>
      <c r="P309" t="str">
        <f t="shared" si="87"/>
        <v>Red</v>
      </c>
      <c r="Q309" t="str">
        <f t="shared" si="88"/>
        <v>Green</v>
      </c>
      <c r="R309" t="str">
        <f t="shared" si="89"/>
        <v>Red</v>
      </c>
      <c r="S309" t="str">
        <f t="shared" si="90"/>
        <v>Green</v>
      </c>
      <c r="T309" t="str">
        <f t="shared" si="91"/>
        <v>Green</v>
      </c>
      <c r="U309" t="str">
        <f t="shared" si="92"/>
        <v>Green</v>
      </c>
      <c r="V309" t="str">
        <f t="shared" si="93"/>
        <v>Red</v>
      </c>
      <c r="W309" t="str">
        <f t="shared" si="94"/>
        <v>Red</v>
      </c>
      <c r="X309" t="str">
        <f t="shared" si="95"/>
        <v>Green</v>
      </c>
      <c r="Y309" t="str">
        <f t="shared" si="96"/>
        <v>Green</v>
      </c>
      <c r="Z309" t="str">
        <f t="shared" si="97"/>
        <v>Green</v>
      </c>
      <c r="AA309" t="str">
        <f t="shared" si="98"/>
        <v>Red</v>
      </c>
      <c r="AB309" t="str">
        <f t="shared" si="99"/>
        <v>Red</v>
      </c>
      <c r="AC309" t="str">
        <f t="shared" si="100"/>
        <v>Green</v>
      </c>
      <c r="AD309" t="str">
        <f t="shared" si="101"/>
        <v>Red</v>
      </c>
    </row>
    <row r="310" spans="1:30" x14ac:dyDescent="0.25">
      <c r="A310" t="str">
        <f t="shared" si="82"/>
        <v>22/07/2026LePaGilla FC</v>
      </c>
      <c r="D310" s="2">
        <v>46225</v>
      </c>
      <c r="E310" s="3">
        <v>0.66666666666666663</v>
      </c>
      <c r="F310" t="s">
        <v>1701</v>
      </c>
      <c r="G310" t="s">
        <v>1702</v>
      </c>
      <c r="H310">
        <v>0</v>
      </c>
      <c r="I310">
        <v>0</v>
      </c>
      <c r="J310">
        <v>2</v>
      </c>
      <c r="K310">
        <v>0</v>
      </c>
      <c r="L310" s="22" t="str">
        <f t="shared" si="83"/>
        <v>22/07/2026</v>
      </c>
      <c r="M310" s="23">
        <f t="shared" si="84"/>
        <v>0.54166666666666663</v>
      </c>
      <c r="N310" t="str">
        <f t="shared" si="85"/>
        <v>2 - 0</v>
      </c>
      <c r="O310" t="str">
        <f t="shared" si="86"/>
        <v>Green</v>
      </c>
      <c r="P310" t="str">
        <f t="shared" si="87"/>
        <v>Red</v>
      </c>
      <c r="Q310" t="str">
        <f t="shared" si="88"/>
        <v>Red</v>
      </c>
      <c r="R310" t="str">
        <f t="shared" si="89"/>
        <v>Green</v>
      </c>
      <c r="S310" t="str">
        <f t="shared" si="90"/>
        <v>Red</v>
      </c>
      <c r="T310" t="str">
        <f t="shared" si="91"/>
        <v>Green</v>
      </c>
      <c r="U310" t="str">
        <f t="shared" si="92"/>
        <v>Red</v>
      </c>
      <c r="V310" t="str">
        <f t="shared" si="93"/>
        <v>Green</v>
      </c>
      <c r="W310" t="str">
        <f t="shared" si="94"/>
        <v>Red</v>
      </c>
      <c r="X310" t="str">
        <f t="shared" si="95"/>
        <v>Red</v>
      </c>
      <c r="Y310" t="str">
        <f t="shared" si="96"/>
        <v>Green</v>
      </c>
      <c r="Z310" t="str">
        <f t="shared" si="97"/>
        <v>Red</v>
      </c>
      <c r="AA310" t="str">
        <f t="shared" si="98"/>
        <v>Green</v>
      </c>
      <c r="AB310" t="str">
        <f t="shared" si="99"/>
        <v>Green</v>
      </c>
      <c r="AC310" t="str">
        <f t="shared" si="100"/>
        <v>Red</v>
      </c>
      <c r="AD310" t="str">
        <f t="shared" si="101"/>
        <v>Green</v>
      </c>
    </row>
    <row r="311" spans="1:30" x14ac:dyDescent="0.25">
      <c r="A311" t="str">
        <f t="shared" si="82"/>
        <v>22/07/2026FCJ BlackbirdKomeetat</v>
      </c>
      <c r="D311" s="2">
        <v>46225</v>
      </c>
      <c r="E311" s="3">
        <v>0.66666666666666663</v>
      </c>
      <c r="F311" t="s">
        <v>1703</v>
      </c>
      <c r="G311" t="s">
        <v>1704</v>
      </c>
      <c r="H311">
        <v>0</v>
      </c>
      <c r="I311">
        <v>0</v>
      </c>
      <c r="J311">
        <v>2</v>
      </c>
      <c r="K311">
        <v>0</v>
      </c>
      <c r="L311" s="22" t="str">
        <f t="shared" si="83"/>
        <v>22/07/2026</v>
      </c>
      <c r="M311" s="23">
        <f t="shared" si="84"/>
        <v>0.54166666666666663</v>
      </c>
      <c r="N311" t="str">
        <f t="shared" si="85"/>
        <v>2 - 0</v>
      </c>
      <c r="O311" t="str">
        <f t="shared" si="86"/>
        <v>Green</v>
      </c>
      <c r="P311" t="str">
        <f t="shared" si="87"/>
        <v>Red</v>
      </c>
      <c r="Q311" t="str">
        <f t="shared" si="88"/>
        <v>Red</v>
      </c>
      <c r="R311" t="str">
        <f t="shared" si="89"/>
        <v>Green</v>
      </c>
      <c r="S311" t="str">
        <f t="shared" si="90"/>
        <v>Red</v>
      </c>
      <c r="T311" t="str">
        <f t="shared" si="91"/>
        <v>Green</v>
      </c>
      <c r="U311" t="str">
        <f t="shared" si="92"/>
        <v>Red</v>
      </c>
      <c r="V311" t="str">
        <f t="shared" si="93"/>
        <v>Green</v>
      </c>
      <c r="W311" t="str">
        <f t="shared" si="94"/>
        <v>Red</v>
      </c>
      <c r="X311" t="str">
        <f t="shared" si="95"/>
        <v>Red</v>
      </c>
      <c r="Y311" t="str">
        <f t="shared" si="96"/>
        <v>Green</v>
      </c>
      <c r="Z311" t="str">
        <f t="shared" si="97"/>
        <v>Red</v>
      </c>
      <c r="AA311" t="str">
        <f t="shared" si="98"/>
        <v>Green</v>
      </c>
      <c r="AB311" t="str">
        <f t="shared" si="99"/>
        <v>Green</v>
      </c>
      <c r="AC311" t="str">
        <f t="shared" si="100"/>
        <v>Red</v>
      </c>
      <c r="AD311" t="str">
        <f t="shared" si="101"/>
        <v>Green</v>
      </c>
    </row>
    <row r="312" spans="1:30" x14ac:dyDescent="0.25">
      <c r="A312" t="str">
        <f t="shared" si="82"/>
        <v>22/07/2026LarsmoSJK-j Apollo</v>
      </c>
      <c r="D312" s="2">
        <v>46225</v>
      </c>
      <c r="E312" s="3">
        <v>0.66666666666666663</v>
      </c>
      <c r="F312" t="s">
        <v>1705</v>
      </c>
      <c r="G312" t="s">
        <v>1706</v>
      </c>
      <c r="H312">
        <v>0</v>
      </c>
      <c r="I312">
        <v>0</v>
      </c>
      <c r="J312">
        <v>4</v>
      </c>
      <c r="K312">
        <v>2</v>
      </c>
      <c r="L312" s="22" t="str">
        <f t="shared" si="83"/>
        <v>22/07/2026</v>
      </c>
      <c r="M312" s="23">
        <f t="shared" si="84"/>
        <v>0.54166666666666663</v>
      </c>
      <c r="N312" t="str">
        <f t="shared" si="85"/>
        <v>4 - 2</v>
      </c>
      <c r="O312" t="str">
        <f t="shared" si="86"/>
        <v>Green</v>
      </c>
      <c r="P312" t="str">
        <f t="shared" si="87"/>
        <v>Red</v>
      </c>
      <c r="Q312" t="str">
        <f t="shared" si="88"/>
        <v>Red</v>
      </c>
      <c r="R312" t="str">
        <f t="shared" si="89"/>
        <v>Green</v>
      </c>
      <c r="S312" t="str">
        <f t="shared" si="90"/>
        <v>Red</v>
      </c>
      <c r="T312" t="str">
        <f t="shared" si="91"/>
        <v>Green</v>
      </c>
      <c r="U312" t="str">
        <f t="shared" si="92"/>
        <v>Red</v>
      </c>
      <c r="V312" t="str">
        <f t="shared" si="93"/>
        <v>Green</v>
      </c>
      <c r="W312" t="str">
        <f t="shared" si="94"/>
        <v>Red</v>
      </c>
      <c r="X312" t="str">
        <f t="shared" si="95"/>
        <v>Red</v>
      </c>
      <c r="Y312" t="str">
        <f t="shared" si="96"/>
        <v>Green</v>
      </c>
      <c r="Z312" t="str">
        <f t="shared" si="97"/>
        <v>Green</v>
      </c>
      <c r="AA312" t="str">
        <f t="shared" si="98"/>
        <v>Red</v>
      </c>
      <c r="AB312" t="str">
        <f t="shared" si="99"/>
        <v>Red</v>
      </c>
      <c r="AC312" t="str">
        <f t="shared" si="100"/>
        <v>Green</v>
      </c>
      <c r="AD312" t="str">
        <f t="shared" si="101"/>
        <v>Red</v>
      </c>
    </row>
    <row r="313" spans="1:30" x14ac:dyDescent="0.25">
      <c r="A313" t="str">
        <f t="shared" si="82"/>
        <v>22/07/20263 de MayoClub 1 de Marzo</v>
      </c>
      <c r="D313" s="2">
        <v>46225</v>
      </c>
      <c r="E313" s="3">
        <v>0.66666666666666663</v>
      </c>
      <c r="F313" t="s">
        <v>1707</v>
      </c>
      <c r="G313" t="s">
        <v>1708</v>
      </c>
      <c r="H313">
        <v>0</v>
      </c>
      <c r="I313">
        <v>1</v>
      </c>
      <c r="J313">
        <v>0</v>
      </c>
      <c r="K313">
        <v>3</v>
      </c>
      <c r="L313" s="22" t="str">
        <f t="shared" si="83"/>
        <v>22/07/2026</v>
      </c>
      <c r="M313" s="23">
        <f t="shared" si="84"/>
        <v>0.54166666666666663</v>
      </c>
      <c r="N313" t="str">
        <f t="shared" si="85"/>
        <v>0 - 3</v>
      </c>
      <c r="O313" t="str">
        <f t="shared" si="86"/>
        <v>Red</v>
      </c>
      <c r="P313" t="str">
        <f t="shared" si="87"/>
        <v>Red</v>
      </c>
      <c r="Q313" t="str">
        <f t="shared" si="88"/>
        <v>Green</v>
      </c>
      <c r="R313" t="str">
        <f t="shared" si="89"/>
        <v>Red</v>
      </c>
      <c r="S313" t="str">
        <f t="shared" si="90"/>
        <v>Green</v>
      </c>
      <c r="T313" t="str">
        <f t="shared" si="91"/>
        <v>Green</v>
      </c>
      <c r="U313" t="str">
        <f t="shared" si="92"/>
        <v>Red</v>
      </c>
      <c r="V313" t="str">
        <f t="shared" si="93"/>
        <v>Red</v>
      </c>
      <c r="W313" t="str">
        <f t="shared" si="94"/>
        <v>Green</v>
      </c>
      <c r="X313" t="str">
        <f t="shared" si="95"/>
        <v>Green</v>
      </c>
      <c r="Y313" t="str">
        <f t="shared" si="96"/>
        <v>Green</v>
      </c>
      <c r="Z313" t="str">
        <f t="shared" si="97"/>
        <v>Green</v>
      </c>
      <c r="AA313" t="str">
        <f t="shared" si="98"/>
        <v>Red</v>
      </c>
      <c r="AB313" t="str">
        <f t="shared" si="99"/>
        <v>Green</v>
      </c>
      <c r="AC313" t="str">
        <f t="shared" si="100"/>
        <v>Red</v>
      </c>
      <c r="AD313" t="str">
        <f t="shared" si="101"/>
        <v>Green</v>
      </c>
    </row>
    <row r="314" spans="1:30" x14ac:dyDescent="0.25">
      <c r="A314" t="str">
        <f t="shared" si="82"/>
        <v>22/07/2026BrestAl Wakrah</v>
      </c>
      <c r="D314" s="2">
        <v>46225</v>
      </c>
      <c r="E314" s="3">
        <v>0.66666666666666663</v>
      </c>
      <c r="F314" t="s">
        <v>1709</v>
      </c>
      <c r="G314" t="s">
        <v>1710</v>
      </c>
      <c r="H314">
        <v>0</v>
      </c>
      <c r="I314">
        <v>1</v>
      </c>
      <c r="J314">
        <v>0</v>
      </c>
      <c r="K314">
        <v>2</v>
      </c>
      <c r="L314" s="22" t="str">
        <f t="shared" si="83"/>
        <v>22/07/2026</v>
      </c>
      <c r="M314" s="23">
        <f t="shared" si="84"/>
        <v>0.54166666666666663</v>
      </c>
      <c r="N314" t="str">
        <f t="shared" si="85"/>
        <v>0 - 2</v>
      </c>
      <c r="O314" t="str">
        <f t="shared" si="86"/>
        <v>Red</v>
      </c>
      <c r="P314" t="str">
        <f t="shared" si="87"/>
        <v>Red</v>
      </c>
      <c r="Q314" t="str">
        <f t="shared" si="88"/>
        <v>Green</v>
      </c>
      <c r="R314" t="str">
        <f t="shared" si="89"/>
        <v>Red</v>
      </c>
      <c r="S314" t="str">
        <f t="shared" si="90"/>
        <v>Green</v>
      </c>
      <c r="T314" t="str">
        <f t="shared" si="91"/>
        <v>Green</v>
      </c>
      <c r="U314" t="str">
        <f t="shared" si="92"/>
        <v>Red</v>
      </c>
      <c r="V314" t="str">
        <f t="shared" si="93"/>
        <v>Red</v>
      </c>
      <c r="W314" t="str">
        <f t="shared" si="94"/>
        <v>Green</v>
      </c>
      <c r="X314" t="str">
        <f t="shared" si="95"/>
        <v>Green</v>
      </c>
      <c r="Y314" t="str">
        <f t="shared" si="96"/>
        <v>Green</v>
      </c>
      <c r="Z314" t="str">
        <f t="shared" si="97"/>
        <v>Red</v>
      </c>
      <c r="AA314" t="str">
        <f t="shared" si="98"/>
        <v>Green</v>
      </c>
      <c r="AB314" t="str">
        <f t="shared" si="99"/>
        <v>Green</v>
      </c>
      <c r="AC314" t="str">
        <f t="shared" si="100"/>
        <v>Red</v>
      </c>
      <c r="AD314" t="str">
        <f t="shared" si="101"/>
        <v>Green</v>
      </c>
    </row>
    <row r="315" spans="1:30" x14ac:dyDescent="0.25">
      <c r="A315" t="str">
        <f t="shared" si="82"/>
        <v>22/07/2026ClermontQuevilly</v>
      </c>
      <c r="D315" s="2">
        <v>46225</v>
      </c>
      <c r="E315" s="3">
        <v>0.66666666666666663</v>
      </c>
      <c r="F315" t="s">
        <v>1711</v>
      </c>
      <c r="G315" t="s">
        <v>1712</v>
      </c>
      <c r="H315">
        <v>0</v>
      </c>
      <c r="I315">
        <v>0</v>
      </c>
      <c r="J315">
        <v>1</v>
      </c>
      <c r="K315">
        <v>1</v>
      </c>
      <c r="L315" s="22" t="str">
        <f t="shared" si="83"/>
        <v>22/07/2026</v>
      </c>
      <c r="M315" s="23">
        <f t="shared" si="84"/>
        <v>0.54166666666666663</v>
      </c>
      <c r="N315" t="str">
        <f t="shared" si="85"/>
        <v>1 - 1</v>
      </c>
      <c r="O315" t="str">
        <f t="shared" si="86"/>
        <v>Red</v>
      </c>
      <c r="P315" t="str">
        <f t="shared" si="87"/>
        <v>Green</v>
      </c>
      <c r="Q315" t="str">
        <f t="shared" si="88"/>
        <v>Red</v>
      </c>
      <c r="R315" t="str">
        <f t="shared" si="89"/>
        <v>Green</v>
      </c>
      <c r="S315" t="str">
        <f t="shared" si="90"/>
        <v>Green</v>
      </c>
      <c r="T315" t="str">
        <f t="shared" si="91"/>
        <v>Red</v>
      </c>
      <c r="U315" t="str">
        <f t="shared" si="92"/>
        <v>Red</v>
      </c>
      <c r="V315" t="str">
        <f t="shared" si="93"/>
        <v>Green</v>
      </c>
      <c r="W315" t="str">
        <f t="shared" si="94"/>
        <v>Red</v>
      </c>
      <c r="X315" t="str">
        <f t="shared" si="95"/>
        <v>Red</v>
      </c>
      <c r="Y315" t="str">
        <f t="shared" si="96"/>
        <v>Green</v>
      </c>
      <c r="Z315" t="str">
        <f t="shared" si="97"/>
        <v>Red</v>
      </c>
      <c r="AA315" t="str">
        <f t="shared" si="98"/>
        <v>Green</v>
      </c>
      <c r="AB315" t="str">
        <f t="shared" si="99"/>
        <v>Green</v>
      </c>
      <c r="AC315" t="str">
        <f t="shared" si="100"/>
        <v>Green</v>
      </c>
      <c r="AD315" t="str">
        <f t="shared" si="101"/>
        <v>Red</v>
      </c>
    </row>
    <row r="316" spans="1:30" x14ac:dyDescent="0.25">
      <c r="A316" t="str">
        <f t="shared" si="82"/>
        <v>22/07/2026FC Sloboda UziceFK Omladinac Zablace</v>
      </c>
      <c r="D316" s="2">
        <v>46225</v>
      </c>
      <c r="E316" s="3">
        <v>0.66666666666666663</v>
      </c>
      <c r="F316" t="s">
        <v>1713</v>
      </c>
      <c r="G316" t="s">
        <v>1714</v>
      </c>
      <c r="H316">
        <v>1</v>
      </c>
      <c r="I316">
        <v>1</v>
      </c>
      <c r="J316">
        <v>2</v>
      </c>
      <c r="K316">
        <v>1</v>
      </c>
      <c r="L316" s="22" t="str">
        <f t="shared" si="83"/>
        <v>22/07/2026</v>
      </c>
      <c r="M316" s="23">
        <f t="shared" si="84"/>
        <v>0.54166666666666663</v>
      </c>
      <c r="N316" t="str">
        <f t="shared" si="85"/>
        <v>2 - 1</v>
      </c>
      <c r="O316" t="str">
        <f t="shared" si="86"/>
        <v>Green</v>
      </c>
      <c r="P316" t="str">
        <f t="shared" si="87"/>
        <v>Red</v>
      </c>
      <c r="Q316" t="str">
        <f t="shared" si="88"/>
        <v>Red</v>
      </c>
      <c r="R316" t="str">
        <f t="shared" si="89"/>
        <v>Green</v>
      </c>
      <c r="S316" t="str">
        <f t="shared" si="90"/>
        <v>Red</v>
      </c>
      <c r="T316" t="str">
        <f t="shared" si="91"/>
        <v>Green</v>
      </c>
      <c r="U316" t="str">
        <f t="shared" si="92"/>
        <v>Red</v>
      </c>
      <c r="V316" t="str">
        <f t="shared" si="93"/>
        <v>Green</v>
      </c>
      <c r="W316" t="str">
        <f t="shared" si="94"/>
        <v>Red</v>
      </c>
      <c r="X316" t="str">
        <f t="shared" si="95"/>
        <v>Green</v>
      </c>
      <c r="Y316" t="str">
        <f t="shared" si="96"/>
        <v>Green</v>
      </c>
      <c r="Z316" t="str">
        <f t="shared" si="97"/>
        <v>Green</v>
      </c>
      <c r="AA316" t="str">
        <f t="shared" si="98"/>
        <v>Red</v>
      </c>
      <c r="AB316" t="str">
        <f t="shared" si="99"/>
        <v>Green</v>
      </c>
      <c r="AC316" t="str">
        <f t="shared" si="100"/>
        <v>Green</v>
      </c>
      <c r="AD316" t="str">
        <f t="shared" si="101"/>
        <v>Red</v>
      </c>
    </row>
    <row r="317" spans="1:30" x14ac:dyDescent="0.25">
      <c r="A317" t="str">
        <f t="shared" si="82"/>
        <v>22/07/2026FelgueirasSanta Clara</v>
      </c>
      <c r="D317" s="2">
        <v>46225</v>
      </c>
      <c r="E317" s="3">
        <v>0.66666666666666663</v>
      </c>
      <c r="F317" t="s">
        <v>1715</v>
      </c>
      <c r="G317" t="s">
        <v>1716</v>
      </c>
      <c r="H317">
        <v>0</v>
      </c>
      <c r="I317">
        <v>0</v>
      </c>
      <c r="J317">
        <v>1</v>
      </c>
      <c r="K317">
        <v>1</v>
      </c>
      <c r="L317" s="22" t="str">
        <f t="shared" si="83"/>
        <v>22/07/2026</v>
      </c>
      <c r="M317" s="23">
        <f t="shared" si="84"/>
        <v>0.54166666666666663</v>
      </c>
      <c r="N317" t="str">
        <f t="shared" si="85"/>
        <v>1 - 1</v>
      </c>
      <c r="O317" t="str">
        <f t="shared" si="86"/>
        <v>Red</v>
      </c>
      <c r="P317" t="str">
        <f t="shared" si="87"/>
        <v>Green</v>
      </c>
      <c r="Q317" t="str">
        <f t="shared" si="88"/>
        <v>Red</v>
      </c>
      <c r="R317" t="str">
        <f t="shared" si="89"/>
        <v>Green</v>
      </c>
      <c r="S317" t="str">
        <f t="shared" si="90"/>
        <v>Green</v>
      </c>
      <c r="T317" t="str">
        <f t="shared" si="91"/>
        <v>Red</v>
      </c>
      <c r="U317" t="str">
        <f t="shared" si="92"/>
        <v>Red</v>
      </c>
      <c r="V317" t="str">
        <f t="shared" si="93"/>
        <v>Green</v>
      </c>
      <c r="W317" t="str">
        <f t="shared" si="94"/>
        <v>Red</v>
      </c>
      <c r="X317" t="str">
        <f t="shared" si="95"/>
        <v>Red</v>
      </c>
      <c r="Y317" t="str">
        <f t="shared" si="96"/>
        <v>Green</v>
      </c>
      <c r="Z317" t="str">
        <f t="shared" si="97"/>
        <v>Red</v>
      </c>
      <c r="AA317" t="str">
        <f t="shared" si="98"/>
        <v>Green</v>
      </c>
      <c r="AB317" t="str">
        <f t="shared" si="99"/>
        <v>Green</v>
      </c>
      <c r="AC317" t="str">
        <f t="shared" si="100"/>
        <v>Green</v>
      </c>
      <c r="AD317" t="str">
        <f t="shared" si="101"/>
        <v>Red</v>
      </c>
    </row>
    <row r="318" spans="1:30" x14ac:dyDescent="0.25">
      <c r="A318" t="str">
        <f t="shared" si="82"/>
        <v>22/07/2026FK KolinFK TJ Stechovice</v>
      </c>
      <c r="D318" s="2">
        <v>46225</v>
      </c>
      <c r="E318" s="3">
        <v>0.66666666666666663</v>
      </c>
      <c r="F318" t="s">
        <v>1717</v>
      </c>
      <c r="G318" t="s">
        <v>1718</v>
      </c>
      <c r="H318">
        <v>1</v>
      </c>
      <c r="I318">
        <v>0</v>
      </c>
      <c r="J318">
        <v>1</v>
      </c>
      <c r="K318">
        <v>1</v>
      </c>
      <c r="L318" s="22" t="str">
        <f t="shared" si="83"/>
        <v>22/07/2026</v>
      </c>
      <c r="M318" s="23">
        <f t="shared" si="84"/>
        <v>0.54166666666666663</v>
      </c>
      <c r="N318" t="str">
        <f t="shared" si="85"/>
        <v>1 - 1</v>
      </c>
      <c r="O318" t="str">
        <f t="shared" si="86"/>
        <v>Red</v>
      </c>
      <c r="P318" t="str">
        <f t="shared" si="87"/>
        <v>Green</v>
      </c>
      <c r="Q318" t="str">
        <f t="shared" si="88"/>
        <v>Red</v>
      </c>
      <c r="R318" t="str">
        <f t="shared" si="89"/>
        <v>Green</v>
      </c>
      <c r="S318" t="str">
        <f t="shared" si="90"/>
        <v>Green</v>
      </c>
      <c r="T318" t="str">
        <f t="shared" si="91"/>
        <v>Red</v>
      </c>
      <c r="U318" t="str">
        <f t="shared" si="92"/>
        <v>Green</v>
      </c>
      <c r="V318" t="str">
        <f t="shared" si="93"/>
        <v>Red</v>
      </c>
      <c r="W318" t="str">
        <f t="shared" si="94"/>
        <v>Red</v>
      </c>
      <c r="X318" t="str">
        <f t="shared" si="95"/>
        <v>Green</v>
      </c>
      <c r="Y318" t="str">
        <f t="shared" si="96"/>
        <v>Green</v>
      </c>
      <c r="Z318" t="str">
        <f t="shared" si="97"/>
        <v>Red</v>
      </c>
      <c r="AA318" t="str">
        <f t="shared" si="98"/>
        <v>Green</v>
      </c>
      <c r="AB318" t="str">
        <f t="shared" si="99"/>
        <v>Green</v>
      </c>
      <c r="AC318" t="str">
        <f t="shared" si="100"/>
        <v>Green</v>
      </c>
      <c r="AD318" t="str">
        <f t="shared" si="101"/>
        <v>Red</v>
      </c>
    </row>
    <row r="319" spans="1:30" x14ac:dyDescent="0.25">
      <c r="A319" t="str">
        <f t="shared" si="82"/>
        <v>22/07/2026HNK SegestaNK Jesenice</v>
      </c>
      <c r="D319" s="2">
        <v>46225</v>
      </c>
      <c r="E319" s="3">
        <v>0.66666666666666663</v>
      </c>
      <c r="F319" t="s">
        <v>1719</v>
      </c>
      <c r="G319" t="s">
        <v>1720</v>
      </c>
      <c r="H319">
        <v>6</v>
      </c>
      <c r="I319">
        <v>0</v>
      </c>
      <c r="J319">
        <v>8</v>
      </c>
      <c r="K319">
        <v>0</v>
      </c>
      <c r="L319" s="22" t="str">
        <f t="shared" si="83"/>
        <v>22/07/2026</v>
      </c>
      <c r="M319" s="23">
        <f t="shared" si="84"/>
        <v>0.54166666666666663</v>
      </c>
      <c r="N319" t="str">
        <f t="shared" si="85"/>
        <v>8 - 0</v>
      </c>
      <c r="O319" t="str">
        <f t="shared" si="86"/>
        <v>Green</v>
      </c>
      <c r="P319" t="str">
        <f t="shared" si="87"/>
        <v>Red</v>
      </c>
      <c r="Q319" t="str">
        <f t="shared" si="88"/>
        <v>Red</v>
      </c>
      <c r="R319" t="str">
        <f t="shared" si="89"/>
        <v>Green</v>
      </c>
      <c r="S319" t="str">
        <f t="shared" si="90"/>
        <v>Red</v>
      </c>
      <c r="T319" t="str">
        <f t="shared" si="91"/>
        <v>Green</v>
      </c>
      <c r="U319" t="str">
        <f t="shared" si="92"/>
        <v>Green</v>
      </c>
      <c r="V319" t="str">
        <f t="shared" si="93"/>
        <v>Red</v>
      </c>
      <c r="W319" t="str">
        <f t="shared" si="94"/>
        <v>Red</v>
      </c>
      <c r="X319" t="str">
        <f t="shared" si="95"/>
        <v>Green</v>
      </c>
      <c r="Y319" t="str">
        <f t="shared" si="96"/>
        <v>Green</v>
      </c>
      <c r="Z319" t="str">
        <f t="shared" si="97"/>
        <v>Green</v>
      </c>
      <c r="AA319" t="str">
        <f t="shared" si="98"/>
        <v>Red</v>
      </c>
      <c r="AB319" t="str">
        <f t="shared" si="99"/>
        <v>Red</v>
      </c>
      <c r="AC319" t="str">
        <f t="shared" si="100"/>
        <v>Red</v>
      </c>
      <c r="AD319" t="str">
        <f t="shared" si="101"/>
        <v>Green</v>
      </c>
    </row>
    <row r="320" spans="1:30" x14ac:dyDescent="0.25">
      <c r="A320" t="str">
        <f t="shared" si="82"/>
        <v>22/07/2026LavalAvranches</v>
      </c>
      <c r="D320" s="2">
        <v>46225</v>
      </c>
      <c r="E320" s="3">
        <v>0.66666666666666663</v>
      </c>
      <c r="F320" t="s">
        <v>1721</v>
      </c>
      <c r="G320" t="s">
        <v>1722</v>
      </c>
      <c r="H320">
        <v>2</v>
      </c>
      <c r="I320">
        <v>0</v>
      </c>
      <c r="J320">
        <v>2</v>
      </c>
      <c r="K320">
        <v>1</v>
      </c>
      <c r="L320" s="22" t="str">
        <f t="shared" si="83"/>
        <v>22/07/2026</v>
      </c>
      <c r="M320" s="23">
        <f t="shared" si="84"/>
        <v>0.54166666666666663</v>
      </c>
      <c r="N320" t="str">
        <f t="shared" si="85"/>
        <v>2 - 1</v>
      </c>
      <c r="O320" t="str">
        <f t="shared" si="86"/>
        <v>Green</v>
      </c>
      <c r="P320" t="str">
        <f t="shared" si="87"/>
        <v>Red</v>
      </c>
      <c r="Q320" t="str">
        <f t="shared" si="88"/>
        <v>Red</v>
      </c>
      <c r="R320" t="str">
        <f t="shared" si="89"/>
        <v>Green</v>
      </c>
      <c r="S320" t="str">
        <f t="shared" si="90"/>
        <v>Red</v>
      </c>
      <c r="T320" t="str">
        <f t="shared" si="91"/>
        <v>Green</v>
      </c>
      <c r="U320" t="str">
        <f t="shared" si="92"/>
        <v>Green</v>
      </c>
      <c r="V320" t="str">
        <f t="shared" si="93"/>
        <v>Red</v>
      </c>
      <c r="W320" t="str">
        <f t="shared" si="94"/>
        <v>Red</v>
      </c>
      <c r="X320" t="str">
        <f t="shared" si="95"/>
        <v>Green</v>
      </c>
      <c r="Y320" t="str">
        <f t="shared" si="96"/>
        <v>Green</v>
      </c>
      <c r="Z320" t="str">
        <f t="shared" si="97"/>
        <v>Green</v>
      </c>
      <c r="AA320" t="str">
        <f t="shared" si="98"/>
        <v>Red</v>
      </c>
      <c r="AB320" t="str">
        <f t="shared" si="99"/>
        <v>Green</v>
      </c>
      <c r="AC320" t="str">
        <f t="shared" si="100"/>
        <v>Green</v>
      </c>
      <c r="AD320" t="str">
        <f t="shared" si="101"/>
        <v>Red</v>
      </c>
    </row>
    <row r="321" spans="1:30" x14ac:dyDescent="0.25">
      <c r="A321" t="str">
        <f t="shared" si="82"/>
        <v>22/07/2026Le MansVersailles 78</v>
      </c>
      <c r="D321" s="2">
        <v>46225</v>
      </c>
      <c r="E321" s="3">
        <v>0.66666666666666663</v>
      </c>
      <c r="F321" t="s">
        <v>1723</v>
      </c>
      <c r="G321" t="s">
        <v>1724</v>
      </c>
      <c r="H321">
        <v>3</v>
      </c>
      <c r="I321">
        <v>0</v>
      </c>
      <c r="J321">
        <v>3</v>
      </c>
      <c r="K321">
        <v>1</v>
      </c>
      <c r="L321" s="22" t="str">
        <f t="shared" si="83"/>
        <v>22/07/2026</v>
      </c>
      <c r="M321" s="23">
        <f t="shared" si="84"/>
        <v>0.54166666666666663</v>
      </c>
      <c r="N321" t="str">
        <f t="shared" si="85"/>
        <v>3 - 1</v>
      </c>
      <c r="O321" t="str">
        <f t="shared" si="86"/>
        <v>Green</v>
      </c>
      <c r="P321" t="str">
        <f t="shared" si="87"/>
        <v>Red</v>
      </c>
      <c r="Q321" t="str">
        <f t="shared" si="88"/>
        <v>Red</v>
      </c>
      <c r="R321" t="str">
        <f t="shared" si="89"/>
        <v>Green</v>
      </c>
      <c r="S321" t="str">
        <f t="shared" si="90"/>
        <v>Red</v>
      </c>
      <c r="T321" t="str">
        <f t="shared" si="91"/>
        <v>Green</v>
      </c>
      <c r="U321" t="str">
        <f t="shared" si="92"/>
        <v>Green</v>
      </c>
      <c r="V321" t="str">
        <f t="shared" si="93"/>
        <v>Red</v>
      </c>
      <c r="W321" t="str">
        <f t="shared" si="94"/>
        <v>Red</v>
      </c>
      <c r="X321" t="str">
        <f t="shared" si="95"/>
        <v>Green</v>
      </c>
      <c r="Y321" t="str">
        <f t="shared" si="96"/>
        <v>Green</v>
      </c>
      <c r="Z321" t="str">
        <f t="shared" si="97"/>
        <v>Green</v>
      </c>
      <c r="AA321" t="str">
        <f t="shared" si="98"/>
        <v>Red</v>
      </c>
      <c r="AB321" t="str">
        <f t="shared" si="99"/>
        <v>Red</v>
      </c>
      <c r="AC321" t="str">
        <f t="shared" si="100"/>
        <v>Green</v>
      </c>
      <c r="AD321" t="str">
        <f t="shared" si="101"/>
        <v>Red</v>
      </c>
    </row>
    <row r="322" spans="1:30" x14ac:dyDescent="0.25">
      <c r="A322" t="str">
        <f t="shared" si="82"/>
        <v>22/07/2026MontpellierCannes</v>
      </c>
      <c r="D322" s="2">
        <v>46225</v>
      </c>
      <c r="E322" s="3">
        <v>0.66666666666666663</v>
      </c>
      <c r="F322" t="s">
        <v>1725</v>
      </c>
      <c r="G322" t="s">
        <v>1726</v>
      </c>
      <c r="H322">
        <v>2</v>
      </c>
      <c r="I322">
        <v>2</v>
      </c>
      <c r="J322">
        <v>3</v>
      </c>
      <c r="K322">
        <v>4</v>
      </c>
      <c r="L322" s="22" t="str">
        <f t="shared" si="83"/>
        <v>22/07/2026</v>
      </c>
      <c r="M322" s="23">
        <f t="shared" si="84"/>
        <v>0.54166666666666663</v>
      </c>
      <c r="N322" t="str">
        <f t="shared" si="85"/>
        <v>3 - 4</v>
      </c>
      <c r="O322" t="str">
        <f t="shared" si="86"/>
        <v>Red</v>
      </c>
      <c r="P322" t="str">
        <f t="shared" si="87"/>
        <v>Red</v>
      </c>
      <c r="Q322" t="str">
        <f t="shared" si="88"/>
        <v>Green</v>
      </c>
      <c r="R322" t="str">
        <f t="shared" si="89"/>
        <v>Red</v>
      </c>
      <c r="S322" t="str">
        <f t="shared" si="90"/>
        <v>Green</v>
      </c>
      <c r="T322" t="str">
        <f t="shared" si="91"/>
        <v>Green</v>
      </c>
      <c r="U322" t="str">
        <f t="shared" si="92"/>
        <v>Red</v>
      </c>
      <c r="V322" t="str">
        <f t="shared" si="93"/>
        <v>Green</v>
      </c>
      <c r="W322" t="str">
        <f t="shared" si="94"/>
        <v>Red</v>
      </c>
      <c r="X322" t="str">
        <f t="shared" si="95"/>
        <v>Green</v>
      </c>
      <c r="Y322" t="str">
        <f t="shared" si="96"/>
        <v>Green</v>
      </c>
      <c r="Z322" t="str">
        <f t="shared" si="97"/>
        <v>Green</v>
      </c>
      <c r="AA322" t="str">
        <f t="shared" si="98"/>
        <v>Red</v>
      </c>
      <c r="AB322" t="str">
        <f t="shared" si="99"/>
        <v>Red</v>
      </c>
      <c r="AC322" t="str">
        <f t="shared" si="100"/>
        <v>Green</v>
      </c>
      <c r="AD322" t="str">
        <f t="shared" si="101"/>
        <v>Red</v>
      </c>
    </row>
    <row r="323" spans="1:30" x14ac:dyDescent="0.25">
      <c r="A323" t="str">
        <f t="shared" ref="A323:A386" si="102">L323&amp;F323&amp;G323</f>
        <v>22/07/2026MSV DuisburgKFCO Wilrijk</v>
      </c>
      <c r="D323" s="2">
        <v>46225</v>
      </c>
      <c r="E323" s="3">
        <v>0.66666666666666663</v>
      </c>
      <c r="F323" t="s">
        <v>1727</v>
      </c>
      <c r="G323" t="s">
        <v>1728</v>
      </c>
      <c r="H323">
        <v>1</v>
      </c>
      <c r="I323">
        <v>4</v>
      </c>
      <c r="J323">
        <v>2</v>
      </c>
      <c r="K323">
        <v>4</v>
      </c>
      <c r="L323" s="22" t="str">
        <f t="shared" ref="L323:L386" si="103">DAY(D323)&amp;"/"&amp;"07"&amp;"/"&amp;YEAR(D323)</f>
        <v>22/07/2026</v>
      </c>
      <c r="M323" s="23">
        <f t="shared" ref="M323:M386" si="104">E323-TIME(3,0,0)</f>
        <v>0.54166666666666663</v>
      </c>
      <c r="N323" t="str">
        <f t="shared" ref="N323:N386" si="105">J323&amp;" - "&amp;K323</f>
        <v>2 - 4</v>
      </c>
      <c r="O323" t="str">
        <f t="shared" ref="O323:O386" si="106">IF($J323&gt;$K323,"Green","Red")</f>
        <v>Red</v>
      </c>
      <c r="P323" t="str">
        <f t="shared" ref="P323:P386" si="107">IF($J323=$K323,"Green","Red")</f>
        <v>Red</v>
      </c>
      <c r="Q323" t="str">
        <f t="shared" ref="Q323:Q386" si="108">IF($J323&lt;$K323,"Green","Red")</f>
        <v>Green</v>
      </c>
      <c r="R323" t="str">
        <f t="shared" ref="R323:R386" si="109">IF($J323&gt;=$K323,"Green","Red")</f>
        <v>Red</v>
      </c>
      <c r="S323" t="str">
        <f t="shared" ref="S323:S386" si="110">IF($J323&lt;=$K323,"Green","Red")</f>
        <v>Green</v>
      </c>
      <c r="T323" t="str">
        <f t="shared" ref="T323:T386" si="111">IF(OR($J323&gt;$K323,$J323&lt;$K323),"Green","Red")</f>
        <v>Green</v>
      </c>
      <c r="U323" t="str">
        <f t="shared" ref="U323:U386" si="112">IF($H323&gt;$I323,"Green","Red")</f>
        <v>Red</v>
      </c>
      <c r="V323" t="str">
        <f t="shared" ref="V323:V386" si="113">IF($H323=$I323,"Green","Red")</f>
        <v>Red</v>
      </c>
      <c r="W323" t="str">
        <f t="shared" ref="W323:W386" si="114">IF($H323&lt;$I323,"Green","Red")</f>
        <v>Green</v>
      </c>
      <c r="X323" t="str">
        <f t="shared" ref="X323:X386" si="115">IF($H323+$I323&gt;0,"Green","Red")</f>
        <v>Green</v>
      </c>
      <c r="Y323" t="str">
        <f t="shared" ref="Y323:Y386" si="116">IF($J323+$K323&gt;1.5,"Green","Red")</f>
        <v>Green</v>
      </c>
      <c r="Z323" t="str">
        <f t="shared" ref="Z323:Z386" si="117">IF($J323+$K323&gt;2.5,"Green","Red")</f>
        <v>Green</v>
      </c>
      <c r="AA323" t="str">
        <f t="shared" ref="AA323:AA386" si="118">IF($J323+$K323&lt;2.5,"Green","Red")</f>
        <v>Red</v>
      </c>
      <c r="AB323" t="str">
        <f t="shared" ref="AB323:AB386" si="119">IF($J323+$K323&lt;3.5,"Green","Red")</f>
        <v>Red</v>
      </c>
      <c r="AC323" t="str">
        <f t="shared" ref="AC323:AC386" si="120">IF(AND($J323&gt;0,$K323&gt;0),"Green","Red")</f>
        <v>Green</v>
      </c>
      <c r="AD323" t="str">
        <f t="shared" ref="AD323:AD386" si="121">IF(OR($J323=0,$K323=0),"Green","Red")</f>
        <v>Red</v>
      </c>
    </row>
    <row r="324" spans="1:30" x14ac:dyDescent="0.25">
      <c r="A324" t="str">
        <f t="shared" si="102"/>
        <v>22/07/2026NapoliUS Arezzo</v>
      </c>
      <c r="D324" s="2">
        <v>46225</v>
      </c>
      <c r="E324" s="3">
        <v>0.66666666666666663</v>
      </c>
      <c r="F324" t="s">
        <v>1729</v>
      </c>
      <c r="G324" t="s">
        <v>1730</v>
      </c>
      <c r="H324">
        <v>0</v>
      </c>
      <c r="I324">
        <v>1</v>
      </c>
      <c r="J324">
        <v>1</v>
      </c>
      <c r="K324">
        <v>3</v>
      </c>
      <c r="L324" s="22" t="str">
        <f t="shared" si="103"/>
        <v>22/07/2026</v>
      </c>
      <c r="M324" s="23">
        <f t="shared" si="104"/>
        <v>0.54166666666666663</v>
      </c>
      <c r="N324" t="str">
        <f t="shared" si="105"/>
        <v>1 - 3</v>
      </c>
      <c r="O324" t="str">
        <f t="shared" si="106"/>
        <v>Red</v>
      </c>
      <c r="P324" t="str">
        <f t="shared" si="107"/>
        <v>Red</v>
      </c>
      <c r="Q324" t="str">
        <f t="shared" si="108"/>
        <v>Green</v>
      </c>
      <c r="R324" t="str">
        <f t="shared" si="109"/>
        <v>Red</v>
      </c>
      <c r="S324" t="str">
        <f t="shared" si="110"/>
        <v>Green</v>
      </c>
      <c r="T324" t="str">
        <f t="shared" si="111"/>
        <v>Green</v>
      </c>
      <c r="U324" t="str">
        <f t="shared" si="112"/>
        <v>Red</v>
      </c>
      <c r="V324" t="str">
        <f t="shared" si="113"/>
        <v>Red</v>
      </c>
      <c r="W324" t="str">
        <f t="shared" si="114"/>
        <v>Green</v>
      </c>
      <c r="X324" t="str">
        <f t="shared" si="115"/>
        <v>Green</v>
      </c>
      <c r="Y324" t="str">
        <f t="shared" si="116"/>
        <v>Green</v>
      </c>
      <c r="Z324" t="str">
        <f t="shared" si="117"/>
        <v>Green</v>
      </c>
      <c r="AA324" t="str">
        <f t="shared" si="118"/>
        <v>Red</v>
      </c>
      <c r="AB324" t="str">
        <f t="shared" si="119"/>
        <v>Red</v>
      </c>
      <c r="AC324" t="str">
        <f t="shared" si="120"/>
        <v>Green</v>
      </c>
      <c r="AD324" t="str">
        <f t="shared" si="121"/>
        <v>Red</v>
      </c>
    </row>
    <row r="325" spans="1:30" x14ac:dyDescent="0.25">
      <c r="A325" t="str">
        <f t="shared" si="102"/>
        <v>22/07/2026NK Hrvatski DragovoljacNK Dubrava Zagreb</v>
      </c>
      <c r="D325" s="2">
        <v>46225</v>
      </c>
      <c r="E325" s="3">
        <v>0.66666666666666663</v>
      </c>
      <c r="F325" t="s">
        <v>1731</v>
      </c>
      <c r="G325" t="s">
        <v>1732</v>
      </c>
      <c r="H325">
        <v>0</v>
      </c>
      <c r="I325">
        <v>0</v>
      </c>
      <c r="J325">
        <v>0</v>
      </c>
      <c r="K325">
        <v>0</v>
      </c>
      <c r="L325" s="22" t="str">
        <f t="shared" si="103"/>
        <v>22/07/2026</v>
      </c>
      <c r="M325" s="23">
        <f t="shared" si="104"/>
        <v>0.54166666666666663</v>
      </c>
      <c r="N325" t="str">
        <f t="shared" si="105"/>
        <v>0 - 0</v>
      </c>
      <c r="O325" t="str">
        <f t="shared" si="106"/>
        <v>Red</v>
      </c>
      <c r="P325" t="str">
        <f t="shared" si="107"/>
        <v>Green</v>
      </c>
      <c r="Q325" t="str">
        <f t="shared" si="108"/>
        <v>Red</v>
      </c>
      <c r="R325" t="str">
        <f t="shared" si="109"/>
        <v>Green</v>
      </c>
      <c r="S325" t="str">
        <f t="shared" si="110"/>
        <v>Green</v>
      </c>
      <c r="T325" t="str">
        <f t="shared" si="111"/>
        <v>Red</v>
      </c>
      <c r="U325" t="str">
        <f t="shared" si="112"/>
        <v>Red</v>
      </c>
      <c r="V325" t="str">
        <f t="shared" si="113"/>
        <v>Green</v>
      </c>
      <c r="W325" t="str">
        <f t="shared" si="114"/>
        <v>Red</v>
      </c>
      <c r="X325" t="str">
        <f t="shared" si="115"/>
        <v>Red</v>
      </c>
      <c r="Y325" t="str">
        <f t="shared" si="116"/>
        <v>Red</v>
      </c>
      <c r="Z325" t="str">
        <f t="shared" si="117"/>
        <v>Red</v>
      </c>
      <c r="AA325" t="str">
        <f t="shared" si="118"/>
        <v>Green</v>
      </c>
      <c r="AB325" t="str">
        <f t="shared" si="119"/>
        <v>Green</v>
      </c>
      <c r="AC325" t="str">
        <f t="shared" si="120"/>
        <v>Red</v>
      </c>
      <c r="AD325" t="str">
        <f t="shared" si="121"/>
        <v>Green</v>
      </c>
    </row>
    <row r="326" spans="1:30" x14ac:dyDescent="0.25">
      <c r="A326" t="str">
        <f t="shared" si="102"/>
        <v>22/07/2026OFK Brzi BrodFK Dubocica</v>
      </c>
      <c r="D326" s="2">
        <v>46225</v>
      </c>
      <c r="E326" s="3">
        <v>0.66666666666666663</v>
      </c>
      <c r="F326" t="s">
        <v>1733</v>
      </c>
      <c r="G326" t="s">
        <v>1734</v>
      </c>
      <c r="H326">
        <v>0</v>
      </c>
      <c r="I326">
        <v>2</v>
      </c>
      <c r="J326">
        <v>1</v>
      </c>
      <c r="K326">
        <v>2</v>
      </c>
      <c r="L326" s="22" t="str">
        <f t="shared" si="103"/>
        <v>22/07/2026</v>
      </c>
      <c r="M326" s="23">
        <f t="shared" si="104"/>
        <v>0.54166666666666663</v>
      </c>
      <c r="N326" t="str">
        <f t="shared" si="105"/>
        <v>1 - 2</v>
      </c>
      <c r="O326" t="str">
        <f t="shared" si="106"/>
        <v>Red</v>
      </c>
      <c r="P326" t="str">
        <f t="shared" si="107"/>
        <v>Red</v>
      </c>
      <c r="Q326" t="str">
        <f t="shared" si="108"/>
        <v>Green</v>
      </c>
      <c r="R326" t="str">
        <f t="shared" si="109"/>
        <v>Red</v>
      </c>
      <c r="S326" t="str">
        <f t="shared" si="110"/>
        <v>Green</v>
      </c>
      <c r="T326" t="str">
        <f t="shared" si="111"/>
        <v>Green</v>
      </c>
      <c r="U326" t="str">
        <f t="shared" si="112"/>
        <v>Red</v>
      </c>
      <c r="V326" t="str">
        <f t="shared" si="113"/>
        <v>Red</v>
      </c>
      <c r="W326" t="str">
        <f t="shared" si="114"/>
        <v>Green</v>
      </c>
      <c r="X326" t="str">
        <f t="shared" si="115"/>
        <v>Green</v>
      </c>
      <c r="Y326" t="str">
        <f t="shared" si="116"/>
        <v>Green</v>
      </c>
      <c r="Z326" t="str">
        <f t="shared" si="117"/>
        <v>Green</v>
      </c>
      <c r="AA326" t="str">
        <f t="shared" si="118"/>
        <v>Red</v>
      </c>
      <c r="AB326" t="str">
        <f t="shared" si="119"/>
        <v>Green</v>
      </c>
      <c r="AC326" t="str">
        <f t="shared" si="120"/>
        <v>Green</v>
      </c>
      <c r="AD326" t="str">
        <f t="shared" si="121"/>
        <v>Red</v>
      </c>
    </row>
    <row r="327" spans="1:30" x14ac:dyDescent="0.25">
      <c r="A327" t="str">
        <f t="shared" si="102"/>
        <v>22/07/2026RAAL La LouviereKifisias FC</v>
      </c>
      <c r="D327" s="2">
        <v>46225</v>
      </c>
      <c r="E327" s="3">
        <v>0.66666666666666663</v>
      </c>
      <c r="F327" t="s">
        <v>1735</v>
      </c>
      <c r="G327" t="s">
        <v>1736</v>
      </c>
      <c r="H327">
        <v>0</v>
      </c>
      <c r="I327">
        <v>1</v>
      </c>
      <c r="J327">
        <v>1</v>
      </c>
      <c r="K327">
        <v>1</v>
      </c>
      <c r="L327" s="22" t="str">
        <f t="shared" si="103"/>
        <v>22/07/2026</v>
      </c>
      <c r="M327" s="23">
        <f t="shared" si="104"/>
        <v>0.54166666666666663</v>
      </c>
      <c r="N327" t="str">
        <f t="shared" si="105"/>
        <v>1 - 1</v>
      </c>
      <c r="O327" t="str">
        <f t="shared" si="106"/>
        <v>Red</v>
      </c>
      <c r="P327" t="str">
        <f t="shared" si="107"/>
        <v>Green</v>
      </c>
      <c r="Q327" t="str">
        <f t="shared" si="108"/>
        <v>Red</v>
      </c>
      <c r="R327" t="str">
        <f t="shared" si="109"/>
        <v>Green</v>
      </c>
      <c r="S327" t="str">
        <f t="shared" si="110"/>
        <v>Green</v>
      </c>
      <c r="T327" t="str">
        <f t="shared" si="111"/>
        <v>Red</v>
      </c>
      <c r="U327" t="str">
        <f t="shared" si="112"/>
        <v>Red</v>
      </c>
      <c r="V327" t="str">
        <f t="shared" si="113"/>
        <v>Red</v>
      </c>
      <c r="W327" t="str">
        <f t="shared" si="114"/>
        <v>Green</v>
      </c>
      <c r="X327" t="str">
        <f t="shared" si="115"/>
        <v>Green</v>
      </c>
      <c r="Y327" t="str">
        <f t="shared" si="116"/>
        <v>Green</v>
      </c>
      <c r="Z327" t="str">
        <f t="shared" si="117"/>
        <v>Red</v>
      </c>
      <c r="AA327" t="str">
        <f t="shared" si="118"/>
        <v>Green</v>
      </c>
      <c r="AB327" t="str">
        <f t="shared" si="119"/>
        <v>Green</v>
      </c>
      <c r="AC327" t="str">
        <f t="shared" si="120"/>
        <v>Green</v>
      </c>
      <c r="AD327" t="str">
        <f t="shared" si="121"/>
        <v>Red</v>
      </c>
    </row>
    <row r="328" spans="1:30" x14ac:dyDescent="0.25">
      <c r="A328" t="str">
        <f t="shared" si="102"/>
        <v>22/07/2026RFC LiegeSint Truiden</v>
      </c>
      <c r="D328" s="2">
        <v>46225</v>
      </c>
      <c r="E328" s="3">
        <v>0.66666666666666663</v>
      </c>
      <c r="F328" t="s">
        <v>1737</v>
      </c>
      <c r="G328" t="s">
        <v>1738</v>
      </c>
      <c r="H328">
        <v>0</v>
      </c>
      <c r="I328">
        <v>0</v>
      </c>
      <c r="J328">
        <v>0</v>
      </c>
      <c r="K328">
        <v>1</v>
      </c>
      <c r="L328" s="22" t="str">
        <f t="shared" si="103"/>
        <v>22/07/2026</v>
      </c>
      <c r="M328" s="23">
        <f t="shared" si="104"/>
        <v>0.54166666666666663</v>
      </c>
      <c r="N328" t="str">
        <f t="shared" si="105"/>
        <v>0 - 1</v>
      </c>
      <c r="O328" t="str">
        <f t="shared" si="106"/>
        <v>Red</v>
      </c>
      <c r="P328" t="str">
        <f t="shared" si="107"/>
        <v>Red</v>
      </c>
      <c r="Q328" t="str">
        <f t="shared" si="108"/>
        <v>Green</v>
      </c>
      <c r="R328" t="str">
        <f t="shared" si="109"/>
        <v>Red</v>
      </c>
      <c r="S328" t="str">
        <f t="shared" si="110"/>
        <v>Green</v>
      </c>
      <c r="T328" t="str">
        <f t="shared" si="111"/>
        <v>Green</v>
      </c>
      <c r="U328" t="str">
        <f t="shared" si="112"/>
        <v>Red</v>
      </c>
      <c r="V328" t="str">
        <f t="shared" si="113"/>
        <v>Green</v>
      </c>
      <c r="W328" t="str">
        <f t="shared" si="114"/>
        <v>Red</v>
      </c>
      <c r="X328" t="str">
        <f t="shared" si="115"/>
        <v>Red</v>
      </c>
      <c r="Y328" t="str">
        <f t="shared" si="116"/>
        <v>Red</v>
      </c>
      <c r="Z328" t="str">
        <f t="shared" si="117"/>
        <v>Red</v>
      </c>
      <c r="AA328" t="str">
        <f t="shared" si="118"/>
        <v>Green</v>
      </c>
      <c r="AB328" t="str">
        <f t="shared" si="119"/>
        <v>Green</v>
      </c>
      <c r="AC328" t="str">
        <f t="shared" si="120"/>
        <v>Red</v>
      </c>
      <c r="AD328" t="str">
        <f t="shared" si="121"/>
        <v>Green</v>
      </c>
    </row>
    <row r="329" spans="1:30" x14ac:dyDescent="0.25">
      <c r="A329" t="str">
        <f t="shared" si="102"/>
        <v>22/07/2026Rodez AveyronNimes</v>
      </c>
      <c r="D329" s="2">
        <v>46225</v>
      </c>
      <c r="E329" s="3">
        <v>0.66666666666666663</v>
      </c>
      <c r="F329" t="s">
        <v>1739</v>
      </c>
      <c r="G329" t="s">
        <v>1740</v>
      </c>
      <c r="H329">
        <v>2</v>
      </c>
      <c r="I329">
        <v>1</v>
      </c>
      <c r="J329">
        <v>2</v>
      </c>
      <c r="K329">
        <v>1</v>
      </c>
      <c r="L329" s="22" t="str">
        <f t="shared" si="103"/>
        <v>22/07/2026</v>
      </c>
      <c r="M329" s="23">
        <f t="shared" si="104"/>
        <v>0.54166666666666663</v>
      </c>
      <c r="N329" t="str">
        <f t="shared" si="105"/>
        <v>2 - 1</v>
      </c>
      <c r="O329" t="str">
        <f t="shared" si="106"/>
        <v>Green</v>
      </c>
      <c r="P329" t="str">
        <f t="shared" si="107"/>
        <v>Red</v>
      </c>
      <c r="Q329" t="str">
        <f t="shared" si="108"/>
        <v>Red</v>
      </c>
      <c r="R329" t="str">
        <f t="shared" si="109"/>
        <v>Green</v>
      </c>
      <c r="S329" t="str">
        <f t="shared" si="110"/>
        <v>Red</v>
      </c>
      <c r="T329" t="str">
        <f t="shared" si="111"/>
        <v>Green</v>
      </c>
      <c r="U329" t="str">
        <f t="shared" si="112"/>
        <v>Green</v>
      </c>
      <c r="V329" t="str">
        <f t="shared" si="113"/>
        <v>Red</v>
      </c>
      <c r="W329" t="str">
        <f t="shared" si="114"/>
        <v>Red</v>
      </c>
      <c r="X329" t="str">
        <f t="shared" si="115"/>
        <v>Green</v>
      </c>
      <c r="Y329" t="str">
        <f t="shared" si="116"/>
        <v>Green</v>
      </c>
      <c r="Z329" t="str">
        <f t="shared" si="117"/>
        <v>Green</v>
      </c>
      <c r="AA329" t="str">
        <f t="shared" si="118"/>
        <v>Red</v>
      </c>
      <c r="AB329" t="str">
        <f t="shared" si="119"/>
        <v>Green</v>
      </c>
      <c r="AC329" t="str">
        <f t="shared" si="120"/>
        <v>Green</v>
      </c>
      <c r="AD329" t="str">
        <f t="shared" si="121"/>
        <v>Red</v>
      </c>
    </row>
    <row r="330" spans="1:30" x14ac:dyDescent="0.25">
      <c r="A330" t="str">
        <f t="shared" si="102"/>
        <v>22/07/2026Slovan RosiceSparta Brno</v>
      </c>
      <c r="D330" s="2">
        <v>46225</v>
      </c>
      <c r="E330" s="3">
        <v>0.66666666666666663</v>
      </c>
      <c r="F330" t="s">
        <v>1741</v>
      </c>
      <c r="G330" t="s">
        <v>1742</v>
      </c>
      <c r="H330">
        <v>0</v>
      </c>
      <c r="I330">
        <v>2</v>
      </c>
      <c r="J330">
        <v>0</v>
      </c>
      <c r="K330">
        <v>9</v>
      </c>
      <c r="L330" s="22" t="str">
        <f t="shared" si="103"/>
        <v>22/07/2026</v>
      </c>
      <c r="M330" s="23">
        <f t="shared" si="104"/>
        <v>0.54166666666666663</v>
      </c>
      <c r="N330" t="str">
        <f t="shared" si="105"/>
        <v>0 - 9</v>
      </c>
      <c r="O330" t="str">
        <f t="shared" si="106"/>
        <v>Red</v>
      </c>
      <c r="P330" t="str">
        <f t="shared" si="107"/>
        <v>Red</v>
      </c>
      <c r="Q330" t="str">
        <f t="shared" si="108"/>
        <v>Green</v>
      </c>
      <c r="R330" t="str">
        <f t="shared" si="109"/>
        <v>Red</v>
      </c>
      <c r="S330" t="str">
        <f t="shared" si="110"/>
        <v>Green</v>
      </c>
      <c r="T330" t="str">
        <f t="shared" si="111"/>
        <v>Green</v>
      </c>
      <c r="U330" t="str">
        <f t="shared" si="112"/>
        <v>Red</v>
      </c>
      <c r="V330" t="str">
        <f t="shared" si="113"/>
        <v>Red</v>
      </c>
      <c r="W330" t="str">
        <f t="shared" si="114"/>
        <v>Green</v>
      </c>
      <c r="X330" t="str">
        <f t="shared" si="115"/>
        <v>Green</v>
      </c>
      <c r="Y330" t="str">
        <f t="shared" si="116"/>
        <v>Green</v>
      </c>
      <c r="Z330" t="str">
        <f t="shared" si="117"/>
        <v>Green</v>
      </c>
      <c r="AA330" t="str">
        <f t="shared" si="118"/>
        <v>Red</v>
      </c>
      <c r="AB330" t="str">
        <f t="shared" si="119"/>
        <v>Red</v>
      </c>
      <c r="AC330" t="str">
        <f t="shared" si="120"/>
        <v>Red</v>
      </c>
      <c r="AD330" t="str">
        <f t="shared" si="121"/>
        <v>Green</v>
      </c>
    </row>
    <row r="331" spans="1:30" x14ac:dyDescent="0.25">
      <c r="A331" t="str">
        <f t="shared" si="102"/>
        <v>22/07/2026TottenhamMK Dons</v>
      </c>
      <c r="D331" s="2">
        <v>46225</v>
      </c>
      <c r="E331" s="3">
        <v>0.66666666666666663</v>
      </c>
      <c r="F331" t="s">
        <v>1743</v>
      </c>
      <c r="G331" t="s">
        <v>1744</v>
      </c>
      <c r="H331">
        <v>1</v>
      </c>
      <c r="I331">
        <v>0</v>
      </c>
      <c r="J331">
        <v>1</v>
      </c>
      <c r="K331">
        <v>0</v>
      </c>
      <c r="L331" s="22" t="str">
        <f t="shared" si="103"/>
        <v>22/07/2026</v>
      </c>
      <c r="M331" s="23">
        <f t="shared" si="104"/>
        <v>0.54166666666666663</v>
      </c>
      <c r="N331" t="str">
        <f t="shared" si="105"/>
        <v>1 - 0</v>
      </c>
      <c r="O331" t="str">
        <f t="shared" si="106"/>
        <v>Green</v>
      </c>
      <c r="P331" t="str">
        <f t="shared" si="107"/>
        <v>Red</v>
      </c>
      <c r="Q331" t="str">
        <f t="shared" si="108"/>
        <v>Red</v>
      </c>
      <c r="R331" t="str">
        <f t="shared" si="109"/>
        <v>Green</v>
      </c>
      <c r="S331" t="str">
        <f t="shared" si="110"/>
        <v>Red</v>
      </c>
      <c r="T331" t="str">
        <f t="shared" si="111"/>
        <v>Green</v>
      </c>
      <c r="U331" t="str">
        <f t="shared" si="112"/>
        <v>Green</v>
      </c>
      <c r="V331" t="str">
        <f t="shared" si="113"/>
        <v>Red</v>
      </c>
      <c r="W331" t="str">
        <f t="shared" si="114"/>
        <v>Red</v>
      </c>
      <c r="X331" t="str">
        <f t="shared" si="115"/>
        <v>Green</v>
      </c>
      <c r="Y331" t="str">
        <f t="shared" si="116"/>
        <v>Red</v>
      </c>
      <c r="Z331" t="str">
        <f t="shared" si="117"/>
        <v>Red</v>
      </c>
      <c r="AA331" t="str">
        <f t="shared" si="118"/>
        <v>Green</v>
      </c>
      <c r="AB331" t="str">
        <f t="shared" si="119"/>
        <v>Green</v>
      </c>
      <c r="AC331" t="str">
        <f t="shared" si="120"/>
        <v>Red</v>
      </c>
      <c r="AD331" t="str">
        <f t="shared" si="121"/>
        <v>Green</v>
      </c>
    </row>
    <row r="332" spans="1:30" x14ac:dyDescent="0.25">
      <c r="A332" t="str">
        <f t="shared" si="102"/>
        <v>22/07/2026VfL Halle 96TSV Lehnerz</v>
      </c>
      <c r="D332" s="2">
        <v>46225</v>
      </c>
      <c r="E332" s="3">
        <v>0.66666666666666663</v>
      </c>
      <c r="F332" t="s">
        <v>1745</v>
      </c>
      <c r="G332" t="s">
        <v>1746</v>
      </c>
      <c r="H332">
        <v>1</v>
      </c>
      <c r="I332">
        <v>0</v>
      </c>
      <c r="J332">
        <v>2</v>
      </c>
      <c r="K332">
        <v>1</v>
      </c>
      <c r="L332" s="22" t="str">
        <f t="shared" si="103"/>
        <v>22/07/2026</v>
      </c>
      <c r="M332" s="23">
        <f t="shared" si="104"/>
        <v>0.54166666666666663</v>
      </c>
      <c r="N332" t="str">
        <f t="shared" si="105"/>
        <v>2 - 1</v>
      </c>
      <c r="O332" t="str">
        <f t="shared" si="106"/>
        <v>Green</v>
      </c>
      <c r="P332" t="str">
        <f t="shared" si="107"/>
        <v>Red</v>
      </c>
      <c r="Q332" t="str">
        <f t="shared" si="108"/>
        <v>Red</v>
      </c>
      <c r="R332" t="str">
        <f t="shared" si="109"/>
        <v>Green</v>
      </c>
      <c r="S332" t="str">
        <f t="shared" si="110"/>
        <v>Red</v>
      </c>
      <c r="T332" t="str">
        <f t="shared" si="111"/>
        <v>Green</v>
      </c>
      <c r="U332" t="str">
        <f t="shared" si="112"/>
        <v>Green</v>
      </c>
      <c r="V332" t="str">
        <f t="shared" si="113"/>
        <v>Red</v>
      </c>
      <c r="W332" t="str">
        <f t="shared" si="114"/>
        <v>Red</v>
      </c>
      <c r="X332" t="str">
        <f t="shared" si="115"/>
        <v>Green</v>
      </c>
      <c r="Y332" t="str">
        <f t="shared" si="116"/>
        <v>Green</v>
      </c>
      <c r="Z332" t="str">
        <f t="shared" si="117"/>
        <v>Green</v>
      </c>
      <c r="AA332" t="str">
        <f t="shared" si="118"/>
        <v>Red</v>
      </c>
      <c r="AB332" t="str">
        <f t="shared" si="119"/>
        <v>Green</v>
      </c>
      <c r="AC332" t="str">
        <f t="shared" si="120"/>
        <v>Green</v>
      </c>
      <c r="AD332" t="str">
        <f t="shared" si="121"/>
        <v>Red</v>
      </c>
    </row>
    <row r="333" spans="1:30" x14ac:dyDescent="0.25">
      <c r="A333" t="str">
        <f t="shared" si="102"/>
        <v>22/07/2026ArukulaRaasiku FC Joker</v>
      </c>
      <c r="D333" s="2">
        <v>46225</v>
      </c>
      <c r="E333" s="3">
        <v>0.6875</v>
      </c>
      <c r="F333" t="s">
        <v>1747</v>
      </c>
      <c r="G333" t="s">
        <v>1748</v>
      </c>
      <c r="H333">
        <v>0</v>
      </c>
      <c r="I333">
        <v>0</v>
      </c>
      <c r="J333">
        <v>0</v>
      </c>
      <c r="K333">
        <v>1</v>
      </c>
      <c r="L333" s="22" t="str">
        <f t="shared" si="103"/>
        <v>22/07/2026</v>
      </c>
      <c r="M333" s="23">
        <f t="shared" si="104"/>
        <v>0.5625</v>
      </c>
      <c r="N333" t="str">
        <f t="shared" si="105"/>
        <v>0 - 1</v>
      </c>
      <c r="O333" t="str">
        <f t="shared" si="106"/>
        <v>Red</v>
      </c>
      <c r="P333" t="str">
        <f t="shared" si="107"/>
        <v>Red</v>
      </c>
      <c r="Q333" t="str">
        <f t="shared" si="108"/>
        <v>Green</v>
      </c>
      <c r="R333" t="str">
        <f t="shared" si="109"/>
        <v>Red</v>
      </c>
      <c r="S333" t="str">
        <f t="shared" si="110"/>
        <v>Green</v>
      </c>
      <c r="T333" t="str">
        <f t="shared" si="111"/>
        <v>Green</v>
      </c>
      <c r="U333" t="str">
        <f t="shared" si="112"/>
        <v>Red</v>
      </c>
      <c r="V333" t="str">
        <f t="shared" si="113"/>
        <v>Green</v>
      </c>
      <c r="W333" t="str">
        <f t="shared" si="114"/>
        <v>Red</v>
      </c>
      <c r="X333" t="str">
        <f t="shared" si="115"/>
        <v>Red</v>
      </c>
      <c r="Y333" t="str">
        <f t="shared" si="116"/>
        <v>Red</v>
      </c>
      <c r="Z333" t="str">
        <f t="shared" si="117"/>
        <v>Red</v>
      </c>
      <c r="AA333" t="str">
        <f t="shared" si="118"/>
        <v>Green</v>
      </c>
      <c r="AB333" t="str">
        <f t="shared" si="119"/>
        <v>Green</v>
      </c>
      <c r="AC333" t="str">
        <f t="shared" si="120"/>
        <v>Red</v>
      </c>
      <c r="AD333" t="str">
        <f t="shared" si="121"/>
        <v>Green</v>
      </c>
    </row>
    <row r="334" spans="1:30" x14ac:dyDescent="0.25">
      <c r="A334" t="str">
        <f t="shared" si="102"/>
        <v>22/07/2026Jippo IIYllatys</v>
      </c>
      <c r="D334" s="2">
        <v>46225</v>
      </c>
      <c r="E334" s="3">
        <v>0.6875</v>
      </c>
      <c r="F334" t="s">
        <v>1749</v>
      </c>
      <c r="G334" t="s">
        <v>1750</v>
      </c>
      <c r="H334">
        <v>0</v>
      </c>
      <c r="I334">
        <v>0</v>
      </c>
      <c r="J334">
        <v>3</v>
      </c>
      <c r="K334">
        <v>1</v>
      </c>
      <c r="L334" s="22" t="str">
        <f t="shared" si="103"/>
        <v>22/07/2026</v>
      </c>
      <c r="M334" s="23">
        <f t="shared" si="104"/>
        <v>0.5625</v>
      </c>
      <c r="N334" t="str">
        <f t="shared" si="105"/>
        <v>3 - 1</v>
      </c>
      <c r="O334" t="str">
        <f t="shared" si="106"/>
        <v>Green</v>
      </c>
      <c r="P334" t="str">
        <f t="shared" si="107"/>
        <v>Red</v>
      </c>
      <c r="Q334" t="str">
        <f t="shared" si="108"/>
        <v>Red</v>
      </c>
      <c r="R334" t="str">
        <f t="shared" si="109"/>
        <v>Green</v>
      </c>
      <c r="S334" t="str">
        <f t="shared" si="110"/>
        <v>Red</v>
      </c>
      <c r="T334" t="str">
        <f t="shared" si="111"/>
        <v>Green</v>
      </c>
      <c r="U334" t="str">
        <f t="shared" si="112"/>
        <v>Red</v>
      </c>
      <c r="V334" t="str">
        <f t="shared" si="113"/>
        <v>Green</v>
      </c>
      <c r="W334" t="str">
        <f t="shared" si="114"/>
        <v>Red</v>
      </c>
      <c r="X334" t="str">
        <f t="shared" si="115"/>
        <v>Red</v>
      </c>
      <c r="Y334" t="str">
        <f t="shared" si="116"/>
        <v>Green</v>
      </c>
      <c r="Z334" t="str">
        <f t="shared" si="117"/>
        <v>Green</v>
      </c>
      <c r="AA334" t="str">
        <f t="shared" si="118"/>
        <v>Red</v>
      </c>
      <c r="AB334" t="str">
        <f t="shared" si="119"/>
        <v>Red</v>
      </c>
      <c r="AC334" t="str">
        <f t="shared" si="120"/>
        <v>Green</v>
      </c>
      <c r="AD334" t="str">
        <f t="shared" si="121"/>
        <v>Red</v>
      </c>
    </row>
    <row r="335" spans="1:30" x14ac:dyDescent="0.25">
      <c r="A335" t="str">
        <f t="shared" si="102"/>
        <v>22/07/2026AZ AlkmaarGenk</v>
      </c>
      <c r="D335" s="2">
        <v>46225</v>
      </c>
      <c r="E335" s="3">
        <v>0.6875</v>
      </c>
      <c r="F335" t="s">
        <v>1751</v>
      </c>
      <c r="G335" t="s">
        <v>1752</v>
      </c>
      <c r="H335">
        <v>2</v>
      </c>
      <c r="I335">
        <v>0</v>
      </c>
      <c r="J335">
        <v>4</v>
      </c>
      <c r="K335">
        <v>0</v>
      </c>
      <c r="L335" s="22" t="str">
        <f t="shared" si="103"/>
        <v>22/07/2026</v>
      </c>
      <c r="M335" s="23">
        <f t="shared" si="104"/>
        <v>0.5625</v>
      </c>
      <c r="N335" t="str">
        <f t="shared" si="105"/>
        <v>4 - 0</v>
      </c>
      <c r="O335" t="str">
        <f t="shared" si="106"/>
        <v>Green</v>
      </c>
      <c r="P335" t="str">
        <f t="shared" si="107"/>
        <v>Red</v>
      </c>
      <c r="Q335" t="str">
        <f t="shared" si="108"/>
        <v>Red</v>
      </c>
      <c r="R335" t="str">
        <f t="shared" si="109"/>
        <v>Green</v>
      </c>
      <c r="S335" t="str">
        <f t="shared" si="110"/>
        <v>Red</v>
      </c>
      <c r="T335" t="str">
        <f t="shared" si="111"/>
        <v>Green</v>
      </c>
      <c r="U335" t="str">
        <f t="shared" si="112"/>
        <v>Green</v>
      </c>
      <c r="V335" t="str">
        <f t="shared" si="113"/>
        <v>Red</v>
      </c>
      <c r="W335" t="str">
        <f t="shared" si="114"/>
        <v>Red</v>
      </c>
      <c r="X335" t="str">
        <f t="shared" si="115"/>
        <v>Green</v>
      </c>
      <c r="Y335" t="str">
        <f t="shared" si="116"/>
        <v>Green</v>
      </c>
      <c r="Z335" t="str">
        <f t="shared" si="117"/>
        <v>Green</v>
      </c>
      <c r="AA335" t="str">
        <f t="shared" si="118"/>
        <v>Red</v>
      </c>
      <c r="AB335" t="str">
        <f t="shared" si="119"/>
        <v>Red</v>
      </c>
      <c r="AC335" t="str">
        <f t="shared" si="120"/>
        <v>Red</v>
      </c>
      <c r="AD335" t="str">
        <f t="shared" si="121"/>
        <v>Green</v>
      </c>
    </row>
    <row r="336" spans="1:30" x14ac:dyDescent="0.25">
      <c r="A336" t="str">
        <f t="shared" si="102"/>
        <v>22/07/2026Bronshoj BKAvarta</v>
      </c>
      <c r="D336" s="2">
        <v>46225</v>
      </c>
      <c r="E336" s="3">
        <v>0.6875</v>
      </c>
      <c r="F336" t="s">
        <v>1753</v>
      </c>
      <c r="G336" t="s">
        <v>1754</v>
      </c>
      <c r="H336">
        <v>0</v>
      </c>
      <c r="I336">
        <v>0</v>
      </c>
      <c r="J336">
        <v>1</v>
      </c>
      <c r="K336">
        <v>0</v>
      </c>
      <c r="L336" s="22" t="str">
        <f t="shared" si="103"/>
        <v>22/07/2026</v>
      </c>
      <c r="M336" s="23">
        <f t="shared" si="104"/>
        <v>0.5625</v>
      </c>
      <c r="N336" t="str">
        <f t="shared" si="105"/>
        <v>1 - 0</v>
      </c>
      <c r="O336" t="str">
        <f t="shared" si="106"/>
        <v>Green</v>
      </c>
      <c r="P336" t="str">
        <f t="shared" si="107"/>
        <v>Red</v>
      </c>
      <c r="Q336" t="str">
        <f t="shared" si="108"/>
        <v>Red</v>
      </c>
      <c r="R336" t="str">
        <f t="shared" si="109"/>
        <v>Green</v>
      </c>
      <c r="S336" t="str">
        <f t="shared" si="110"/>
        <v>Red</v>
      </c>
      <c r="T336" t="str">
        <f t="shared" si="111"/>
        <v>Green</v>
      </c>
      <c r="U336" t="str">
        <f t="shared" si="112"/>
        <v>Red</v>
      </c>
      <c r="V336" t="str">
        <f t="shared" si="113"/>
        <v>Green</v>
      </c>
      <c r="W336" t="str">
        <f t="shared" si="114"/>
        <v>Red</v>
      </c>
      <c r="X336" t="str">
        <f t="shared" si="115"/>
        <v>Red</v>
      </c>
      <c r="Y336" t="str">
        <f t="shared" si="116"/>
        <v>Red</v>
      </c>
      <c r="Z336" t="str">
        <f t="shared" si="117"/>
        <v>Red</v>
      </c>
      <c r="AA336" t="str">
        <f t="shared" si="118"/>
        <v>Green</v>
      </c>
      <c r="AB336" t="str">
        <f t="shared" si="119"/>
        <v>Green</v>
      </c>
      <c r="AC336" t="str">
        <f t="shared" si="120"/>
        <v>Red</v>
      </c>
      <c r="AD336" t="str">
        <f t="shared" si="121"/>
        <v>Green</v>
      </c>
    </row>
    <row r="337" spans="1:30" x14ac:dyDescent="0.25">
      <c r="A337" t="str">
        <f t="shared" si="102"/>
        <v>22/07/2026NK KarlovacNK Opatija</v>
      </c>
      <c r="D337" s="2">
        <v>46225</v>
      </c>
      <c r="E337" s="3">
        <v>0.6875</v>
      </c>
      <c r="F337" t="s">
        <v>1755</v>
      </c>
      <c r="G337" t="s">
        <v>1756</v>
      </c>
      <c r="H337">
        <v>0</v>
      </c>
      <c r="I337">
        <v>1</v>
      </c>
      <c r="J337">
        <v>0</v>
      </c>
      <c r="K337">
        <v>1</v>
      </c>
      <c r="L337" s="22" t="str">
        <f t="shared" si="103"/>
        <v>22/07/2026</v>
      </c>
      <c r="M337" s="23">
        <f t="shared" si="104"/>
        <v>0.5625</v>
      </c>
      <c r="N337" t="str">
        <f t="shared" si="105"/>
        <v>0 - 1</v>
      </c>
      <c r="O337" t="str">
        <f t="shared" si="106"/>
        <v>Red</v>
      </c>
      <c r="P337" t="str">
        <f t="shared" si="107"/>
        <v>Red</v>
      </c>
      <c r="Q337" t="str">
        <f t="shared" si="108"/>
        <v>Green</v>
      </c>
      <c r="R337" t="str">
        <f t="shared" si="109"/>
        <v>Red</v>
      </c>
      <c r="S337" t="str">
        <f t="shared" si="110"/>
        <v>Green</v>
      </c>
      <c r="T337" t="str">
        <f t="shared" si="111"/>
        <v>Green</v>
      </c>
      <c r="U337" t="str">
        <f t="shared" si="112"/>
        <v>Red</v>
      </c>
      <c r="V337" t="str">
        <f t="shared" si="113"/>
        <v>Red</v>
      </c>
      <c r="W337" t="str">
        <f t="shared" si="114"/>
        <v>Green</v>
      </c>
      <c r="X337" t="str">
        <f t="shared" si="115"/>
        <v>Green</v>
      </c>
      <c r="Y337" t="str">
        <f t="shared" si="116"/>
        <v>Red</v>
      </c>
      <c r="Z337" t="str">
        <f t="shared" si="117"/>
        <v>Red</v>
      </c>
      <c r="AA337" t="str">
        <f t="shared" si="118"/>
        <v>Green</v>
      </c>
      <c r="AB337" t="str">
        <f t="shared" si="119"/>
        <v>Green</v>
      </c>
      <c r="AC337" t="str">
        <f t="shared" si="120"/>
        <v>Red</v>
      </c>
      <c r="AD337" t="str">
        <f t="shared" si="121"/>
        <v>Green</v>
      </c>
    </row>
    <row r="338" spans="1:30" x14ac:dyDescent="0.25">
      <c r="A338" t="str">
        <f t="shared" si="102"/>
        <v>22/07/2026NK PrimorjeNK Uljanik</v>
      </c>
      <c r="D338" s="2">
        <v>46225</v>
      </c>
      <c r="E338" s="3">
        <v>0.6875</v>
      </c>
      <c r="F338" t="s">
        <v>1757</v>
      </c>
      <c r="G338" t="s">
        <v>1758</v>
      </c>
      <c r="H338">
        <v>0</v>
      </c>
      <c r="I338">
        <v>0</v>
      </c>
      <c r="J338">
        <v>0</v>
      </c>
      <c r="K338">
        <v>0</v>
      </c>
      <c r="L338" s="22" t="str">
        <f t="shared" si="103"/>
        <v>22/07/2026</v>
      </c>
      <c r="M338" s="23">
        <f t="shared" si="104"/>
        <v>0.5625</v>
      </c>
      <c r="N338" t="str">
        <f t="shared" si="105"/>
        <v>0 - 0</v>
      </c>
      <c r="O338" t="str">
        <f t="shared" si="106"/>
        <v>Red</v>
      </c>
      <c r="P338" t="str">
        <f t="shared" si="107"/>
        <v>Green</v>
      </c>
      <c r="Q338" t="str">
        <f t="shared" si="108"/>
        <v>Red</v>
      </c>
      <c r="R338" t="str">
        <f t="shared" si="109"/>
        <v>Green</v>
      </c>
      <c r="S338" t="str">
        <f t="shared" si="110"/>
        <v>Green</v>
      </c>
      <c r="T338" t="str">
        <f t="shared" si="111"/>
        <v>Red</v>
      </c>
      <c r="U338" t="str">
        <f t="shared" si="112"/>
        <v>Red</v>
      </c>
      <c r="V338" t="str">
        <f t="shared" si="113"/>
        <v>Green</v>
      </c>
      <c r="W338" t="str">
        <f t="shared" si="114"/>
        <v>Red</v>
      </c>
      <c r="X338" t="str">
        <f t="shared" si="115"/>
        <v>Red</v>
      </c>
      <c r="Y338" t="str">
        <f t="shared" si="116"/>
        <v>Red</v>
      </c>
      <c r="Z338" t="str">
        <f t="shared" si="117"/>
        <v>Red</v>
      </c>
      <c r="AA338" t="str">
        <f t="shared" si="118"/>
        <v>Green</v>
      </c>
      <c r="AB338" t="str">
        <f t="shared" si="119"/>
        <v>Green</v>
      </c>
      <c r="AC338" t="str">
        <f t="shared" si="120"/>
        <v>Red</v>
      </c>
      <c r="AD338" t="str">
        <f t="shared" si="121"/>
        <v>Green</v>
      </c>
    </row>
    <row r="339" spans="1:30" x14ac:dyDescent="0.25">
      <c r="A339" t="str">
        <f t="shared" si="102"/>
        <v>22/07/2026SV WienerbergerWiener Viktoria</v>
      </c>
      <c r="D339" s="2">
        <v>46225</v>
      </c>
      <c r="E339" s="3">
        <v>0.6875</v>
      </c>
      <c r="F339" t="s">
        <v>1759</v>
      </c>
      <c r="G339" t="s">
        <v>1760</v>
      </c>
      <c r="H339">
        <v>0</v>
      </c>
      <c r="I339">
        <v>1</v>
      </c>
      <c r="J339">
        <v>1</v>
      </c>
      <c r="K339">
        <v>1</v>
      </c>
      <c r="L339" s="22" t="str">
        <f t="shared" si="103"/>
        <v>22/07/2026</v>
      </c>
      <c r="M339" s="23">
        <f t="shared" si="104"/>
        <v>0.5625</v>
      </c>
      <c r="N339" t="str">
        <f t="shared" si="105"/>
        <v>1 - 1</v>
      </c>
      <c r="O339" t="str">
        <f t="shared" si="106"/>
        <v>Red</v>
      </c>
      <c r="P339" t="str">
        <f t="shared" si="107"/>
        <v>Green</v>
      </c>
      <c r="Q339" t="str">
        <f t="shared" si="108"/>
        <v>Red</v>
      </c>
      <c r="R339" t="str">
        <f t="shared" si="109"/>
        <v>Green</v>
      </c>
      <c r="S339" t="str">
        <f t="shared" si="110"/>
        <v>Green</v>
      </c>
      <c r="T339" t="str">
        <f t="shared" si="111"/>
        <v>Red</v>
      </c>
      <c r="U339" t="str">
        <f t="shared" si="112"/>
        <v>Red</v>
      </c>
      <c r="V339" t="str">
        <f t="shared" si="113"/>
        <v>Red</v>
      </c>
      <c r="W339" t="str">
        <f t="shared" si="114"/>
        <v>Green</v>
      </c>
      <c r="X339" t="str">
        <f t="shared" si="115"/>
        <v>Green</v>
      </c>
      <c r="Y339" t="str">
        <f t="shared" si="116"/>
        <v>Green</v>
      </c>
      <c r="Z339" t="str">
        <f t="shared" si="117"/>
        <v>Red</v>
      </c>
      <c r="AA339" t="str">
        <f t="shared" si="118"/>
        <v>Green</v>
      </c>
      <c r="AB339" t="str">
        <f t="shared" si="119"/>
        <v>Green</v>
      </c>
      <c r="AC339" t="str">
        <f t="shared" si="120"/>
        <v>Green</v>
      </c>
      <c r="AD339" t="str">
        <f t="shared" si="121"/>
        <v>Red</v>
      </c>
    </row>
    <row r="340" spans="1:30" x14ac:dyDescent="0.25">
      <c r="A340" t="str">
        <f t="shared" si="102"/>
        <v>22/07/2026TSG BalingenStuttgart</v>
      </c>
      <c r="D340" s="2">
        <v>46225</v>
      </c>
      <c r="E340" s="3">
        <v>0.6875</v>
      </c>
      <c r="F340" t="s">
        <v>1761</v>
      </c>
      <c r="G340" t="s">
        <v>1762</v>
      </c>
      <c r="L340" s="22" t="str">
        <f t="shared" si="103"/>
        <v>22/07/2026</v>
      </c>
      <c r="M340" s="23">
        <f t="shared" si="104"/>
        <v>0.5625</v>
      </c>
      <c r="N340" t="str">
        <f t="shared" si="105"/>
        <v xml:space="preserve"> - </v>
      </c>
      <c r="O340" t="str">
        <f t="shared" si="106"/>
        <v>Red</v>
      </c>
      <c r="P340" t="str">
        <f t="shared" si="107"/>
        <v>Green</v>
      </c>
      <c r="Q340" t="str">
        <f t="shared" si="108"/>
        <v>Red</v>
      </c>
      <c r="R340" t="str">
        <f t="shared" si="109"/>
        <v>Green</v>
      </c>
      <c r="S340" t="str">
        <f t="shared" si="110"/>
        <v>Green</v>
      </c>
      <c r="T340" t="str">
        <f t="shared" si="111"/>
        <v>Red</v>
      </c>
      <c r="U340" t="str">
        <f t="shared" si="112"/>
        <v>Red</v>
      </c>
      <c r="V340" t="str">
        <f t="shared" si="113"/>
        <v>Green</v>
      </c>
      <c r="W340" t="str">
        <f t="shared" si="114"/>
        <v>Red</v>
      </c>
      <c r="X340" t="str">
        <f t="shared" si="115"/>
        <v>Red</v>
      </c>
      <c r="Y340" t="str">
        <f t="shared" si="116"/>
        <v>Red</v>
      </c>
      <c r="Z340" t="str">
        <f t="shared" si="117"/>
        <v>Red</v>
      </c>
      <c r="AA340" t="str">
        <f t="shared" si="118"/>
        <v>Green</v>
      </c>
      <c r="AB340" t="str">
        <f t="shared" si="119"/>
        <v>Green</v>
      </c>
      <c r="AC340" t="str">
        <f t="shared" si="120"/>
        <v>Red</v>
      </c>
      <c r="AD340" t="str">
        <f t="shared" si="121"/>
        <v>Green</v>
      </c>
    </row>
    <row r="341" spans="1:30" x14ac:dyDescent="0.25">
      <c r="A341" t="str">
        <f t="shared" si="102"/>
        <v>22/07/2026Mainz 05 IIFC Kreuzlingen</v>
      </c>
      <c r="D341" s="2">
        <v>46225</v>
      </c>
      <c r="E341" s="3">
        <v>0.69791666666666663</v>
      </c>
      <c r="F341" t="s">
        <v>1763</v>
      </c>
      <c r="G341" t="s">
        <v>1764</v>
      </c>
      <c r="H341">
        <v>0</v>
      </c>
      <c r="I341">
        <v>0</v>
      </c>
      <c r="J341">
        <v>2</v>
      </c>
      <c r="K341">
        <v>1</v>
      </c>
      <c r="L341" s="22" t="str">
        <f t="shared" si="103"/>
        <v>22/07/2026</v>
      </c>
      <c r="M341" s="23">
        <f t="shared" si="104"/>
        <v>0.57291666666666663</v>
      </c>
      <c r="N341" t="str">
        <f t="shared" si="105"/>
        <v>2 - 1</v>
      </c>
      <c r="O341" t="str">
        <f t="shared" si="106"/>
        <v>Green</v>
      </c>
      <c r="P341" t="str">
        <f t="shared" si="107"/>
        <v>Red</v>
      </c>
      <c r="Q341" t="str">
        <f t="shared" si="108"/>
        <v>Red</v>
      </c>
      <c r="R341" t="str">
        <f t="shared" si="109"/>
        <v>Green</v>
      </c>
      <c r="S341" t="str">
        <f t="shared" si="110"/>
        <v>Red</v>
      </c>
      <c r="T341" t="str">
        <f t="shared" si="111"/>
        <v>Green</v>
      </c>
      <c r="U341" t="str">
        <f t="shared" si="112"/>
        <v>Red</v>
      </c>
      <c r="V341" t="str">
        <f t="shared" si="113"/>
        <v>Green</v>
      </c>
      <c r="W341" t="str">
        <f t="shared" si="114"/>
        <v>Red</v>
      </c>
      <c r="X341" t="str">
        <f t="shared" si="115"/>
        <v>Red</v>
      </c>
      <c r="Y341" t="str">
        <f t="shared" si="116"/>
        <v>Green</v>
      </c>
      <c r="Z341" t="str">
        <f t="shared" si="117"/>
        <v>Green</v>
      </c>
      <c r="AA341" t="str">
        <f t="shared" si="118"/>
        <v>Red</v>
      </c>
      <c r="AB341" t="str">
        <f t="shared" si="119"/>
        <v>Green</v>
      </c>
      <c r="AC341" t="str">
        <f t="shared" si="120"/>
        <v>Green</v>
      </c>
      <c r="AD341" t="str">
        <f t="shared" si="121"/>
        <v>Red</v>
      </c>
    </row>
    <row r="342" spans="1:30" x14ac:dyDescent="0.25">
      <c r="A342" t="str">
        <f t="shared" si="102"/>
        <v>22/07/2026AC OmoniaKairat</v>
      </c>
      <c r="B342" t="s">
        <v>820</v>
      </c>
      <c r="C342" t="s">
        <v>821</v>
      </c>
      <c r="D342" s="2">
        <v>46225</v>
      </c>
      <c r="E342" s="3">
        <v>0.70833333333333337</v>
      </c>
      <c r="F342" t="s">
        <v>887</v>
      </c>
      <c r="G342" t="s">
        <v>888</v>
      </c>
      <c r="H342">
        <v>1</v>
      </c>
      <c r="I342">
        <v>0</v>
      </c>
      <c r="J342">
        <v>1</v>
      </c>
      <c r="K342">
        <v>0</v>
      </c>
      <c r="L342" s="22" t="str">
        <f t="shared" si="103"/>
        <v>22/07/2026</v>
      </c>
      <c r="M342" s="23">
        <f t="shared" si="104"/>
        <v>0.58333333333333337</v>
      </c>
      <c r="N342" t="str">
        <f t="shared" si="105"/>
        <v>1 - 0</v>
      </c>
      <c r="O342" t="str">
        <f t="shared" si="106"/>
        <v>Green</v>
      </c>
      <c r="P342" t="str">
        <f t="shared" si="107"/>
        <v>Red</v>
      </c>
      <c r="Q342" t="str">
        <f t="shared" si="108"/>
        <v>Red</v>
      </c>
      <c r="R342" t="str">
        <f t="shared" si="109"/>
        <v>Green</v>
      </c>
      <c r="S342" t="str">
        <f t="shared" si="110"/>
        <v>Red</v>
      </c>
      <c r="T342" t="str">
        <f t="shared" si="111"/>
        <v>Green</v>
      </c>
      <c r="U342" t="str">
        <f t="shared" si="112"/>
        <v>Green</v>
      </c>
      <c r="V342" t="str">
        <f t="shared" si="113"/>
        <v>Red</v>
      </c>
      <c r="W342" t="str">
        <f t="shared" si="114"/>
        <v>Red</v>
      </c>
      <c r="X342" t="str">
        <f t="shared" si="115"/>
        <v>Green</v>
      </c>
      <c r="Y342" t="str">
        <f t="shared" si="116"/>
        <v>Red</v>
      </c>
      <c r="Z342" t="str">
        <f t="shared" si="117"/>
        <v>Red</v>
      </c>
      <c r="AA342" t="str">
        <f t="shared" si="118"/>
        <v>Green</v>
      </c>
      <c r="AB342" t="str">
        <f t="shared" si="119"/>
        <v>Green</v>
      </c>
      <c r="AC342" t="str">
        <f t="shared" si="120"/>
        <v>Red</v>
      </c>
      <c r="AD342" t="str">
        <f t="shared" si="121"/>
        <v>Green</v>
      </c>
    </row>
    <row r="343" spans="1:30" x14ac:dyDescent="0.25">
      <c r="A343" t="str">
        <f t="shared" si="102"/>
        <v>22/07/2026BohemianKF Ballkani</v>
      </c>
      <c r="B343" t="s">
        <v>820</v>
      </c>
      <c r="C343" t="s">
        <v>1344</v>
      </c>
      <c r="D343" s="2">
        <v>46225</v>
      </c>
      <c r="E343" s="3">
        <v>0.70833333333333337</v>
      </c>
      <c r="F343" t="s">
        <v>1765</v>
      </c>
      <c r="G343" t="s">
        <v>1766</v>
      </c>
      <c r="H343">
        <v>0</v>
      </c>
      <c r="I343">
        <v>1</v>
      </c>
      <c r="J343">
        <v>2</v>
      </c>
      <c r="K343">
        <v>1</v>
      </c>
      <c r="L343" s="22" t="str">
        <f t="shared" si="103"/>
        <v>22/07/2026</v>
      </c>
      <c r="M343" s="23">
        <f t="shared" si="104"/>
        <v>0.58333333333333337</v>
      </c>
      <c r="N343" t="str">
        <f t="shared" si="105"/>
        <v>2 - 1</v>
      </c>
      <c r="O343" t="str">
        <f t="shared" si="106"/>
        <v>Green</v>
      </c>
      <c r="P343" t="str">
        <f t="shared" si="107"/>
        <v>Red</v>
      </c>
      <c r="Q343" t="str">
        <f t="shared" si="108"/>
        <v>Red</v>
      </c>
      <c r="R343" t="str">
        <f t="shared" si="109"/>
        <v>Green</v>
      </c>
      <c r="S343" t="str">
        <f t="shared" si="110"/>
        <v>Red</v>
      </c>
      <c r="T343" t="str">
        <f t="shared" si="111"/>
        <v>Green</v>
      </c>
      <c r="U343" t="str">
        <f t="shared" si="112"/>
        <v>Red</v>
      </c>
      <c r="V343" t="str">
        <f t="shared" si="113"/>
        <v>Red</v>
      </c>
      <c r="W343" t="str">
        <f t="shared" si="114"/>
        <v>Green</v>
      </c>
      <c r="X343" t="str">
        <f t="shared" si="115"/>
        <v>Green</v>
      </c>
      <c r="Y343" t="str">
        <f t="shared" si="116"/>
        <v>Green</v>
      </c>
      <c r="Z343" t="str">
        <f t="shared" si="117"/>
        <v>Green</v>
      </c>
      <c r="AA343" t="str">
        <f t="shared" si="118"/>
        <v>Red</v>
      </c>
      <c r="AB343" t="str">
        <f t="shared" si="119"/>
        <v>Green</v>
      </c>
      <c r="AC343" t="str">
        <f t="shared" si="120"/>
        <v>Green</v>
      </c>
      <c r="AD343" t="str">
        <f t="shared" si="121"/>
        <v>Red</v>
      </c>
    </row>
    <row r="344" spans="1:30" x14ac:dyDescent="0.25">
      <c r="A344" t="str">
        <f t="shared" si="102"/>
        <v>22/07/2026JaPS IIGnistan Ogeli</v>
      </c>
      <c r="D344" s="2">
        <v>46225</v>
      </c>
      <c r="E344" s="3">
        <v>0.70833333333333337</v>
      </c>
      <c r="F344" t="s">
        <v>1767</v>
      </c>
      <c r="G344" t="s">
        <v>1768</v>
      </c>
      <c r="H344">
        <v>0</v>
      </c>
      <c r="I344">
        <v>0</v>
      </c>
      <c r="J344">
        <v>3</v>
      </c>
      <c r="K344">
        <v>1</v>
      </c>
      <c r="L344" s="22" t="str">
        <f t="shared" si="103"/>
        <v>22/07/2026</v>
      </c>
      <c r="M344" s="23">
        <f t="shared" si="104"/>
        <v>0.58333333333333337</v>
      </c>
      <c r="N344" t="str">
        <f t="shared" si="105"/>
        <v>3 - 1</v>
      </c>
      <c r="O344" t="str">
        <f t="shared" si="106"/>
        <v>Green</v>
      </c>
      <c r="P344" t="str">
        <f t="shared" si="107"/>
        <v>Red</v>
      </c>
      <c r="Q344" t="str">
        <f t="shared" si="108"/>
        <v>Red</v>
      </c>
      <c r="R344" t="str">
        <f t="shared" si="109"/>
        <v>Green</v>
      </c>
      <c r="S344" t="str">
        <f t="shared" si="110"/>
        <v>Red</v>
      </c>
      <c r="T344" t="str">
        <f t="shared" si="111"/>
        <v>Green</v>
      </c>
      <c r="U344" t="str">
        <f t="shared" si="112"/>
        <v>Red</v>
      </c>
      <c r="V344" t="str">
        <f t="shared" si="113"/>
        <v>Green</v>
      </c>
      <c r="W344" t="str">
        <f t="shared" si="114"/>
        <v>Red</v>
      </c>
      <c r="X344" t="str">
        <f t="shared" si="115"/>
        <v>Red</v>
      </c>
      <c r="Y344" t="str">
        <f t="shared" si="116"/>
        <v>Green</v>
      </c>
      <c r="Z344" t="str">
        <f t="shared" si="117"/>
        <v>Green</v>
      </c>
      <c r="AA344" t="str">
        <f t="shared" si="118"/>
        <v>Red</v>
      </c>
      <c r="AB344" t="str">
        <f t="shared" si="119"/>
        <v>Red</v>
      </c>
      <c r="AC344" t="str">
        <f t="shared" si="120"/>
        <v>Green</v>
      </c>
      <c r="AD344" t="str">
        <f t="shared" si="121"/>
        <v>Red</v>
      </c>
    </row>
    <row r="345" spans="1:30" x14ac:dyDescent="0.25">
      <c r="A345" t="str">
        <f t="shared" si="102"/>
        <v>22/07/2026TPV IITP-T</v>
      </c>
      <c r="D345" s="2">
        <v>46225</v>
      </c>
      <c r="E345" s="3">
        <v>0.70833333333333337</v>
      </c>
      <c r="F345" t="s">
        <v>1769</v>
      </c>
      <c r="G345" t="s">
        <v>1770</v>
      </c>
      <c r="H345">
        <v>0</v>
      </c>
      <c r="I345">
        <v>0</v>
      </c>
      <c r="J345">
        <v>3</v>
      </c>
      <c r="K345">
        <v>0</v>
      </c>
      <c r="L345" s="22" t="str">
        <f t="shared" si="103"/>
        <v>22/07/2026</v>
      </c>
      <c r="M345" s="23">
        <f t="shared" si="104"/>
        <v>0.58333333333333337</v>
      </c>
      <c r="N345" t="str">
        <f t="shared" si="105"/>
        <v>3 - 0</v>
      </c>
      <c r="O345" t="str">
        <f t="shared" si="106"/>
        <v>Green</v>
      </c>
      <c r="P345" t="str">
        <f t="shared" si="107"/>
        <v>Red</v>
      </c>
      <c r="Q345" t="str">
        <f t="shared" si="108"/>
        <v>Red</v>
      </c>
      <c r="R345" t="str">
        <f t="shared" si="109"/>
        <v>Green</v>
      </c>
      <c r="S345" t="str">
        <f t="shared" si="110"/>
        <v>Red</v>
      </c>
      <c r="T345" t="str">
        <f t="shared" si="111"/>
        <v>Green</v>
      </c>
      <c r="U345" t="str">
        <f t="shared" si="112"/>
        <v>Red</v>
      </c>
      <c r="V345" t="str">
        <f t="shared" si="113"/>
        <v>Green</v>
      </c>
      <c r="W345" t="str">
        <f t="shared" si="114"/>
        <v>Red</v>
      </c>
      <c r="X345" t="str">
        <f t="shared" si="115"/>
        <v>Red</v>
      </c>
      <c r="Y345" t="str">
        <f t="shared" si="116"/>
        <v>Green</v>
      </c>
      <c r="Z345" t="str">
        <f t="shared" si="117"/>
        <v>Green</v>
      </c>
      <c r="AA345" t="str">
        <f t="shared" si="118"/>
        <v>Red</v>
      </c>
      <c r="AB345" t="str">
        <f t="shared" si="119"/>
        <v>Green</v>
      </c>
      <c r="AC345" t="str">
        <f t="shared" si="120"/>
        <v>Red</v>
      </c>
      <c r="AD345" t="str">
        <f t="shared" si="121"/>
        <v>Green</v>
      </c>
    </row>
    <row r="346" spans="1:30" x14ac:dyDescent="0.25">
      <c r="A346" t="str">
        <f t="shared" si="102"/>
        <v>22/07/2026LillestromViking</v>
      </c>
      <c r="D346" s="2">
        <v>46225</v>
      </c>
      <c r="E346" s="3">
        <v>0.70833333333333337</v>
      </c>
      <c r="F346" t="s">
        <v>35</v>
      </c>
      <c r="G346" t="s">
        <v>1771</v>
      </c>
      <c r="H346">
        <v>0</v>
      </c>
      <c r="I346">
        <v>1</v>
      </c>
      <c r="J346">
        <v>1</v>
      </c>
      <c r="K346">
        <v>2</v>
      </c>
      <c r="L346" s="22" t="str">
        <f t="shared" si="103"/>
        <v>22/07/2026</v>
      </c>
      <c r="M346" s="23">
        <f t="shared" si="104"/>
        <v>0.58333333333333337</v>
      </c>
      <c r="N346" t="str">
        <f t="shared" si="105"/>
        <v>1 - 2</v>
      </c>
      <c r="O346" t="str">
        <f t="shared" si="106"/>
        <v>Red</v>
      </c>
      <c r="P346" t="str">
        <f t="shared" si="107"/>
        <v>Red</v>
      </c>
      <c r="Q346" t="str">
        <f t="shared" si="108"/>
        <v>Green</v>
      </c>
      <c r="R346" t="str">
        <f t="shared" si="109"/>
        <v>Red</v>
      </c>
      <c r="S346" t="str">
        <f t="shared" si="110"/>
        <v>Green</v>
      </c>
      <c r="T346" t="str">
        <f t="shared" si="111"/>
        <v>Green</v>
      </c>
      <c r="U346" t="str">
        <f t="shared" si="112"/>
        <v>Red</v>
      </c>
      <c r="V346" t="str">
        <f t="shared" si="113"/>
        <v>Red</v>
      </c>
      <c r="W346" t="str">
        <f t="shared" si="114"/>
        <v>Green</v>
      </c>
      <c r="X346" t="str">
        <f t="shared" si="115"/>
        <v>Green</v>
      </c>
      <c r="Y346" t="str">
        <f t="shared" si="116"/>
        <v>Green</v>
      </c>
      <c r="Z346" t="str">
        <f t="shared" si="117"/>
        <v>Green</v>
      </c>
      <c r="AA346" t="str">
        <f t="shared" si="118"/>
        <v>Red</v>
      </c>
      <c r="AB346" t="str">
        <f t="shared" si="119"/>
        <v>Green</v>
      </c>
      <c r="AC346" t="str">
        <f t="shared" si="120"/>
        <v>Green</v>
      </c>
      <c r="AD346" t="str">
        <f t="shared" si="121"/>
        <v>Red</v>
      </c>
    </row>
    <row r="347" spans="1:30" x14ac:dyDescent="0.25">
      <c r="A347" t="str">
        <f t="shared" si="102"/>
        <v>22/07/2026Bodo/GlimtHamKam</v>
      </c>
      <c r="D347" s="2">
        <v>46225</v>
      </c>
      <c r="E347" s="3">
        <v>0.70833333333333337</v>
      </c>
      <c r="F347" t="s">
        <v>33</v>
      </c>
      <c r="G347" t="s">
        <v>1772</v>
      </c>
      <c r="H347">
        <v>1</v>
      </c>
      <c r="I347">
        <v>0</v>
      </c>
      <c r="J347">
        <v>3</v>
      </c>
      <c r="K347">
        <v>0</v>
      </c>
      <c r="L347" s="22" t="str">
        <f t="shared" si="103"/>
        <v>22/07/2026</v>
      </c>
      <c r="M347" s="23">
        <f t="shared" si="104"/>
        <v>0.58333333333333337</v>
      </c>
      <c r="N347" t="str">
        <f t="shared" si="105"/>
        <v>3 - 0</v>
      </c>
      <c r="O347" t="str">
        <f t="shared" si="106"/>
        <v>Green</v>
      </c>
      <c r="P347" t="str">
        <f t="shared" si="107"/>
        <v>Red</v>
      </c>
      <c r="Q347" t="str">
        <f t="shared" si="108"/>
        <v>Red</v>
      </c>
      <c r="R347" t="str">
        <f t="shared" si="109"/>
        <v>Green</v>
      </c>
      <c r="S347" t="str">
        <f t="shared" si="110"/>
        <v>Red</v>
      </c>
      <c r="T347" t="str">
        <f t="shared" si="111"/>
        <v>Green</v>
      </c>
      <c r="U347" t="str">
        <f t="shared" si="112"/>
        <v>Green</v>
      </c>
      <c r="V347" t="str">
        <f t="shared" si="113"/>
        <v>Red</v>
      </c>
      <c r="W347" t="str">
        <f t="shared" si="114"/>
        <v>Red</v>
      </c>
      <c r="X347" t="str">
        <f t="shared" si="115"/>
        <v>Green</v>
      </c>
      <c r="Y347" t="str">
        <f t="shared" si="116"/>
        <v>Green</v>
      </c>
      <c r="Z347" t="str">
        <f t="shared" si="117"/>
        <v>Green</v>
      </c>
      <c r="AA347" t="str">
        <f t="shared" si="118"/>
        <v>Red</v>
      </c>
      <c r="AB347" t="str">
        <f t="shared" si="119"/>
        <v>Green</v>
      </c>
      <c r="AC347" t="str">
        <f t="shared" si="120"/>
        <v>Red</v>
      </c>
      <c r="AD347" t="str">
        <f t="shared" si="121"/>
        <v>Green</v>
      </c>
    </row>
    <row r="348" spans="1:30" x14ac:dyDescent="0.25">
      <c r="A348" t="str">
        <f t="shared" si="102"/>
        <v>22/07/2026AngersLes Herbiers</v>
      </c>
      <c r="D348" s="2">
        <v>46225</v>
      </c>
      <c r="E348" s="3">
        <v>0.70833333333333337</v>
      </c>
      <c r="F348" t="s">
        <v>1773</v>
      </c>
      <c r="G348" t="s">
        <v>1774</v>
      </c>
      <c r="H348">
        <v>1</v>
      </c>
      <c r="I348">
        <v>1</v>
      </c>
      <c r="J348">
        <v>3</v>
      </c>
      <c r="K348">
        <v>1</v>
      </c>
      <c r="L348" s="22" t="str">
        <f t="shared" si="103"/>
        <v>22/07/2026</v>
      </c>
      <c r="M348" s="23">
        <f t="shared" si="104"/>
        <v>0.58333333333333337</v>
      </c>
      <c r="N348" t="str">
        <f t="shared" si="105"/>
        <v>3 - 1</v>
      </c>
      <c r="O348" t="str">
        <f t="shared" si="106"/>
        <v>Green</v>
      </c>
      <c r="P348" t="str">
        <f t="shared" si="107"/>
        <v>Red</v>
      </c>
      <c r="Q348" t="str">
        <f t="shared" si="108"/>
        <v>Red</v>
      </c>
      <c r="R348" t="str">
        <f t="shared" si="109"/>
        <v>Green</v>
      </c>
      <c r="S348" t="str">
        <f t="shared" si="110"/>
        <v>Red</v>
      </c>
      <c r="T348" t="str">
        <f t="shared" si="111"/>
        <v>Green</v>
      </c>
      <c r="U348" t="str">
        <f t="shared" si="112"/>
        <v>Red</v>
      </c>
      <c r="V348" t="str">
        <f t="shared" si="113"/>
        <v>Green</v>
      </c>
      <c r="W348" t="str">
        <f t="shared" si="114"/>
        <v>Red</v>
      </c>
      <c r="X348" t="str">
        <f t="shared" si="115"/>
        <v>Green</v>
      </c>
      <c r="Y348" t="str">
        <f t="shared" si="116"/>
        <v>Green</v>
      </c>
      <c r="Z348" t="str">
        <f t="shared" si="117"/>
        <v>Green</v>
      </c>
      <c r="AA348" t="str">
        <f t="shared" si="118"/>
        <v>Red</v>
      </c>
      <c r="AB348" t="str">
        <f t="shared" si="119"/>
        <v>Red</v>
      </c>
      <c r="AC348" t="str">
        <f t="shared" si="120"/>
        <v>Green</v>
      </c>
      <c r="AD348" t="str">
        <f t="shared" si="121"/>
        <v>Red</v>
      </c>
    </row>
    <row r="349" spans="1:30" x14ac:dyDescent="0.25">
      <c r="A349" t="str">
        <f t="shared" si="102"/>
        <v>22/07/2026CadizLeicester City</v>
      </c>
      <c r="D349" s="2">
        <v>46225</v>
      </c>
      <c r="E349" s="3">
        <v>0.70833333333333337</v>
      </c>
      <c r="F349" t="s">
        <v>1775</v>
      </c>
      <c r="G349" t="s">
        <v>1776</v>
      </c>
      <c r="H349">
        <v>0</v>
      </c>
      <c r="I349">
        <v>0</v>
      </c>
      <c r="J349">
        <v>0</v>
      </c>
      <c r="K349">
        <v>1</v>
      </c>
      <c r="L349" s="22" t="str">
        <f t="shared" si="103"/>
        <v>22/07/2026</v>
      </c>
      <c r="M349" s="23">
        <f t="shared" si="104"/>
        <v>0.58333333333333337</v>
      </c>
      <c r="N349" t="str">
        <f t="shared" si="105"/>
        <v>0 - 1</v>
      </c>
      <c r="O349" t="str">
        <f t="shared" si="106"/>
        <v>Red</v>
      </c>
      <c r="P349" t="str">
        <f t="shared" si="107"/>
        <v>Red</v>
      </c>
      <c r="Q349" t="str">
        <f t="shared" si="108"/>
        <v>Green</v>
      </c>
      <c r="R349" t="str">
        <f t="shared" si="109"/>
        <v>Red</v>
      </c>
      <c r="S349" t="str">
        <f t="shared" si="110"/>
        <v>Green</v>
      </c>
      <c r="T349" t="str">
        <f t="shared" si="111"/>
        <v>Green</v>
      </c>
      <c r="U349" t="str">
        <f t="shared" si="112"/>
        <v>Red</v>
      </c>
      <c r="V349" t="str">
        <f t="shared" si="113"/>
        <v>Green</v>
      </c>
      <c r="W349" t="str">
        <f t="shared" si="114"/>
        <v>Red</v>
      </c>
      <c r="X349" t="str">
        <f t="shared" si="115"/>
        <v>Red</v>
      </c>
      <c r="Y349" t="str">
        <f t="shared" si="116"/>
        <v>Red</v>
      </c>
      <c r="Z349" t="str">
        <f t="shared" si="117"/>
        <v>Red</v>
      </c>
      <c r="AA349" t="str">
        <f t="shared" si="118"/>
        <v>Green</v>
      </c>
      <c r="AB349" t="str">
        <f t="shared" si="119"/>
        <v>Green</v>
      </c>
      <c r="AC349" t="str">
        <f t="shared" si="120"/>
        <v>Red</v>
      </c>
      <c r="AD349" t="str">
        <f t="shared" si="121"/>
        <v>Green</v>
      </c>
    </row>
    <row r="350" spans="1:30" x14ac:dyDescent="0.25">
      <c r="A350" t="str">
        <f t="shared" si="102"/>
        <v>22/07/2026DijonBourg-Peronnas</v>
      </c>
      <c r="D350" s="2">
        <v>46225</v>
      </c>
      <c r="E350" s="3">
        <v>0.70833333333333337</v>
      </c>
      <c r="F350" t="s">
        <v>1777</v>
      </c>
      <c r="G350" t="s">
        <v>1778</v>
      </c>
      <c r="H350">
        <v>1</v>
      </c>
      <c r="I350">
        <v>0</v>
      </c>
      <c r="J350">
        <v>2</v>
      </c>
      <c r="K350">
        <v>1</v>
      </c>
      <c r="L350" s="22" t="str">
        <f t="shared" si="103"/>
        <v>22/07/2026</v>
      </c>
      <c r="M350" s="23">
        <f t="shared" si="104"/>
        <v>0.58333333333333337</v>
      </c>
      <c r="N350" t="str">
        <f t="shared" si="105"/>
        <v>2 - 1</v>
      </c>
      <c r="O350" t="str">
        <f t="shared" si="106"/>
        <v>Green</v>
      </c>
      <c r="P350" t="str">
        <f t="shared" si="107"/>
        <v>Red</v>
      </c>
      <c r="Q350" t="str">
        <f t="shared" si="108"/>
        <v>Red</v>
      </c>
      <c r="R350" t="str">
        <f t="shared" si="109"/>
        <v>Green</v>
      </c>
      <c r="S350" t="str">
        <f t="shared" si="110"/>
        <v>Red</v>
      </c>
      <c r="T350" t="str">
        <f t="shared" si="111"/>
        <v>Green</v>
      </c>
      <c r="U350" t="str">
        <f t="shared" si="112"/>
        <v>Green</v>
      </c>
      <c r="V350" t="str">
        <f t="shared" si="113"/>
        <v>Red</v>
      </c>
      <c r="W350" t="str">
        <f t="shared" si="114"/>
        <v>Red</v>
      </c>
      <c r="X350" t="str">
        <f t="shared" si="115"/>
        <v>Green</v>
      </c>
      <c r="Y350" t="str">
        <f t="shared" si="116"/>
        <v>Green</v>
      </c>
      <c r="Z350" t="str">
        <f t="shared" si="117"/>
        <v>Green</v>
      </c>
      <c r="AA350" t="str">
        <f t="shared" si="118"/>
        <v>Red</v>
      </c>
      <c r="AB350" t="str">
        <f t="shared" si="119"/>
        <v>Green</v>
      </c>
      <c r="AC350" t="str">
        <f t="shared" si="120"/>
        <v>Green</v>
      </c>
      <c r="AD350" t="str">
        <f t="shared" si="121"/>
        <v>Red</v>
      </c>
    </row>
    <row r="351" spans="1:30" x14ac:dyDescent="0.25">
      <c r="A351" t="str">
        <f t="shared" si="102"/>
        <v>22/07/2026FiorentinaAS Gubbio 1910</v>
      </c>
      <c r="D351" s="2">
        <v>46225</v>
      </c>
      <c r="E351" s="3">
        <v>0.70833333333333337</v>
      </c>
      <c r="F351" t="s">
        <v>1779</v>
      </c>
      <c r="G351" t="s">
        <v>1780</v>
      </c>
      <c r="H351">
        <v>1</v>
      </c>
      <c r="I351">
        <v>0</v>
      </c>
      <c r="J351">
        <v>1</v>
      </c>
      <c r="K351">
        <v>0</v>
      </c>
      <c r="L351" s="22" t="str">
        <f t="shared" si="103"/>
        <v>22/07/2026</v>
      </c>
      <c r="M351" s="23">
        <f t="shared" si="104"/>
        <v>0.58333333333333337</v>
      </c>
      <c r="N351" t="str">
        <f t="shared" si="105"/>
        <v>1 - 0</v>
      </c>
      <c r="O351" t="str">
        <f t="shared" si="106"/>
        <v>Green</v>
      </c>
      <c r="P351" t="str">
        <f t="shared" si="107"/>
        <v>Red</v>
      </c>
      <c r="Q351" t="str">
        <f t="shared" si="108"/>
        <v>Red</v>
      </c>
      <c r="R351" t="str">
        <f t="shared" si="109"/>
        <v>Green</v>
      </c>
      <c r="S351" t="str">
        <f t="shared" si="110"/>
        <v>Red</v>
      </c>
      <c r="T351" t="str">
        <f t="shared" si="111"/>
        <v>Green</v>
      </c>
      <c r="U351" t="str">
        <f t="shared" si="112"/>
        <v>Green</v>
      </c>
      <c r="V351" t="str">
        <f t="shared" si="113"/>
        <v>Red</v>
      </c>
      <c r="W351" t="str">
        <f t="shared" si="114"/>
        <v>Red</v>
      </c>
      <c r="X351" t="str">
        <f t="shared" si="115"/>
        <v>Green</v>
      </c>
      <c r="Y351" t="str">
        <f t="shared" si="116"/>
        <v>Red</v>
      </c>
      <c r="Z351" t="str">
        <f t="shared" si="117"/>
        <v>Red</v>
      </c>
      <c r="AA351" t="str">
        <f t="shared" si="118"/>
        <v>Green</v>
      </c>
      <c r="AB351" t="str">
        <f t="shared" si="119"/>
        <v>Green</v>
      </c>
      <c r="AC351" t="str">
        <f t="shared" si="120"/>
        <v>Red</v>
      </c>
      <c r="AD351" t="str">
        <f t="shared" si="121"/>
        <v>Green</v>
      </c>
    </row>
    <row r="352" spans="1:30" x14ac:dyDescent="0.25">
      <c r="A352" t="str">
        <f t="shared" si="102"/>
        <v>22/07/2026Juventud Torremolinos CFAD Ceuta</v>
      </c>
      <c r="D352" s="2">
        <v>46225</v>
      </c>
      <c r="E352" s="3">
        <v>0.70833333333333337</v>
      </c>
      <c r="F352" t="s">
        <v>1781</v>
      </c>
      <c r="G352" t="s">
        <v>1782</v>
      </c>
      <c r="H352">
        <v>0</v>
      </c>
      <c r="I352">
        <v>0</v>
      </c>
      <c r="J352">
        <v>1</v>
      </c>
      <c r="K352">
        <v>0</v>
      </c>
      <c r="L352" s="22" t="str">
        <f t="shared" si="103"/>
        <v>22/07/2026</v>
      </c>
      <c r="M352" s="23">
        <f t="shared" si="104"/>
        <v>0.58333333333333337</v>
      </c>
      <c r="N352" t="str">
        <f t="shared" si="105"/>
        <v>1 - 0</v>
      </c>
      <c r="O352" t="str">
        <f t="shared" si="106"/>
        <v>Green</v>
      </c>
      <c r="P352" t="str">
        <f t="shared" si="107"/>
        <v>Red</v>
      </c>
      <c r="Q352" t="str">
        <f t="shared" si="108"/>
        <v>Red</v>
      </c>
      <c r="R352" t="str">
        <f t="shared" si="109"/>
        <v>Green</v>
      </c>
      <c r="S352" t="str">
        <f t="shared" si="110"/>
        <v>Red</v>
      </c>
      <c r="T352" t="str">
        <f t="shared" si="111"/>
        <v>Green</v>
      </c>
      <c r="U352" t="str">
        <f t="shared" si="112"/>
        <v>Red</v>
      </c>
      <c r="V352" t="str">
        <f t="shared" si="113"/>
        <v>Green</v>
      </c>
      <c r="W352" t="str">
        <f t="shared" si="114"/>
        <v>Red</v>
      </c>
      <c r="X352" t="str">
        <f t="shared" si="115"/>
        <v>Red</v>
      </c>
      <c r="Y352" t="str">
        <f t="shared" si="116"/>
        <v>Red</v>
      </c>
      <c r="Z352" t="str">
        <f t="shared" si="117"/>
        <v>Red</v>
      </c>
      <c r="AA352" t="str">
        <f t="shared" si="118"/>
        <v>Green</v>
      </c>
      <c r="AB352" t="str">
        <f t="shared" si="119"/>
        <v>Green</v>
      </c>
      <c r="AC352" t="str">
        <f t="shared" si="120"/>
        <v>Red</v>
      </c>
      <c r="AD352" t="str">
        <f t="shared" si="121"/>
        <v>Green</v>
      </c>
    </row>
    <row r="353" spans="1:30" x14ac:dyDescent="0.25">
      <c r="A353" t="str">
        <f t="shared" si="102"/>
        <v>22/07/2026NK OsijekCibalia</v>
      </c>
      <c r="D353" s="2">
        <v>46225</v>
      </c>
      <c r="E353" s="3">
        <v>0.70833333333333337</v>
      </c>
      <c r="F353" t="s">
        <v>1783</v>
      </c>
      <c r="G353" t="s">
        <v>1784</v>
      </c>
      <c r="H353">
        <v>1</v>
      </c>
      <c r="I353">
        <v>0</v>
      </c>
      <c r="J353">
        <v>3</v>
      </c>
      <c r="K353">
        <v>0</v>
      </c>
      <c r="L353" s="22" t="str">
        <f t="shared" si="103"/>
        <v>22/07/2026</v>
      </c>
      <c r="M353" s="23">
        <f t="shared" si="104"/>
        <v>0.58333333333333337</v>
      </c>
      <c r="N353" t="str">
        <f t="shared" si="105"/>
        <v>3 - 0</v>
      </c>
      <c r="O353" t="str">
        <f t="shared" si="106"/>
        <v>Green</v>
      </c>
      <c r="P353" t="str">
        <f t="shared" si="107"/>
        <v>Red</v>
      </c>
      <c r="Q353" t="str">
        <f t="shared" si="108"/>
        <v>Red</v>
      </c>
      <c r="R353" t="str">
        <f t="shared" si="109"/>
        <v>Green</v>
      </c>
      <c r="S353" t="str">
        <f t="shared" si="110"/>
        <v>Red</v>
      </c>
      <c r="T353" t="str">
        <f t="shared" si="111"/>
        <v>Green</v>
      </c>
      <c r="U353" t="str">
        <f t="shared" si="112"/>
        <v>Green</v>
      </c>
      <c r="V353" t="str">
        <f t="shared" si="113"/>
        <v>Red</v>
      </c>
      <c r="W353" t="str">
        <f t="shared" si="114"/>
        <v>Red</v>
      </c>
      <c r="X353" t="str">
        <f t="shared" si="115"/>
        <v>Green</v>
      </c>
      <c r="Y353" t="str">
        <f t="shared" si="116"/>
        <v>Green</v>
      </c>
      <c r="Z353" t="str">
        <f t="shared" si="117"/>
        <v>Green</v>
      </c>
      <c r="AA353" t="str">
        <f t="shared" si="118"/>
        <v>Red</v>
      </c>
      <c r="AB353" t="str">
        <f t="shared" si="119"/>
        <v>Green</v>
      </c>
      <c r="AC353" t="str">
        <f t="shared" si="120"/>
        <v>Red</v>
      </c>
      <c r="AD353" t="str">
        <f t="shared" si="121"/>
        <v>Green</v>
      </c>
    </row>
    <row r="354" spans="1:30" x14ac:dyDescent="0.25">
      <c r="A354" t="str">
        <f t="shared" si="102"/>
        <v>22/07/2026UD Las PalmasOrlando Pirates</v>
      </c>
      <c r="D354" s="2">
        <v>46225</v>
      </c>
      <c r="E354" s="3">
        <v>0.70833333333333337</v>
      </c>
      <c r="F354" t="s">
        <v>1785</v>
      </c>
      <c r="G354" t="s">
        <v>1472</v>
      </c>
      <c r="H354">
        <v>0</v>
      </c>
      <c r="I354">
        <v>0</v>
      </c>
      <c r="J354">
        <v>0</v>
      </c>
      <c r="K354">
        <v>1</v>
      </c>
      <c r="L354" s="22" t="str">
        <f t="shared" si="103"/>
        <v>22/07/2026</v>
      </c>
      <c r="M354" s="23">
        <f t="shared" si="104"/>
        <v>0.58333333333333337</v>
      </c>
      <c r="N354" t="str">
        <f t="shared" si="105"/>
        <v>0 - 1</v>
      </c>
      <c r="O354" t="str">
        <f t="shared" si="106"/>
        <v>Red</v>
      </c>
      <c r="P354" t="str">
        <f t="shared" si="107"/>
        <v>Red</v>
      </c>
      <c r="Q354" t="str">
        <f t="shared" si="108"/>
        <v>Green</v>
      </c>
      <c r="R354" t="str">
        <f t="shared" si="109"/>
        <v>Red</v>
      </c>
      <c r="S354" t="str">
        <f t="shared" si="110"/>
        <v>Green</v>
      </c>
      <c r="T354" t="str">
        <f t="shared" si="111"/>
        <v>Green</v>
      </c>
      <c r="U354" t="str">
        <f t="shared" si="112"/>
        <v>Red</v>
      </c>
      <c r="V354" t="str">
        <f t="shared" si="113"/>
        <v>Green</v>
      </c>
      <c r="W354" t="str">
        <f t="shared" si="114"/>
        <v>Red</v>
      </c>
      <c r="X354" t="str">
        <f t="shared" si="115"/>
        <v>Red</v>
      </c>
      <c r="Y354" t="str">
        <f t="shared" si="116"/>
        <v>Red</v>
      </c>
      <c r="Z354" t="str">
        <f t="shared" si="117"/>
        <v>Red</v>
      </c>
      <c r="AA354" t="str">
        <f t="shared" si="118"/>
        <v>Green</v>
      </c>
      <c r="AB354" t="str">
        <f t="shared" si="119"/>
        <v>Green</v>
      </c>
      <c r="AC354" t="str">
        <f t="shared" si="120"/>
        <v>Red</v>
      </c>
      <c r="AD354" t="str">
        <f t="shared" si="121"/>
        <v>Green</v>
      </c>
    </row>
    <row r="355" spans="1:30" x14ac:dyDescent="0.25">
      <c r="A355" t="str">
        <f t="shared" si="102"/>
        <v>22/07/2026Algeria WomenZambia Women</v>
      </c>
      <c r="D355" s="2">
        <v>46225</v>
      </c>
      <c r="E355" s="3">
        <v>0.70833333333333337</v>
      </c>
      <c r="F355" t="s">
        <v>1786</v>
      </c>
      <c r="G355" t="s">
        <v>1787</v>
      </c>
      <c r="H355">
        <v>0</v>
      </c>
      <c r="I355">
        <v>0</v>
      </c>
      <c r="J355">
        <v>1</v>
      </c>
      <c r="K355">
        <v>0</v>
      </c>
      <c r="L355" s="22" t="str">
        <f t="shared" si="103"/>
        <v>22/07/2026</v>
      </c>
      <c r="M355" s="23">
        <f t="shared" si="104"/>
        <v>0.58333333333333337</v>
      </c>
      <c r="N355" t="str">
        <f t="shared" si="105"/>
        <v>1 - 0</v>
      </c>
      <c r="O355" t="str">
        <f t="shared" si="106"/>
        <v>Green</v>
      </c>
      <c r="P355" t="str">
        <f t="shared" si="107"/>
        <v>Red</v>
      </c>
      <c r="Q355" t="str">
        <f t="shared" si="108"/>
        <v>Red</v>
      </c>
      <c r="R355" t="str">
        <f t="shared" si="109"/>
        <v>Green</v>
      </c>
      <c r="S355" t="str">
        <f t="shared" si="110"/>
        <v>Red</v>
      </c>
      <c r="T355" t="str">
        <f t="shared" si="111"/>
        <v>Green</v>
      </c>
      <c r="U355" t="str">
        <f t="shared" si="112"/>
        <v>Red</v>
      </c>
      <c r="V355" t="str">
        <f t="shared" si="113"/>
        <v>Green</v>
      </c>
      <c r="W355" t="str">
        <f t="shared" si="114"/>
        <v>Red</v>
      </c>
      <c r="X355" t="str">
        <f t="shared" si="115"/>
        <v>Red</v>
      </c>
      <c r="Y355" t="str">
        <f t="shared" si="116"/>
        <v>Red</v>
      </c>
      <c r="Z355" t="str">
        <f t="shared" si="117"/>
        <v>Red</v>
      </c>
      <c r="AA355" t="str">
        <f t="shared" si="118"/>
        <v>Green</v>
      </c>
      <c r="AB355" t="str">
        <f t="shared" si="119"/>
        <v>Green</v>
      </c>
      <c r="AC355" t="str">
        <f t="shared" si="120"/>
        <v>Red</v>
      </c>
      <c r="AD355" t="str">
        <f t="shared" si="121"/>
        <v>Green</v>
      </c>
    </row>
    <row r="356" spans="1:30" x14ac:dyDescent="0.25">
      <c r="A356" t="str">
        <f t="shared" si="102"/>
        <v>22/07/2026LevskiCS Universitatea Craiova</v>
      </c>
      <c r="B356" t="s">
        <v>820</v>
      </c>
      <c r="C356" t="s">
        <v>821</v>
      </c>
      <c r="D356" s="2">
        <v>46225</v>
      </c>
      <c r="E356" s="3">
        <v>0.72916666666666663</v>
      </c>
      <c r="F356" t="s">
        <v>889</v>
      </c>
      <c r="G356" t="s">
        <v>890</v>
      </c>
      <c r="H356">
        <v>1</v>
      </c>
      <c r="I356">
        <v>0</v>
      </c>
      <c r="J356">
        <v>1</v>
      </c>
      <c r="K356">
        <v>0</v>
      </c>
      <c r="L356" s="22" t="str">
        <f t="shared" si="103"/>
        <v>22/07/2026</v>
      </c>
      <c r="M356" s="23">
        <f t="shared" si="104"/>
        <v>0.60416666666666663</v>
      </c>
      <c r="N356" t="str">
        <f t="shared" si="105"/>
        <v>1 - 0</v>
      </c>
      <c r="O356" t="str">
        <f t="shared" si="106"/>
        <v>Green</v>
      </c>
      <c r="P356" t="str">
        <f t="shared" si="107"/>
        <v>Red</v>
      </c>
      <c r="Q356" t="str">
        <f t="shared" si="108"/>
        <v>Red</v>
      </c>
      <c r="R356" t="str">
        <f t="shared" si="109"/>
        <v>Green</v>
      </c>
      <c r="S356" t="str">
        <f t="shared" si="110"/>
        <v>Red</v>
      </c>
      <c r="T356" t="str">
        <f t="shared" si="111"/>
        <v>Green</v>
      </c>
      <c r="U356" t="str">
        <f t="shared" si="112"/>
        <v>Green</v>
      </c>
      <c r="V356" t="str">
        <f t="shared" si="113"/>
        <v>Red</v>
      </c>
      <c r="W356" t="str">
        <f t="shared" si="114"/>
        <v>Red</v>
      </c>
      <c r="X356" t="str">
        <f t="shared" si="115"/>
        <v>Green</v>
      </c>
      <c r="Y356" t="str">
        <f t="shared" si="116"/>
        <v>Red</v>
      </c>
      <c r="Z356" t="str">
        <f t="shared" si="117"/>
        <v>Red</v>
      </c>
      <c r="AA356" t="str">
        <f t="shared" si="118"/>
        <v>Green</v>
      </c>
      <c r="AB356" t="str">
        <f t="shared" si="119"/>
        <v>Green</v>
      </c>
      <c r="AC356" t="str">
        <f t="shared" si="120"/>
        <v>Red</v>
      </c>
      <c r="AD356" t="str">
        <f t="shared" si="121"/>
        <v>Green</v>
      </c>
    </row>
    <row r="357" spans="1:30" x14ac:dyDescent="0.25">
      <c r="A357" t="str">
        <f t="shared" si="102"/>
        <v>22/07/2026FC EchallensFC Bavois</v>
      </c>
      <c r="D357" s="2">
        <v>46225</v>
      </c>
      <c r="E357" s="3">
        <v>0.72916666666666663</v>
      </c>
      <c r="F357" t="s">
        <v>1788</v>
      </c>
      <c r="G357" t="s">
        <v>1789</v>
      </c>
      <c r="H357">
        <v>0</v>
      </c>
      <c r="I357">
        <v>0</v>
      </c>
      <c r="J357">
        <v>0</v>
      </c>
      <c r="K357">
        <v>0</v>
      </c>
      <c r="L357" s="22" t="str">
        <f t="shared" si="103"/>
        <v>22/07/2026</v>
      </c>
      <c r="M357" s="23">
        <f t="shared" si="104"/>
        <v>0.60416666666666663</v>
      </c>
      <c r="N357" t="str">
        <f t="shared" si="105"/>
        <v>0 - 0</v>
      </c>
      <c r="O357" t="str">
        <f t="shared" si="106"/>
        <v>Red</v>
      </c>
      <c r="P357" t="str">
        <f t="shared" si="107"/>
        <v>Green</v>
      </c>
      <c r="Q357" t="str">
        <f t="shared" si="108"/>
        <v>Red</v>
      </c>
      <c r="R357" t="str">
        <f t="shared" si="109"/>
        <v>Green</v>
      </c>
      <c r="S357" t="str">
        <f t="shared" si="110"/>
        <v>Green</v>
      </c>
      <c r="T357" t="str">
        <f t="shared" si="111"/>
        <v>Red</v>
      </c>
      <c r="U357" t="str">
        <f t="shared" si="112"/>
        <v>Red</v>
      </c>
      <c r="V357" t="str">
        <f t="shared" si="113"/>
        <v>Green</v>
      </c>
      <c r="W357" t="str">
        <f t="shared" si="114"/>
        <v>Red</v>
      </c>
      <c r="X357" t="str">
        <f t="shared" si="115"/>
        <v>Red</v>
      </c>
      <c r="Y357" t="str">
        <f t="shared" si="116"/>
        <v>Red</v>
      </c>
      <c r="Z357" t="str">
        <f t="shared" si="117"/>
        <v>Red</v>
      </c>
      <c r="AA357" t="str">
        <f t="shared" si="118"/>
        <v>Green</v>
      </c>
      <c r="AB357" t="str">
        <f t="shared" si="119"/>
        <v>Green</v>
      </c>
      <c r="AC357" t="str">
        <f t="shared" si="120"/>
        <v>Red</v>
      </c>
      <c r="AD357" t="str">
        <f t="shared" si="121"/>
        <v>Green</v>
      </c>
    </row>
    <row r="358" spans="1:30" x14ac:dyDescent="0.25">
      <c r="A358" t="str">
        <f t="shared" si="102"/>
        <v>22/07/2026Sestao RiverAthletic Bilbao</v>
      </c>
      <c r="D358" s="2">
        <v>46225</v>
      </c>
      <c r="E358" s="3">
        <v>0.72916666666666663</v>
      </c>
      <c r="F358" t="s">
        <v>1790</v>
      </c>
      <c r="G358" t="s">
        <v>1791</v>
      </c>
      <c r="H358">
        <v>0</v>
      </c>
      <c r="I358">
        <v>1</v>
      </c>
      <c r="J358">
        <v>0</v>
      </c>
      <c r="K358">
        <v>2</v>
      </c>
      <c r="L358" s="22" t="str">
        <f t="shared" si="103"/>
        <v>22/07/2026</v>
      </c>
      <c r="M358" s="23">
        <f t="shared" si="104"/>
        <v>0.60416666666666663</v>
      </c>
      <c r="N358" t="str">
        <f t="shared" si="105"/>
        <v>0 - 2</v>
      </c>
      <c r="O358" t="str">
        <f t="shared" si="106"/>
        <v>Red</v>
      </c>
      <c r="P358" t="str">
        <f t="shared" si="107"/>
        <v>Red</v>
      </c>
      <c r="Q358" t="str">
        <f t="shared" si="108"/>
        <v>Green</v>
      </c>
      <c r="R358" t="str">
        <f t="shared" si="109"/>
        <v>Red</v>
      </c>
      <c r="S358" t="str">
        <f t="shared" si="110"/>
        <v>Green</v>
      </c>
      <c r="T358" t="str">
        <f t="shared" si="111"/>
        <v>Green</v>
      </c>
      <c r="U358" t="str">
        <f t="shared" si="112"/>
        <v>Red</v>
      </c>
      <c r="V358" t="str">
        <f t="shared" si="113"/>
        <v>Red</v>
      </c>
      <c r="W358" t="str">
        <f t="shared" si="114"/>
        <v>Green</v>
      </c>
      <c r="X358" t="str">
        <f t="shared" si="115"/>
        <v>Green</v>
      </c>
      <c r="Y358" t="str">
        <f t="shared" si="116"/>
        <v>Green</v>
      </c>
      <c r="Z358" t="str">
        <f t="shared" si="117"/>
        <v>Red</v>
      </c>
      <c r="AA358" t="str">
        <f t="shared" si="118"/>
        <v>Green</v>
      </c>
      <c r="AB358" t="str">
        <f t="shared" si="119"/>
        <v>Green</v>
      </c>
      <c r="AC358" t="str">
        <f t="shared" si="120"/>
        <v>Red</v>
      </c>
      <c r="AD358" t="str">
        <f t="shared" si="121"/>
        <v>Green</v>
      </c>
    </row>
    <row r="359" spans="1:30" x14ac:dyDescent="0.25">
      <c r="A359" t="str">
        <f t="shared" si="102"/>
        <v>22/07/2026VfB HildenUnterrath</v>
      </c>
      <c r="D359" s="2">
        <v>46225</v>
      </c>
      <c r="E359" s="3">
        <v>0.72916666666666663</v>
      </c>
      <c r="F359" t="s">
        <v>1792</v>
      </c>
      <c r="G359" t="s">
        <v>1793</v>
      </c>
      <c r="H359">
        <v>3</v>
      </c>
      <c r="I359">
        <v>0</v>
      </c>
      <c r="J359">
        <v>5</v>
      </c>
      <c r="K359">
        <v>0</v>
      </c>
      <c r="L359" s="22" t="str">
        <f t="shared" si="103"/>
        <v>22/07/2026</v>
      </c>
      <c r="M359" s="23">
        <f t="shared" si="104"/>
        <v>0.60416666666666663</v>
      </c>
      <c r="N359" t="str">
        <f t="shared" si="105"/>
        <v>5 - 0</v>
      </c>
      <c r="O359" t="str">
        <f t="shared" si="106"/>
        <v>Green</v>
      </c>
      <c r="P359" t="str">
        <f t="shared" si="107"/>
        <v>Red</v>
      </c>
      <c r="Q359" t="str">
        <f t="shared" si="108"/>
        <v>Red</v>
      </c>
      <c r="R359" t="str">
        <f t="shared" si="109"/>
        <v>Green</v>
      </c>
      <c r="S359" t="str">
        <f t="shared" si="110"/>
        <v>Red</v>
      </c>
      <c r="T359" t="str">
        <f t="shared" si="111"/>
        <v>Green</v>
      </c>
      <c r="U359" t="str">
        <f t="shared" si="112"/>
        <v>Green</v>
      </c>
      <c r="V359" t="str">
        <f t="shared" si="113"/>
        <v>Red</v>
      </c>
      <c r="W359" t="str">
        <f t="shared" si="114"/>
        <v>Red</v>
      </c>
      <c r="X359" t="str">
        <f t="shared" si="115"/>
        <v>Green</v>
      </c>
      <c r="Y359" t="str">
        <f t="shared" si="116"/>
        <v>Green</v>
      </c>
      <c r="Z359" t="str">
        <f t="shared" si="117"/>
        <v>Green</v>
      </c>
      <c r="AA359" t="str">
        <f t="shared" si="118"/>
        <v>Red</v>
      </c>
      <c r="AB359" t="str">
        <f t="shared" si="119"/>
        <v>Red</v>
      </c>
      <c r="AC359" t="str">
        <f t="shared" si="120"/>
        <v>Red</v>
      </c>
      <c r="AD359" t="str">
        <f t="shared" si="121"/>
        <v>Green</v>
      </c>
    </row>
    <row r="360" spans="1:30" x14ac:dyDescent="0.25">
      <c r="A360" t="str">
        <f t="shared" si="102"/>
        <v>22/07/2026Istanbul BBInter Turku</v>
      </c>
      <c r="B360" t="s">
        <v>820</v>
      </c>
      <c r="C360" t="s">
        <v>1344</v>
      </c>
      <c r="D360" s="2">
        <v>46225</v>
      </c>
      <c r="E360" s="3">
        <v>0.73958333333333337</v>
      </c>
      <c r="F360" t="s">
        <v>1794</v>
      </c>
      <c r="G360" t="s">
        <v>1795</v>
      </c>
      <c r="H360">
        <v>0</v>
      </c>
      <c r="I360">
        <v>1</v>
      </c>
      <c r="J360">
        <v>1</v>
      </c>
      <c r="K360">
        <v>1</v>
      </c>
      <c r="L360" s="22" t="str">
        <f t="shared" si="103"/>
        <v>22/07/2026</v>
      </c>
      <c r="M360" s="23">
        <f t="shared" si="104"/>
        <v>0.61458333333333337</v>
      </c>
      <c r="N360" t="str">
        <f t="shared" si="105"/>
        <v>1 - 1</v>
      </c>
      <c r="O360" t="str">
        <f t="shared" si="106"/>
        <v>Red</v>
      </c>
      <c r="P360" t="str">
        <f t="shared" si="107"/>
        <v>Green</v>
      </c>
      <c r="Q360" t="str">
        <f t="shared" si="108"/>
        <v>Red</v>
      </c>
      <c r="R360" t="str">
        <f t="shared" si="109"/>
        <v>Green</v>
      </c>
      <c r="S360" t="str">
        <f t="shared" si="110"/>
        <v>Green</v>
      </c>
      <c r="T360" t="str">
        <f t="shared" si="111"/>
        <v>Red</v>
      </c>
      <c r="U360" t="str">
        <f t="shared" si="112"/>
        <v>Red</v>
      </c>
      <c r="V360" t="str">
        <f t="shared" si="113"/>
        <v>Red</v>
      </c>
      <c r="W360" t="str">
        <f t="shared" si="114"/>
        <v>Green</v>
      </c>
      <c r="X360" t="str">
        <f t="shared" si="115"/>
        <v>Green</v>
      </c>
      <c r="Y360" t="str">
        <f t="shared" si="116"/>
        <v>Green</v>
      </c>
      <c r="Z360" t="str">
        <f t="shared" si="117"/>
        <v>Red</v>
      </c>
      <c r="AA360" t="str">
        <f t="shared" si="118"/>
        <v>Green</v>
      </c>
      <c r="AB360" t="str">
        <f t="shared" si="119"/>
        <v>Green</v>
      </c>
      <c r="AC360" t="str">
        <f t="shared" si="120"/>
        <v>Green</v>
      </c>
      <c r="AD360" t="str">
        <f t="shared" si="121"/>
        <v>Red</v>
      </c>
    </row>
    <row r="361" spans="1:30" x14ac:dyDescent="0.25">
      <c r="A361" t="str">
        <f t="shared" si="102"/>
        <v>22/07/2026Bangu RJOlaria RJ</v>
      </c>
      <c r="B361" t="s">
        <v>822</v>
      </c>
      <c r="C361" t="s">
        <v>847</v>
      </c>
      <c r="D361" s="2">
        <v>46225</v>
      </c>
      <c r="E361" s="3">
        <v>0.73958333333333337</v>
      </c>
      <c r="F361" t="s">
        <v>1796</v>
      </c>
      <c r="G361" t="s">
        <v>1797</v>
      </c>
      <c r="H361">
        <v>1</v>
      </c>
      <c r="I361">
        <v>0</v>
      </c>
      <c r="J361">
        <v>1</v>
      </c>
      <c r="K361">
        <v>1</v>
      </c>
      <c r="L361" s="22" t="str">
        <f t="shared" si="103"/>
        <v>22/07/2026</v>
      </c>
      <c r="M361" s="23">
        <f t="shared" si="104"/>
        <v>0.61458333333333337</v>
      </c>
      <c r="N361" t="str">
        <f t="shared" si="105"/>
        <v>1 - 1</v>
      </c>
      <c r="O361" t="str">
        <f t="shared" si="106"/>
        <v>Red</v>
      </c>
      <c r="P361" t="str">
        <f t="shared" si="107"/>
        <v>Green</v>
      </c>
      <c r="Q361" t="str">
        <f t="shared" si="108"/>
        <v>Red</v>
      </c>
      <c r="R361" t="str">
        <f t="shared" si="109"/>
        <v>Green</v>
      </c>
      <c r="S361" t="str">
        <f t="shared" si="110"/>
        <v>Green</v>
      </c>
      <c r="T361" t="str">
        <f t="shared" si="111"/>
        <v>Red</v>
      </c>
      <c r="U361" t="str">
        <f t="shared" si="112"/>
        <v>Green</v>
      </c>
      <c r="V361" t="str">
        <f t="shared" si="113"/>
        <v>Red</v>
      </c>
      <c r="W361" t="str">
        <f t="shared" si="114"/>
        <v>Red</v>
      </c>
      <c r="X361" t="str">
        <f t="shared" si="115"/>
        <v>Green</v>
      </c>
      <c r="Y361" t="str">
        <f t="shared" si="116"/>
        <v>Green</v>
      </c>
      <c r="Z361" t="str">
        <f t="shared" si="117"/>
        <v>Red</v>
      </c>
      <c r="AA361" t="str">
        <f t="shared" si="118"/>
        <v>Green</v>
      </c>
      <c r="AB361" t="str">
        <f t="shared" si="119"/>
        <v>Green</v>
      </c>
      <c r="AC361" t="str">
        <f t="shared" si="120"/>
        <v>Green</v>
      </c>
      <c r="AD361" t="str">
        <f t="shared" si="121"/>
        <v>Red</v>
      </c>
    </row>
    <row r="362" spans="1:30" x14ac:dyDescent="0.25">
      <c r="A362" t="str">
        <f t="shared" si="102"/>
        <v>22/07/2026CF Rio de JaneiroPerolas Negras</v>
      </c>
      <c r="B362" t="s">
        <v>822</v>
      </c>
      <c r="C362" t="s">
        <v>847</v>
      </c>
      <c r="D362" s="2">
        <v>46225</v>
      </c>
      <c r="E362" s="3">
        <v>0.73958333333333337</v>
      </c>
      <c r="F362" t="s">
        <v>1798</v>
      </c>
      <c r="G362" t="s">
        <v>1799</v>
      </c>
      <c r="H362">
        <v>1</v>
      </c>
      <c r="I362">
        <v>0</v>
      </c>
      <c r="J362">
        <v>3</v>
      </c>
      <c r="K362">
        <v>0</v>
      </c>
      <c r="L362" s="22" t="str">
        <f t="shared" si="103"/>
        <v>22/07/2026</v>
      </c>
      <c r="M362" s="23">
        <f t="shared" si="104"/>
        <v>0.61458333333333337</v>
      </c>
      <c r="N362" t="str">
        <f t="shared" si="105"/>
        <v>3 - 0</v>
      </c>
      <c r="O362" t="str">
        <f t="shared" si="106"/>
        <v>Green</v>
      </c>
      <c r="P362" t="str">
        <f t="shared" si="107"/>
        <v>Red</v>
      </c>
      <c r="Q362" t="str">
        <f t="shared" si="108"/>
        <v>Red</v>
      </c>
      <c r="R362" t="str">
        <f t="shared" si="109"/>
        <v>Green</v>
      </c>
      <c r="S362" t="str">
        <f t="shared" si="110"/>
        <v>Red</v>
      </c>
      <c r="T362" t="str">
        <f t="shared" si="111"/>
        <v>Green</v>
      </c>
      <c r="U362" t="str">
        <f t="shared" si="112"/>
        <v>Green</v>
      </c>
      <c r="V362" t="str">
        <f t="shared" si="113"/>
        <v>Red</v>
      </c>
      <c r="W362" t="str">
        <f t="shared" si="114"/>
        <v>Red</v>
      </c>
      <c r="X362" t="str">
        <f t="shared" si="115"/>
        <v>Green</v>
      </c>
      <c r="Y362" t="str">
        <f t="shared" si="116"/>
        <v>Green</v>
      </c>
      <c r="Z362" t="str">
        <f t="shared" si="117"/>
        <v>Green</v>
      </c>
      <c r="AA362" t="str">
        <f t="shared" si="118"/>
        <v>Red</v>
      </c>
      <c r="AB362" t="str">
        <f t="shared" si="119"/>
        <v>Green</v>
      </c>
      <c r="AC362" t="str">
        <f t="shared" si="120"/>
        <v>Red</v>
      </c>
      <c r="AD362" t="str">
        <f t="shared" si="121"/>
        <v>Green</v>
      </c>
    </row>
    <row r="363" spans="1:30" x14ac:dyDescent="0.25">
      <c r="A363" t="str">
        <f t="shared" si="102"/>
        <v>22/07/2026Madureira ECBonsucesso</v>
      </c>
      <c r="B363" t="s">
        <v>822</v>
      </c>
      <c r="C363" t="s">
        <v>847</v>
      </c>
      <c r="D363" s="2">
        <v>46225</v>
      </c>
      <c r="E363" s="3">
        <v>0.73958333333333337</v>
      </c>
      <c r="F363" t="s">
        <v>1800</v>
      </c>
      <c r="G363" t="s">
        <v>1801</v>
      </c>
      <c r="H363">
        <v>1</v>
      </c>
      <c r="I363">
        <v>1</v>
      </c>
      <c r="J363">
        <v>1</v>
      </c>
      <c r="K363">
        <v>1</v>
      </c>
      <c r="L363" s="22" t="str">
        <f t="shared" si="103"/>
        <v>22/07/2026</v>
      </c>
      <c r="M363" s="23">
        <f t="shared" si="104"/>
        <v>0.61458333333333337</v>
      </c>
      <c r="N363" t="str">
        <f t="shared" si="105"/>
        <v>1 - 1</v>
      </c>
      <c r="O363" t="str">
        <f t="shared" si="106"/>
        <v>Red</v>
      </c>
      <c r="P363" t="str">
        <f t="shared" si="107"/>
        <v>Green</v>
      </c>
      <c r="Q363" t="str">
        <f t="shared" si="108"/>
        <v>Red</v>
      </c>
      <c r="R363" t="str">
        <f t="shared" si="109"/>
        <v>Green</v>
      </c>
      <c r="S363" t="str">
        <f t="shared" si="110"/>
        <v>Green</v>
      </c>
      <c r="T363" t="str">
        <f t="shared" si="111"/>
        <v>Red</v>
      </c>
      <c r="U363" t="str">
        <f t="shared" si="112"/>
        <v>Red</v>
      </c>
      <c r="V363" t="str">
        <f t="shared" si="113"/>
        <v>Green</v>
      </c>
      <c r="W363" t="str">
        <f t="shared" si="114"/>
        <v>Red</v>
      </c>
      <c r="X363" t="str">
        <f t="shared" si="115"/>
        <v>Green</v>
      </c>
      <c r="Y363" t="str">
        <f t="shared" si="116"/>
        <v>Green</v>
      </c>
      <c r="Z363" t="str">
        <f t="shared" si="117"/>
        <v>Red</v>
      </c>
      <c r="AA363" t="str">
        <f t="shared" si="118"/>
        <v>Green</v>
      </c>
      <c r="AB363" t="str">
        <f t="shared" si="119"/>
        <v>Green</v>
      </c>
      <c r="AC363" t="str">
        <f t="shared" si="120"/>
        <v>Green</v>
      </c>
      <c r="AD363" t="str">
        <f t="shared" si="121"/>
        <v>Red</v>
      </c>
    </row>
    <row r="364" spans="1:30" x14ac:dyDescent="0.25">
      <c r="A364" t="str">
        <f t="shared" si="102"/>
        <v>22/07/2026Nova IguacuAmerica RJ</v>
      </c>
      <c r="B364" t="s">
        <v>822</v>
      </c>
      <c r="C364" t="s">
        <v>847</v>
      </c>
      <c r="D364" s="2">
        <v>46225</v>
      </c>
      <c r="E364" s="3">
        <v>0.73958333333333337</v>
      </c>
      <c r="F364" t="s">
        <v>1802</v>
      </c>
      <c r="G364" t="s">
        <v>1803</v>
      </c>
      <c r="H364">
        <v>0</v>
      </c>
      <c r="I364">
        <v>0</v>
      </c>
      <c r="J364">
        <v>1</v>
      </c>
      <c r="K364">
        <v>1</v>
      </c>
      <c r="L364" s="22" t="str">
        <f t="shared" si="103"/>
        <v>22/07/2026</v>
      </c>
      <c r="M364" s="23">
        <f t="shared" si="104"/>
        <v>0.61458333333333337</v>
      </c>
      <c r="N364" t="str">
        <f t="shared" si="105"/>
        <v>1 - 1</v>
      </c>
      <c r="O364" t="str">
        <f t="shared" si="106"/>
        <v>Red</v>
      </c>
      <c r="P364" t="str">
        <f t="shared" si="107"/>
        <v>Green</v>
      </c>
      <c r="Q364" t="str">
        <f t="shared" si="108"/>
        <v>Red</v>
      </c>
      <c r="R364" t="str">
        <f t="shared" si="109"/>
        <v>Green</v>
      </c>
      <c r="S364" t="str">
        <f t="shared" si="110"/>
        <v>Green</v>
      </c>
      <c r="T364" t="str">
        <f t="shared" si="111"/>
        <v>Red</v>
      </c>
      <c r="U364" t="str">
        <f t="shared" si="112"/>
        <v>Red</v>
      </c>
      <c r="V364" t="str">
        <f t="shared" si="113"/>
        <v>Green</v>
      </c>
      <c r="W364" t="str">
        <f t="shared" si="114"/>
        <v>Red</v>
      </c>
      <c r="X364" t="str">
        <f t="shared" si="115"/>
        <v>Red</v>
      </c>
      <c r="Y364" t="str">
        <f t="shared" si="116"/>
        <v>Green</v>
      </c>
      <c r="Z364" t="str">
        <f t="shared" si="117"/>
        <v>Red</v>
      </c>
      <c r="AA364" t="str">
        <f t="shared" si="118"/>
        <v>Green</v>
      </c>
      <c r="AB364" t="str">
        <f t="shared" si="119"/>
        <v>Green</v>
      </c>
      <c r="AC364" t="str">
        <f t="shared" si="120"/>
        <v>Green</v>
      </c>
      <c r="AD364" t="str">
        <f t="shared" si="121"/>
        <v>Red</v>
      </c>
    </row>
    <row r="365" spans="1:30" x14ac:dyDescent="0.25">
      <c r="A365" t="str">
        <f t="shared" si="102"/>
        <v>22/07/2026Club Olimpia WomenGuarani Asuncion Women</v>
      </c>
      <c r="D365" s="2">
        <v>46225</v>
      </c>
      <c r="E365" s="3">
        <v>0.73958333333333337</v>
      </c>
      <c r="F365" t="s">
        <v>1804</v>
      </c>
      <c r="G365" t="s">
        <v>1805</v>
      </c>
      <c r="H365">
        <v>0</v>
      </c>
      <c r="I365">
        <v>0</v>
      </c>
      <c r="J365">
        <v>4</v>
      </c>
      <c r="K365">
        <v>1</v>
      </c>
      <c r="L365" s="22" t="str">
        <f t="shared" si="103"/>
        <v>22/07/2026</v>
      </c>
      <c r="M365" s="23">
        <f t="shared" si="104"/>
        <v>0.61458333333333337</v>
      </c>
      <c r="N365" t="str">
        <f t="shared" si="105"/>
        <v>4 - 1</v>
      </c>
      <c r="O365" t="str">
        <f t="shared" si="106"/>
        <v>Green</v>
      </c>
      <c r="P365" t="str">
        <f t="shared" si="107"/>
        <v>Red</v>
      </c>
      <c r="Q365" t="str">
        <f t="shared" si="108"/>
        <v>Red</v>
      </c>
      <c r="R365" t="str">
        <f t="shared" si="109"/>
        <v>Green</v>
      </c>
      <c r="S365" t="str">
        <f t="shared" si="110"/>
        <v>Red</v>
      </c>
      <c r="T365" t="str">
        <f t="shared" si="111"/>
        <v>Green</v>
      </c>
      <c r="U365" t="str">
        <f t="shared" si="112"/>
        <v>Red</v>
      </c>
      <c r="V365" t="str">
        <f t="shared" si="113"/>
        <v>Green</v>
      </c>
      <c r="W365" t="str">
        <f t="shared" si="114"/>
        <v>Red</v>
      </c>
      <c r="X365" t="str">
        <f t="shared" si="115"/>
        <v>Red</v>
      </c>
      <c r="Y365" t="str">
        <f t="shared" si="116"/>
        <v>Green</v>
      </c>
      <c r="Z365" t="str">
        <f t="shared" si="117"/>
        <v>Green</v>
      </c>
      <c r="AA365" t="str">
        <f t="shared" si="118"/>
        <v>Red</v>
      </c>
      <c r="AB365" t="str">
        <f t="shared" si="119"/>
        <v>Red</v>
      </c>
      <c r="AC365" t="str">
        <f t="shared" si="120"/>
        <v>Green</v>
      </c>
      <c r="AD365" t="str">
        <f t="shared" si="121"/>
        <v>Red</v>
      </c>
    </row>
    <row r="366" spans="1:30" x14ac:dyDescent="0.25">
      <c r="A366" t="str">
        <f t="shared" si="102"/>
        <v>22/07/2026FK Vardar SkopjeRiga FC</v>
      </c>
      <c r="B366" t="s">
        <v>820</v>
      </c>
      <c r="C366" t="s">
        <v>1344</v>
      </c>
      <c r="D366" s="2">
        <v>46225</v>
      </c>
      <c r="E366" s="3">
        <v>0.75</v>
      </c>
      <c r="F366" t="s">
        <v>354</v>
      </c>
      <c r="G366" t="s">
        <v>1009</v>
      </c>
      <c r="H366">
        <v>1</v>
      </c>
      <c r="I366">
        <v>2</v>
      </c>
      <c r="J366">
        <v>2</v>
      </c>
      <c r="K366">
        <v>3</v>
      </c>
      <c r="L366" s="22" t="str">
        <f t="shared" si="103"/>
        <v>22/07/2026</v>
      </c>
      <c r="M366" s="23">
        <f t="shared" si="104"/>
        <v>0.625</v>
      </c>
      <c r="N366" t="str">
        <f t="shared" si="105"/>
        <v>2 - 3</v>
      </c>
      <c r="O366" t="str">
        <f t="shared" si="106"/>
        <v>Red</v>
      </c>
      <c r="P366" t="str">
        <f t="shared" si="107"/>
        <v>Red</v>
      </c>
      <c r="Q366" t="str">
        <f t="shared" si="108"/>
        <v>Green</v>
      </c>
      <c r="R366" t="str">
        <f t="shared" si="109"/>
        <v>Red</v>
      </c>
      <c r="S366" t="str">
        <f t="shared" si="110"/>
        <v>Green</v>
      </c>
      <c r="T366" t="str">
        <f t="shared" si="111"/>
        <v>Green</v>
      </c>
      <c r="U366" t="str">
        <f t="shared" si="112"/>
        <v>Red</v>
      </c>
      <c r="V366" t="str">
        <f t="shared" si="113"/>
        <v>Red</v>
      </c>
      <c r="W366" t="str">
        <f t="shared" si="114"/>
        <v>Green</v>
      </c>
      <c r="X366" t="str">
        <f t="shared" si="115"/>
        <v>Green</v>
      </c>
      <c r="Y366" t="str">
        <f t="shared" si="116"/>
        <v>Green</v>
      </c>
      <c r="Z366" t="str">
        <f t="shared" si="117"/>
        <v>Green</v>
      </c>
      <c r="AA366" t="str">
        <f t="shared" si="118"/>
        <v>Red</v>
      </c>
      <c r="AB366" t="str">
        <f t="shared" si="119"/>
        <v>Red</v>
      </c>
      <c r="AC366" t="str">
        <f t="shared" si="120"/>
        <v>Green</v>
      </c>
      <c r="AD366" t="str">
        <f t="shared" si="121"/>
        <v>Red</v>
      </c>
    </row>
    <row r="367" spans="1:30" x14ac:dyDescent="0.25">
      <c r="A367" t="str">
        <f t="shared" si="102"/>
        <v>22/07/2026Huracan WomenBanfield Women</v>
      </c>
      <c r="B367" t="s">
        <v>824</v>
      </c>
      <c r="C367" t="s">
        <v>897</v>
      </c>
      <c r="D367" s="2">
        <v>46225</v>
      </c>
      <c r="E367" s="3">
        <v>0.75</v>
      </c>
      <c r="F367" t="s">
        <v>902</v>
      </c>
      <c r="G367" t="s">
        <v>903</v>
      </c>
      <c r="H367">
        <v>0</v>
      </c>
      <c r="I367">
        <v>0</v>
      </c>
      <c r="J367">
        <v>1</v>
      </c>
      <c r="K367">
        <v>2</v>
      </c>
      <c r="L367" s="22" t="str">
        <f t="shared" si="103"/>
        <v>22/07/2026</v>
      </c>
      <c r="M367" s="23">
        <f t="shared" si="104"/>
        <v>0.625</v>
      </c>
      <c r="N367" t="str">
        <f t="shared" si="105"/>
        <v>1 - 2</v>
      </c>
      <c r="O367" t="str">
        <f t="shared" si="106"/>
        <v>Red</v>
      </c>
      <c r="P367" t="str">
        <f t="shared" si="107"/>
        <v>Red</v>
      </c>
      <c r="Q367" t="str">
        <f t="shared" si="108"/>
        <v>Green</v>
      </c>
      <c r="R367" t="str">
        <f t="shared" si="109"/>
        <v>Red</v>
      </c>
      <c r="S367" t="str">
        <f t="shared" si="110"/>
        <v>Green</v>
      </c>
      <c r="T367" t="str">
        <f t="shared" si="111"/>
        <v>Green</v>
      </c>
      <c r="U367" t="str">
        <f t="shared" si="112"/>
        <v>Red</v>
      </c>
      <c r="V367" t="str">
        <f t="shared" si="113"/>
        <v>Green</v>
      </c>
      <c r="W367" t="str">
        <f t="shared" si="114"/>
        <v>Red</v>
      </c>
      <c r="X367" t="str">
        <f t="shared" si="115"/>
        <v>Red</v>
      </c>
      <c r="Y367" t="str">
        <f t="shared" si="116"/>
        <v>Green</v>
      </c>
      <c r="Z367" t="str">
        <f t="shared" si="117"/>
        <v>Green</v>
      </c>
      <c r="AA367" t="str">
        <f t="shared" si="118"/>
        <v>Red</v>
      </c>
      <c r="AB367" t="str">
        <f t="shared" si="119"/>
        <v>Green</v>
      </c>
      <c r="AC367" t="str">
        <f t="shared" si="120"/>
        <v>Green</v>
      </c>
      <c r="AD367" t="str">
        <f t="shared" si="121"/>
        <v>Red</v>
      </c>
    </row>
    <row r="368" spans="1:30" x14ac:dyDescent="0.25">
      <c r="A368" t="str">
        <f t="shared" si="102"/>
        <v>22/07/2026Lanus WomenSan Lorenzo Women</v>
      </c>
      <c r="B368" t="s">
        <v>824</v>
      </c>
      <c r="C368" t="s">
        <v>897</v>
      </c>
      <c r="D368" s="2">
        <v>46225</v>
      </c>
      <c r="E368" s="3">
        <v>0.75</v>
      </c>
      <c r="F368" t="s">
        <v>904</v>
      </c>
      <c r="G368" t="s">
        <v>905</v>
      </c>
      <c r="H368">
        <v>0</v>
      </c>
      <c r="I368">
        <v>0</v>
      </c>
      <c r="J368">
        <v>1</v>
      </c>
      <c r="K368">
        <v>0</v>
      </c>
      <c r="L368" s="22" t="str">
        <f t="shared" si="103"/>
        <v>22/07/2026</v>
      </c>
      <c r="M368" s="23">
        <f t="shared" si="104"/>
        <v>0.625</v>
      </c>
      <c r="N368" t="str">
        <f t="shared" si="105"/>
        <v>1 - 0</v>
      </c>
      <c r="O368" t="str">
        <f t="shared" si="106"/>
        <v>Green</v>
      </c>
      <c r="P368" t="str">
        <f t="shared" si="107"/>
        <v>Red</v>
      </c>
      <c r="Q368" t="str">
        <f t="shared" si="108"/>
        <v>Red</v>
      </c>
      <c r="R368" t="str">
        <f t="shared" si="109"/>
        <v>Green</v>
      </c>
      <c r="S368" t="str">
        <f t="shared" si="110"/>
        <v>Red</v>
      </c>
      <c r="T368" t="str">
        <f t="shared" si="111"/>
        <v>Green</v>
      </c>
      <c r="U368" t="str">
        <f t="shared" si="112"/>
        <v>Red</v>
      </c>
      <c r="V368" t="str">
        <f t="shared" si="113"/>
        <v>Green</v>
      </c>
      <c r="W368" t="str">
        <f t="shared" si="114"/>
        <v>Red</v>
      </c>
      <c r="X368" t="str">
        <f t="shared" si="115"/>
        <v>Red</v>
      </c>
      <c r="Y368" t="str">
        <f t="shared" si="116"/>
        <v>Red</v>
      </c>
      <c r="Z368" t="str">
        <f t="shared" si="117"/>
        <v>Red</v>
      </c>
      <c r="AA368" t="str">
        <f t="shared" si="118"/>
        <v>Green</v>
      </c>
      <c r="AB368" t="str">
        <f t="shared" si="119"/>
        <v>Green</v>
      </c>
      <c r="AC368" t="str">
        <f t="shared" si="120"/>
        <v>Red</v>
      </c>
      <c r="AD368" t="str">
        <f t="shared" si="121"/>
        <v>Green</v>
      </c>
    </row>
    <row r="369" spans="1:30" x14ac:dyDescent="0.25">
      <c r="A369" t="str">
        <f t="shared" si="102"/>
        <v>22/07/2026San Luis FC WomenRacing Avellaneda Women</v>
      </c>
      <c r="B369" t="s">
        <v>824</v>
      </c>
      <c r="C369" t="s">
        <v>897</v>
      </c>
      <c r="D369" s="2">
        <v>46225</v>
      </c>
      <c r="E369" s="3">
        <v>0.75</v>
      </c>
      <c r="F369" t="s">
        <v>906</v>
      </c>
      <c r="G369" t="s">
        <v>907</v>
      </c>
      <c r="H369">
        <v>0</v>
      </c>
      <c r="I369">
        <v>0</v>
      </c>
      <c r="J369">
        <v>0</v>
      </c>
      <c r="K369">
        <v>2</v>
      </c>
      <c r="L369" s="22" t="str">
        <f t="shared" si="103"/>
        <v>22/07/2026</v>
      </c>
      <c r="M369" s="23">
        <f t="shared" si="104"/>
        <v>0.625</v>
      </c>
      <c r="N369" t="str">
        <f t="shared" si="105"/>
        <v>0 - 2</v>
      </c>
      <c r="O369" t="str">
        <f t="shared" si="106"/>
        <v>Red</v>
      </c>
      <c r="P369" t="str">
        <f t="shared" si="107"/>
        <v>Red</v>
      </c>
      <c r="Q369" t="str">
        <f t="shared" si="108"/>
        <v>Green</v>
      </c>
      <c r="R369" t="str">
        <f t="shared" si="109"/>
        <v>Red</v>
      </c>
      <c r="S369" t="str">
        <f t="shared" si="110"/>
        <v>Green</v>
      </c>
      <c r="T369" t="str">
        <f t="shared" si="111"/>
        <v>Green</v>
      </c>
      <c r="U369" t="str">
        <f t="shared" si="112"/>
        <v>Red</v>
      </c>
      <c r="V369" t="str">
        <f t="shared" si="113"/>
        <v>Green</v>
      </c>
      <c r="W369" t="str">
        <f t="shared" si="114"/>
        <v>Red</v>
      </c>
      <c r="X369" t="str">
        <f t="shared" si="115"/>
        <v>Red</v>
      </c>
      <c r="Y369" t="str">
        <f t="shared" si="116"/>
        <v>Green</v>
      </c>
      <c r="Z369" t="str">
        <f t="shared" si="117"/>
        <v>Red</v>
      </c>
      <c r="AA369" t="str">
        <f t="shared" si="118"/>
        <v>Green</v>
      </c>
      <c r="AB369" t="str">
        <f t="shared" si="119"/>
        <v>Green</v>
      </c>
      <c r="AC369" t="str">
        <f t="shared" si="120"/>
        <v>Red</v>
      </c>
      <c r="AD369" t="str">
        <f t="shared" si="121"/>
        <v>Green</v>
      </c>
    </row>
    <row r="370" spans="1:30" x14ac:dyDescent="0.25">
      <c r="A370" t="str">
        <f t="shared" si="102"/>
        <v>22/07/2026Union de Santa Fe WomenNewell's Old Boys Women</v>
      </c>
      <c r="B370" t="s">
        <v>824</v>
      </c>
      <c r="C370" t="s">
        <v>897</v>
      </c>
      <c r="D370" s="2">
        <v>46225</v>
      </c>
      <c r="E370" s="3">
        <v>0.75</v>
      </c>
      <c r="F370" t="s">
        <v>908</v>
      </c>
      <c r="G370" t="s">
        <v>909</v>
      </c>
      <c r="H370">
        <v>0</v>
      </c>
      <c r="I370">
        <v>0</v>
      </c>
      <c r="J370">
        <v>0</v>
      </c>
      <c r="K370">
        <v>2</v>
      </c>
      <c r="L370" s="22" t="str">
        <f t="shared" si="103"/>
        <v>22/07/2026</v>
      </c>
      <c r="M370" s="23">
        <f t="shared" si="104"/>
        <v>0.625</v>
      </c>
      <c r="N370" t="str">
        <f t="shared" si="105"/>
        <v>0 - 2</v>
      </c>
      <c r="O370" t="str">
        <f t="shared" si="106"/>
        <v>Red</v>
      </c>
      <c r="P370" t="str">
        <f t="shared" si="107"/>
        <v>Red</v>
      </c>
      <c r="Q370" t="str">
        <f t="shared" si="108"/>
        <v>Green</v>
      </c>
      <c r="R370" t="str">
        <f t="shared" si="109"/>
        <v>Red</v>
      </c>
      <c r="S370" t="str">
        <f t="shared" si="110"/>
        <v>Green</v>
      </c>
      <c r="T370" t="str">
        <f t="shared" si="111"/>
        <v>Green</v>
      </c>
      <c r="U370" t="str">
        <f t="shared" si="112"/>
        <v>Red</v>
      </c>
      <c r="V370" t="str">
        <f t="shared" si="113"/>
        <v>Green</v>
      </c>
      <c r="W370" t="str">
        <f t="shared" si="114"/>
        <v>Red</v>
      </c>
      <c r="X370" t="str">
        <f t="shared" si="115"/>
        <v>Red</v>
      </c>
      <c r="Y370" t="str">
        <f t="shared" si="116"/>
        <v>Green</v>
      </c>
      <c r="Z370" t="str">
        <f t="shared" si="117"/>
        <v>Red</v>
      </c>
      <c r="AA370" t="str">
        <f t="shared" si="118"/>
        <v>Green</v>
      </c>
      <c r="AB370" t="str">
        <f t="shared" si="119"/>
        <v>Green</v>
      </c>
      <c r="AC370" t="str">
        <f t="shared" si="120"/>
        <v>Red</v>
      </c>
      <c r="AD370" t="str">
        <f t="shared" si="121"/>
        <v>Green</v>
      </c>
    </row>
    <row r="371" spans="1:30" x14ac:dyDescent="0.25">
      <c r="A371" t="str">
        <f t="shared" si="102"/>
        <v>22/07/2026Blumenau Nacao Esportes</v>
      </c>
      <c r="B371" t="s">
        <v>822</v>
      </c>
      <c r="C371" t="s">
        <v>935</v>
      </c>
      <c r="D371" s="2">
        <v>46225</v>
      </c>
      <c r="E371" s="3">
        <v>0.75</v>
      </c>
      <c r="F371" t="s">
        <v>936</v>
      </c>
      <c r="G371" t="s">
        <v>937</v>
      </c>
      <c r="H371">
        <v>0</v>
      </c>
      <c r="I371">
        <v>0</v>
      </c>
      <c r="J371">
        <v>0</v>
      </c>
      <c r="K371">
        <v>2</v>
      </c>
      <c r="L371" s="22" t="str">
        <f t="shared" si="103"/>
        <v>22/07/2026</v>
      </c>
      <c r="M371" s="23">
        <f t="shared" si="104"/>
        <v>0.625</v>
      </c>
      <c r="N371" t="str">
        <f t="shared" si="105"/>
        <v>0 - 2</v>
      </c>
      <c r="O371" t="str">
        <f t="shared" si="106"/>
        <v>Red</v>
      </c>
      <c r="P371" t="str">
        <f t="shared" si="107"/>
        <v>Red</v>
      </c>
      <c r="Q371" t="str">
        <f t="shared" si="108"/>
        <v>Green</v>
      </c>
      <c r="R371" t="str">
        <f t="shared" si="109"/>
        <v>Red</v>
      </c>
      <c r="S371" t="str">
        <f t="shared" si="110"/>
        <v>Green</v>
      </c>
      <c r="T371" t="str">
        <f t="shared" si="111"/>
        <v>Green</v>
      </c>
      <c r="U371" t="str">
        <f t="shared" si="112"/>
        <v>Red</v>
      </c>
      <c r="V371" t="str">
        <f t="shared" si="113"/>
        <v>Green</v>
      </c>
      <c r="W371" t="str">
        <f t="shared" si="114"/>
        <v>Red</v>
      </c>
      <c r="X371" t="str">
        <f t="shared" si="115"/>
        <v>Red</v>
      </c>
      <c r="Y371" t="str">
        <f t="shared" si="116"/>
        <v>Green</v>
      </c>
      <c r="Z371" t="str">
        <f t="shared" si="117"/>
        <v>Red</v>
      </c>
      <c r="AA371" t="str">
        <f t="shared" si="118"/>
        <v>Green</v>
      </c>
      <c r="AB371" t="str">
        <f t="shared" si="119"/>
        <v>Green</v>
      </c>
      <c r="AC371" t="str">
        <f t="shared" si="120"/>
        <v>Red</v>
      </c>
      <c r="AD371" t="str">
        <f t="shared" si="121"/>
        <v>Green</v>
      </c>
    </row>
    <row r="372" spans="1:30" x14ac:dyDescent="0.25">
      <c r="A372" t="str">
        <f t="shared" si="102"/>
        <v>22/07/2026Fluminense SCAtletico Tubarao SC</v>
      </c>
      <c r="B372" t="s">
        <v>822</v>
      </c>
      <c r="C372" t="s">
        <v>935</v>
      </c>
      <c r="D372" s="2">
        <v>46225</v>
      </c>
      <c r="E372" s="3">
        <v>0.75</v>
      </c>
      <c r="F372" t="s">
        <v>938</v>
      </c>
      <c r="G372" t="s">
        <v>939</v>
      </c>
      <c r="H372">
        <v>0</v>
      </c>
      <c r="I372">
        <v>0</v>
      </c>
      <c r="J372">
        <v>2</v>
      </c>
      <c r="K372">
        <v>1</v>
      </c>
      <c r="L372" s="22" t="str">
        <f t="shared" si="103"/>
        <v>22/07/2026</v>
      </c>
      <c r="M372" s="23">
        <f t="shared" si="104"/>
        <v>0.625</v>
      </c>
      <c r="N372" t="str">
        <f t="shared" si="105"/>
        <v>2 - 1</v>
      </c>
      <c r="O372" t="str">
        <f t="shared" si="106"/>
        <v>Green</v>
      </c>
      <c r="P372" t="str">
        <f t="shared" si="107"/>
        <v>Red</v>
      </c>
      <c r="Q372" t="str">
        <f t="shared" si="108"/>
        <v>Red</v>
      </c>
      <c r="R372" t="str">
        <f t="shared" si="109"/>
        <v>Green</v>
      </c>
      <c r="S372" t="str">
        <f t="shared" si="110"/>
        <v>Red</v>
      </c>
      <c r="T372" t="str">
        <f t="shared" si="111"/>
        <v>Green</v>
      </c>
      <c r="U372" t="str">
        <f t="shared" si="112"/>
        <v>Red</v>
      </c>
      <c r="V372" t="str">
        <f t="shared" si="113"/>
        <v>Green</v>
      </c>
      <c r="W372" t="str">
        <f t="shared" si="114"/>
        <v>Red</v>
      </c>
      <c r="X372" t="str">
        <f t="shared" si="115"/>
        <v>Red</v>
      </c>
      <c r="Y372" t="str">
        <f t="shared" si="116"/>
        <v>Green</v>
      </c>
      <c r="Z372" t="str">
        <f t="shared" si="117"/>
        <v>Green</v>
      </c>
      <c r="AA372" t="str">
        <f t="shared" si="118"/>
        <v>Red</v>
      </c>
      <c r="AB372" t="str">
        <f t="shared" si="119"/>
        <v>Green</v>
      </c>
      <c r="AC372" t="str">
        <f t="shared" si="120"/>
        <v>Green</v>
      </c>
      <c r="AD372" t="str">
        <f t="shared" si="121"/>
        <v>Red</v>
      </c>
    </row>
    <row r="373" spans="1:30" x14ac:dyDescent="0.25">
      <c r="A373" t="str">
        <f t="shared" si="102"/>
        <v>22/07/2026GE Juventus CA Metropolitano</v>
      </c>
      <c r="B373" t="s">
        <v>822</v>
      </c>
      <c r="C373" t="s">
        <v>935</v>
      </c>
      <c r="D373" s="2">
        <v>46225</v>
      </c>
      <c r="E373" s="3">
        <v>0.75</v>
      </c>
      <c r="F373" t="s">
        <v>940</v>
      </c>
      <c r="G373" t="s">
        <v>941</v>
      </c>
      <c r="H373">
        <v>0</v>
      </c>
      <c r="I373">
        <v>0</v>
      </c>
      <c r="J373">
        <v>0</v>
      </c>
      <c r="K373">
        <v>2</v>
      </c>
      <c r="L373" s="22" t="str">
        <f t="shared" si="103"/>
        <v>22/07/2026</v>
      </c>
      <c r="M373" s="23">
        <f t="shared" si="104"/>
        <v>0.625</v>
      </c>
      <c r="N373" t="str">
        <f t="shared" si="105"/>
        <v>0 - 2</v>
      </c>
      <c r="O373" t="str">
        <f t="shared" si="106"/>
        <v>Red</v>
      </c>
      <c r="P373" t="str">
        <f t="shared" si="107"/>
        <v>Red</v>
      </c>
      <c r="Q373" t="str">
        <f t="shared" si="108"/>
        <v>Green</v>
      </c>
      <c r="R373" t="str">
        <f t="shared" si="109"/>
        <v>Red</v>
      </c>
      <c r="S373" t="str">
        <f t="shared" si="110"/>
        <v>Green</v>
      </c>
      <c r="T373" t="str">
        <f t="shared" si="111"/>
        <v>Green</v>
      </c>
      <c r="U373" t="str">
        <f t="shared" si="112"/>
        <v>Red</v>
      </c>
      <c r="V373" t="str">
        <f t="shared" si="113"/>
        <v>Green</v>
      </c>
      <c r="W373" t="str">
        <f t="shared" si="114"/>
        <v>Red</v>
      </c>
      <c r="X373" t="str">
        <f t="shared" si="115"/>
        <v>Red</v>
      </c>
      <c r="Y373" t="str">
        <f t="shared" si="116"/>
        <v>Green</v>
      </c>
      <c r="Z373" t="str">
        <f t="shared" si="117"/>
        <v>Red</v>
      </c>
      <c r="AA373" t="str">
        <f t="shared" si="118"/>
        <v>Green</v>
      </c>
      <c r="AB373" t="str">
        <f t="shared" si="119"/>
        <v>Green</v>
      </c>
      <c r="AC373" t="str">
        <f t="shared" si="120"/>
        <v>Red</v>
      </c>
      <c r="AD373" t="str">
        <f t="shared" si="121"/>
        <v>Green</v>
      </c>
    </row>
    <row r="374" spans="1:30" x14ac:dyDescent="0.25">
      <c r="A374" t="str">
        <f t="shared" si="102"/>
        <v>22/07/2026Guarani SCJaragua SC</v>
      </c>
      <c r="B374" t="s">
        <v>822</v>
      </c>
      <c r="C374" t="s">
        <v>935</v>
      </c>
      <c r="D374" s="2">
        <v>46225</v>
      </c>
      <c r="E374" s="3">
        <v>0.75</v>
      </c>
      <c r="F374" t="s">
        <v>942</v>
      </c>
      <c r="G374" t="s">
        <v>943</v>
      </c>
      <c r="H374">
        <v>0</v>
      </c>
      <c r="I374">
        <v>0</v>
      </c>
      <c r="J374">
        <v>7</v>
      </c>
      <c r="K374">
        <v>0</v>
      </c>
      <c r="L374" s="22" t="str">
        <f t="shared" si="103"/>
        <v>22/07/2026</v>
      </c>
      <c r="M374" s="23">
        <f t="shared" si="104"/>
        <v>0.625</v>
      </c>
      <c r="N374" t="str">
        <f t="shared" si="105"/>
        <v>7 - 0</v>
      </c>
      <c r="O374" t="str">
        <f t="shared" si="106"/>
        <v>Green</v>
      </c>
      <c r="P374" t="str">
        <f t="shared" si="107"/>
        <v>Red</v>
      </c>
      <c r="Q374" t="str">
        <f t="shared" si="108"/>
        <v>Red</v>
      </c>
      <c r="R374" t="str">
        <f t="shared" si="109"/>
        <v>Green</v>
      </c>
      <c r="S374" t="str">
        <f t="shared" si="110"/>
        <v>Red</v>
      </c>
      <c r="T374" t="str">
        <f t="shared" si="111"/>
        <v>Green</v>
      </c>
      <c r="U374" t="str">
        <f t="shared" si="112"/>
        <v>Red</v>
      </c>
      <c r="V374" t="str">
        <f t="shared" si="113"/>
        <v>Green</v>
      </c>
      <c r="W374" t="str">
        <f t="shared" si="114"/>
        <v>Red</v>
      </c>
      <c r="X374" t="str">
        <f t="shared" si="115"/>
        <v>Red</v>
      </c>
      <c r="Y374" t="str">
        <f t="shared" si="116"/>
        <v>Green</v>
      </c>
      <c r="Z374" t="str">
        <f t="shared" si="117"/>
        <v>Green</v>
      </c>
      <c r="AA374" t="str">
        <f t="shared" si="118"/>
        <v>Red</v>
      </c>
      <c r="AB374" t="str">
        <f t="shared" si="119"/>
        <v>Red</v>
      </c>
      <c r="AC374" t="str">
        <f t="shared" si="120"/>
        <v>Red</v>
      </c>
      <c r="AD374" t="str">
        <f t="shared" si="121"/>
        <v>Green</v>
      </c>
    </row>
    <row r="375" spans="1:30" x14ac:dyDescent="0.25">
      <c r="A375" t="str">
        <f t="shared" si="102"/>
        <v>22/07/2026Audax Sao MateusEspirito Santo FC</v>
      </c>
      <c r="B375" t="s">
        <v>822</v>
      </c>
      <c r="C375" t="s">
        <v>836</v>
      </c>
      <c r="D375" s="2">
        <v>46225</v>
      </c>
      <c r="E375" s="3">
        <v>0.75</v>
      </c>
      <c r="F375" t="s">
        <v>946</v>
      </c>
      <c r="G375" t="s">
        <v>947</v>
      </c>
      <c r="H375">
        <v>0</v>
      </c>
      <c r="I375">
        <v>0</v>
      </c>
      <c r="J375">
        <v>2</v>
      </c>
      <c r="K375">
        <v>0</v>
      </c>
      <c r="L375" s="22" t="str">
        <f t="shared" si="103"/>
        <v>22/07/2026</v>
      </c>
      <c r="M375" s="23">
        <f t="shared" si="104"/>
        <v>0.625</v>
      </c>
      <c r="N375" t="str">
        <f t="shared" si="105"/>
        <v>2 - 0</v>
      </c>
      <c r="O375" t="str">
        <f t="shared" si="106"/>
        <v>Green</v>
      </c>
      <c r="P375" t="str">
        <f t="shared" si="107"/>
        <v>Red</v>
      </c>
      <c r="Q375" t="str">
        <f t="shared" si="108"/>
        <v>Red</v>
      </c>
      <c r="R375" t="str">
        <f t="shared" si="109"/>
        <v>Green</v>
      </c>
      <c r="S375" t="str">
        <f t="shared" si="110"/>
        <v>Red</v>
      </c>
      <c r="T375" t="str">
        <f t="shared" si="111"/>
        <v>Green</v>
      </c>
      <c r="U375" t="str">
        <f t="shared" si="112"/>
        <v>Red</v>
      </c>
      <c r="V375" t="str">
        <f t="shared" si="113"/>
        <v>Green</v>
      </c>
      <c r="W375" t="str">
        <f t="shared" si="114"/>
        <v>Red</v>
      </c>
      <c r="X375" t="str">
        <f t="shared" si="115"/>
        <v>Red</v>
      </c>
      <c r="Y375" t="str">
        <f t="shared" si="116"/>
        <v>Green</v>
      </c>
      <c r="Z375" t="str">
        <f t="shared" si="117"/>
        <v>Red</v>
      </c>
      <c r="AA375" t="str">
        <f t="shared" si="118"/>
        <v>Green</v>
      </c>
      <c r="AB375" t="str">
        <f t="shared" si="119"/>
        <v>Green</v>
      </c>
      <c r="AC375" t="str">
        <f t="shared" si="120"/>
        <v>Red</v>
      </c>
      <c r="AD375" t="str">
        <f t="shared" si="121"/>
        <v>Green</v>
      </c>
    </row>
    <row r="376" spans="1:30" x14ac:dyDescent="0.25">
      <c r="A376" t="str">
        <f t="shared" si="102"/>
        <v>22/07/2026Estrela do NortePinheiros ES</v>
      </c>
      <c r="B376" t="s">
        <v>822</v>
      </c>
      <c r="C376" t="s">
        <v>836</v>
      </c>
      <c r="D376" s="2">
        <v>46225</v>
      </c>
      <c r="E376" s="3">
        <v>0.75</v>
      </c>
      <c r="F376" t="s">
        <v>1806</v>
      </c>
      <c r="G376" t="s">
        <v>1807</v>
      </c>
      <c r="H376">
        <v>0</v>
      </c>
      <c r="I376">
        <v>0</v>
      </c>
      <c r="J376">
        <v>5</v>
      </c>
      <c r="K376">
        <v>0</v>
      </c>
      <c r="L376" s="22" t="str">
        <f t="shared" si="103"/>
        <v>22/07/2026</v>
      </c>
      <c r="M376" s="23">
        <f t="shared" si="104"/>
        <v>0.625</v>
      </c>
      <c r="N376" t="str">
        <f t="shared" si="105"/>
        <v>5 - 0</v>
      </c>
      <c r="O376" t="str">
        <f t="shared" si="106"/>
        <v>Green</v>
      </c>
      <c r="P376" t="str">
        <f t="shared" si="107"/>
        <v>Red</v>
      </c>
      <c r="Q376" t="str">
        <f t="shared" si="108"/>
        <v>Red</v>
      </c>
      <c r="R376" t="str">
        <f t="shared" si="109"/>
        <v>Green</v>
      </c>
      <c r="S376" t="str">
        <f t="shared" si="110"/>
        <v>Red</v>
      </c>
      <c r="T376" t="str">
        <f t="shared" si="111"/>
        <v>Green</v>
      </c>
      <c r="U376" t="str">
        <f t="shared" si="112"/>
        <v>Red</v>
      </c>
      <c r="V376" t="str">
        <f t="shared" si="113"/>
        <v>Green</v>
      </c>
      <c r="W376" t="str">
        <f t="shared" si="114"/>
        <v>Red</v>
      </c>
      <c r="X376" t="str">
        <f t="shared" si="115"/>
        <v>Red</v>
      </c>
      <c r="Y376" t="str">
        <f t="shared" si="116"/>
        <v>Green</v>
      </c>
      <c r="Z376" t="str">
        <f t="shared" si="117"/>
        <v>Green</v>
      </c>
      <c r="AA376" t="str">
        <f t="shared" si="118"/>
        <v>Red</v>
      </c>
      <c r="AB376" t="str">
        <f t="shared" si="119"/>
        <v>Red</v>
      </c>
      <c r="AC376" t="str">
        <f t="shared" si="120"/>
        <v>Red</v>
      </c>
      <c r="AD376" t="str">
        <f t="shared" si="121"/>
        <v>Green</v>
      </c>
    </row>
    <row r="377" spans="1:30" x14ac:dyDescent="0.25">
      <c r="A377" t="str">
        <f t="shared" si="102"/>
        <v>22/07/2026Zumbi EC U20Coruripe U20</v>
      </c>
      <c r="B377" t="s">
        <v>822</v>
      </c>
      <c r="D377" s="2">
        <v>46225</v>
      </c>
      <c r="E377" s="3">
        <v>0.75</v>
      </c>
      <c r="F377" t="s">
        <v>1808</v>
      </c>
      <c r="G377" t="s">
        <v>1809</v>
      </c>
      <c r="H377">
        <v>0</v>
      </c>
      <c r="I377">
        <v>0</v>
      </c>
      <c r="J377">
        <v>0</v>
      </c>
      <c r="K377">
        <v>0</v>
      </c>
      <c r="L377" s="22" t="str">
        <f t="shared" si="103"/>
        <v>22/07/2026</v>
      </c>
      <c r="M377" s="23">
        <f t="shared" si="104"/>
        <v>0.625</v>
      </c>
      <c r="N377" t="str">
        <f t="shared" si="105"/>
        <v>0 - 0</v>
      </c>
      <c r="O377" t="str">
        <f t="shared" si="106"/>
        <v>Red</v>
      </c>
      <c r="P377" t="str">
        <f t="shared" si="107"/>
        <v>Green</v>
      </c>
      <c r="Q377" t="str">
        <f t="shared" si="108"/>
        <v>Red</v>
      </c>
      <c r="R377" t="str">
        <f t="shared" si="109"/>
        <v>Green</v>
      </c>
      <c r="S377" t="str">
        <f t="shared" si="110"/>
        <v>Green</v>
      </c>
      <c r="T377" t="str">
        <f t="shared" si="111"/>
        <v>Red</v>
      </c>
      <c r="U377" t="str">
        <f t="shared" si="112"/>
        <v>Red</v>
      </c>
      <c r="V377" t="str">
        <f t="shared" si="113"/>
        <v>Green</v>
      </c>
      <c r="W377" t="str">
        <f t="shared" si="114"/>
        <v>Red</v>
      </c>
      <c r="X377" t="str">
        <f t="shared" si="115"/>
        <v>Red</v>
      </c>
      <c r="Y377" t="str">
        <f t="shared" si="116"/>
        <v>Red</v>
      </c>
      <c r="Z377" t="str">
        <f t="shared" si="117"/>
        <v>Red</v>
      </c>
      <c r="AA377" t="str">
        <f t="shared" si="118"/>
        <v>Green</v>
      </c>
      <c r="AB377" t="str">
        <f t="shared" si="119"/>
        <v>Green</v>
      </c>
      <c r="AC377" t="str">
        <f t="shared" si="120"/>
        <v>Red</v>
      </c>
      <c r="AD377" t="str">
        <f t="shared" si="121"/>
        <v>Green</v>
      </c>
    </row>
    <row r="378" spans="1:30" x14ac:dyDescent="0.25">
      <c r="A378" t="str">
        <f t="shared" si="102"/>
        <v>22/07/2026Figueirense U20Carlos Renaux U20</v>
      </c>
      <c r="B378" t="s">
        <v>822</v>
      </c>
      <c r="D378" s="2">
        <v>46225</v>
      </c>
      <c r="E378" s="3">
        <v>0.75</v>
      </c>
      <c r="F378" t="s">
        <v>1810</v>
      </c>
      <c r="G378" t="s">
        <v>1811</v>
      </c>
      <c r="H378">
        <v>0</v>
      </c>
      <c r="I378">
        <v>0</v>
      </c>
      <c r="J378">
        <v>1</v>
      </c>
      <c r="K378">
        <v>2</v>
      </c>
      <c r="L378" s="22" t="str">
        <f t="shared" si="103"/>
        <v>22/07/2026</v>
      </c>
      <c r="M378" s="23">
        <f t="shared" si="104"/>
        <v>0.625</v>
      </c>
      <c r="N378" t="str">
        <f t="shared" si="105"/>
        <v>1 - 2</v>
      </c>
      <c r="O378" t="str">
        <f t="shared" si="106"/>
        <v>Red</v>
      </c>
      <c r="P378" t="str">
        <f t="shared" si="107"/>
        <v>Red</v>
      </c>
      <c r="Q378" t="str">
        <f t="shared" si="108"/>
        <v>Green</v>
      </c>
      <c r="R378" t="str">
        <f t="shared" si="109"/>
        <v>Red</v>
      </c>
      <c r="S378" t="str">
        <f t="shared" si="110"/>
        <v>Green</v>
      </c>
      <c r="T378" t="str">
        <f t="shared" si="111"/>
        <v>Green</v>
      </c>
      <c r="U378" t="str">
        <f t="shared" si="112"/>
        <v>Red</v>
      </c>
      <c r="V378" t="str">
        <f t="shared" si="113"/>
        <v>Green</v>
      </c>
      <c r="W378" t="str">
        <f t="shared" si="114"/>
        <v>Red</v>
      </c>
      <c r="X378" t="str">
        <f t="shared" si="115"/>
        <v>Red</v>
      </c>
      <c r="Y378" t="str">
        <f t="shared" si="116"/>
        <v>Green</v>
      </c>
      <c r="Z378" t="str">
        <f t="shared" si="117"/>
        <v>Green</v>
      </c>
      <c r="AA378" t="str">
        <f t="shared" si="118"/>
        <v>Red</v>
      </c>
      <c r="AB378" t="str">
        <f t="shared" si="119"/>
        <v>Green</v>
      </c>
      <c r="AC378" t="str">
        <f t="shared" si="120"/>
        <v>Green</v>
      </c>
      <c r="AD378" t="str">
        <f t="shared" si="121"/>
        <v>Red</v>
      </c>
    </row>
    <row r="379" spans="1:30" x14ac:dyDescent="0.25">
      <c r="A379" t="str">
        <f t="shared" si="102"/>
        <v>22/07/2026Joinville U20Criciuma U20</v>
      </c>
      <c r="B379" t="s">
        <v>822</v>
      </c>
      <c r="D379" s="2">
        <v>46225</v>
      </c>
      <c r="E379" s="3">
        <v>0.75</v>
      </c>
      <c r="F379" t="s">
        <v>1812</v>
      </c>
      <c r="G379" t="s">
        <v>1813</v>
      </c>
      <c r="H379">
        <v>0</v>
      </c>
      <c r="I379">
        <v>0</v>
      </c>
      <c r="J379">
        <v>1</v>
      </c>
      <c r="K379">
        <v>3</v>
      </c>
      <c r="L379" s="22" t="str">
        <f t="shared" si="103"/>
        <v>22/07/2026</v>
      </c>
      <c r="M379" s="23">
        <f t="shared" si="104"/>
        <v>0.625</v>
      </c>
      <c r="N379" t="str">
        <f t="shared" si="105"/>
        <v>1 - 3</v>
      </c>
      <c r="O379" t="str">
        <f t="shared" si="106"/>
        <v>Red</v>
      </c>
      <c r="P379" t="str">
        <f t="shared" si="107"/>
        <v>Red</v>
      </c>
      <c r="Q379" t="str">
        <f t="shared" si="108"/>
        <v>Green</v>
      </c>
      <c r="R379" t="str">
        <f t="shared" si="109"/>
        <v>Red</v>
      </c>
      <c r="S379" t="str">
        <f t="shared" si="110"/>
        <v>Green</v>
      </c>
      <c r="T379" t="str">
        <f t="shared" si="111"/>
        <v>Green</v>
      </c>
      <c r="U379" t="str">
        <f t="shared" si="112"/>
        <v>Red</v>
      </c>
      <c r="V379" t="str">
        <f t="shared" si="113"/>
        <v>Green</v>
      </c>
      <c r="W379" t="str">
        <f t="shared" si="114"/>
        <v>Red</v>
      </c>
      <c r="X379" t="str">
        <f t="shared" si="115"/>
        <v>Red</v>
      </c>
      <c r="Y379" t="str">
        <f t="shared" si="116"/>
        <v>Green</v>
      </c>
      <c r="Z379" t="str">
        <f t="shared" si="117"/>
        <v>Green</v>
      </c>
      <c r="AA379" t="str">
        <f t="shared" si="118"/>
        <v>Red</v>
      </c>
      <c r="AB379" t="str">
        <f t="shared" si="119"/>
        <v>Red</v>
      </c>
      <c r="AC379" t="str">
        <f t="shared" si="120"/>
        <v>Green</v>
      </c>
      <c r="AD379" t="str">
        <f t="shared" si="121"/>
        <v>Red</v>
      </c>
    </row>
    <row r="380" spans="1:30" x14ac:dyDescent="0.25">
      <c r="A380" t="str">
        <f t="shared" si="102"/>
        <v>22/07/2026Nacao Esportes U20Avai U20</v>
      </c>
      <c r="B380" t="s">
        <v>822</v>
      </c>
      <c r="D380" s="2">
        <v>46225</v>
      </c>
      <c r="E380" s="3">
        <v>0.75</v>
      </c>
      <c r="F380" t="s">
        <v>1814</v>
      </c>
      <c r="G380" t="s">
        <v>1815</v>
      </c>
      <c r="H380">
        <v>0</v>
      </c>
      <c r="I380">
        <v>0</v>
      </c>
      <c r="J380">
        <v>1</v>
      </c>
      <c r="K380">
        <v>2</v>
      </c>
      <c r="L380" s="22" t="str">
        <f t="shared" si="103"/>
        <v>22/07/2026</v>
      </c>
      <c r="M380" s="23">
        <f t="shared" si="104"/>
        <v>0.625</v>
      </c>
      <c r="N380" t="str">
        <f t="shared" si="105"/>
        <v>1 - 2</v>
      </c>
      <c r="O380" t="str">
        <f t="shared" si="106"/>
        <v>Red</v>
      </c>
      <c r="P380" t="str">
        <f t="shared" si="107"/>
        <v>Red</v>
      </c>
      <c r="Q380" t="str">
        <f t="shared" si="108"/>
        <v>Green</v>
      </c>
      <c r="R380" t="str">
        <f t="shared" si="109"/>
        <v>Red</v>
      </c>
      <c r="S380" t="str">
        <f t="shared" si="110"/>
        <v>Green</v>
      </c>
      <c r="T380" t="str">
        <f t="shared" si="111"/>
        <v>Green</v>
      </c>
      <c r="U380" t="str">
        <f t="shared" si="112"/>
        <v>Red</v>
      </c>
      <c r="V380" t="str">
        <f t="shared" si="113"/>
        <v>Green</v>
      </c>
      <c r="W380" t="str">
        <f t="shared" si="114"/>
        <v>Red</v>
      </c>
      <c r="X380" t="str">
        <f t="shared" si="115"/>
        <v>Red</v>
      </c>
      <c r="Y380" t="str">
        <f t="shared" si="116"/>
        <v>Green</v>
      </c>
      <c r="Z380" t="str">
        <f t="shared" si="117"/>
        <v>Green</v>
      </c>
      <c r="AA380" t="str">
        <f t="shared" si="118"/>
        <v>Red</v>
      </c>
      <c r="AB380" t="str">
        <f t="shared" si="119"/>
        <v>Green</v>
      </c>
      <c r="AC380" t="str">
        <f t="shared" si="120"/>
        <v>Green</v>
      </c>
      <c r="AD380" t="str">
        <f t="shared" si="121"/>
        <v>Red</v>
      </c>
    </row>
    <row r="381" spans="1:30" x14ac:dyDescent="0.25">
      <c r="A381" t="str">
        <f t="shared" si="102"/>
        <v>22/07/2026Pyunik Women WomenWrexham Women</v>
      </c>
      <c r="B381" t="s">
        <v>820</v>
      </c>
      <c r="D381" s="2">
        <v>46225</v>
      </c>
      <c r="E381" s="3">
        <v>0.75</v>
      </c>
      <c r="F381" t="s">
        <v>1816</v>
      </c>
      <c r="G381" t="s">
        <v>1817</v>
      </c>
      <c r="H381">
        <v>1</v>
      </c>
      <c r="I381">
        <v>1</v>
      </c>
      <c r="J381">
        <v>2</v>
      </c>
      <c r="K381">
        <v>4</v>
      </c>
      <c r="L381" s="22" t="str">
        <f t="shared" si="103"/>
        <v>22/07/2026</v>
      </c>
      <c r="M381" s="23">
        <f t="shared" si="104"/>
        <v>0.625</v>
      </c>
      <c r="N381" t="str">
        <f t="shared" si="105"/>
        <v>2 - 4</v>
      </c>
      <c r="O381" t="str">
        <f t="shared" si="106"/>
        <v>Red</v>
      </c>
      <c r="P381" t="str">
        <f t="shared" si="107"/>
        <v>Red</v>
      </c>
      <c r="Q381" t="str">
        <f t="shared" si="108"/>
        <v>Green</v>
      </c>
      <c r="R381" t="str">
        <f t="shared" si="109"/>
        <v>Red</v>
      </c>
      <c r="S381" t="str">
        <f t="shared" si="110"/>
        <v>Green</v>
      </c>
      <c r="T381" t="str">
        <f t="shared" si="111"/>
        <v>Green</v>
      </c>
      <c r="U381" t="str">
        <f t="shared" si="112"/>
        <v>Red</v>
      </c>
      <c r="V381" t="str">
        <f t="shared" si="113"/>
        <v>Green</v>
      </c>
      <c r="W381" t="str">
        <f t="shared" si="114"/>
        <v>Red</v>
      </c>
      <c r="X381" t="str">
        <f t="shared" si="115"/>
        <v>Green</v>
      </c>
      <c r="Y381" t="str">
        <f t="shared" si="116"/>
        <v>Green</v>
      </c>
      <c r="Z381" t="str">
        <f t="shared" si="117"/>
        <v>Green</v>
      </c>
      <c r="AA381" t="str">
        <f t="shared" si="118"/>
        <v>Red</v>
      </c>
      <c r="AB381" t="str">
        <f t="shared" si="119"/>
        <v>Red</v>
      </c>
      <c r="AC381" t="str">
        <f t="shared" si="120"/>
        <v>Green</v>
      </c>
      <c r="AD381" t="str">
        <f t="shared" si="121"/>
        <v>Red</v>
      </c>
    </row>
    <row r="382" spans="1:30" x14ac:dyDescent="0.25">
      <c r="A382" t="str">
        <f t="shared" si="102"/>
        <v>22/07/2026KAC KenitraAS Mansouria</v>
      </c>
      <c r="D382" s="2">
        <v>46225</v>
      </c>
      <c r="E382" s="3">
        <v>0.75</v>
      </c>
      <c r="F382" t="s">
        <v>1818</v>
      </c>
      <c r="G382" t="s">
        <v>1819</v>
      </c>
      <c r="H382">
        <v>0</v>
      </c>
      <c r="I382">
        <v>0</v>
      </c>
      <c r="J382">
        <v>2</v>
      </c>
      <c r="K382">
        <v>0</v>
      </c>
      <c r="L382" s="22" t="str">
        <f t="shared" si="103"/>
        <v>22/07/2026</v>
      </c>
      <c r="M382" s="23">
        <f t="shared" si="104"/>
        <v>0.625</v>
      </c>
      <c r="N382" t="str">
        <f t="shared" si="105"/>
        <v>2 - 0</v>
      </c>
      <c r="O382" t="str">
        <f t="shared" si="106"/>
        <v>Green</v>
      </c>
      <c r="P382" t="str">
        <f t="shared" si="107"/>
        <v>Red</v>
      </c>
      <c r="Q382" t="str">
        <f t="shared" si="108"/>
        <v>Red</v>
      </c>
      <c r="R382" t="str">
        <f t="shared" si="109"/>
        <v>Green</v>
      </c>
      <c r="S382" t="str">
        <f t="shared" si="110"/>
        <v>Red</v>
      </c>
      <c r="T382" t="str">
        <f t="shared" si="111"/>
        <v>Green</v>
      </c>
      <c r="U382" t="str">
        <f t="shared" si="112"/>
        <v>Red</v>
      </c>
      <c r="V382" t="str">
        <f t="shared" si="113"/>
        <v>Green</v>
      </c>
      <c r="W382" t="str">
        <f t="shared" si="114"/>
        <v>Red</v>
      </c>
      <c r="X382" t="str">
        <f t="shared" si="115"/>
        <v>Red</v>
      </c>
      <c r="Y382" t="str">
        <f t="shared" si="116"/>
        <v>Green</v>
      </c>
      <c r="Z382" t="str">
        <f t="shared" si="117"/>
        <v>Red</v>
      </c>
      <c r="AA382" t="str">
        <f t="shared" si="118"/>
        <v>Green</v>
      </c>
      <c r="AB382" t="str">
        <f t="shared" si="119"/>
        <v>Green</v>
      </c>
      <c r="AC382" t="str">
        <f t="shared" si="120"/>
        <v>Red</v>
      </c>
      <c r="AD382" t="str">
        <f t="shared" si="121"/>
        <v>Green</v>
      </c>
    </row>
    <row r="383" spans="1:30" x14ac:dyDescent="0.25">
      <c r="A383" t="str">
        <f t="shared" si="102"/>
        <v>22/07/2026US BoujaadRapide Oued Zem</v>
      </c>
      <c r="D383" s="2">
        <v>46225</v>
      </c>
      <c r="E383" s="3">
        <v>0.75</v>
      </c>
      <c r="F383" t="s">
        <v>1820</v>
      </c>
      <c r="G383" t="s">
        <v>1821</v>
      </c>
      <c r="H383">
        <v>0</v>
      </c>
      <c r="I383">
        <v>0</v>
      </c>
      <c r="J383">
        <v>4</v>
      </c>
      <c r="K383">
        <v>1</v>
      </c>
      <c r="L383" s="22" t="str">
        <f t="shared" si="103"/>
        <v>22/07/2026</v>
      </c>
      <c r="M383" s="23">
        <f t="shared" si="104"/>
        <v>0.625</v>
      </c>
      <c r="N383" t="str">
        <f t="shared" si="105"/>
        <v>4 - 1</v>
      </c>
      <c r="O383" t="str">
        <f t="shared" si="106"/>
        <v>Green</v>
      </c>
      <c r="P383" t="str">
        <f t="shared" si="107"/>
        <v>Red</v>
      </c>
      <c r="Q383" t="str">
        <f t="shared" si="108"/>
        <v>Red</v>
      </c>
      <c r="R383" t="str">
        <f t="shared" si="109"/>
        <v>Green</v>
      </c>
      <c r="S383" t="str">
        <f t="shared" si="110"/>
        <v>Red</v>
      </c>
      <c r="T383" t="str">
        <f t="shared" si="111"/>
        <v>Green</v>
      </c>
      <c r="U383" t="str">
        <f t="shared" si="112"/>
        <v>Red</v>
      </c>
      <c r="V383" t="str">
        <f t="shared" si="113"/>
        <v>Green</v>
      </c>
      <c r="W383" t="str">
        <f t="shared" si="114"/>
        <v>Red</v>
      </c>
      <c r="X383" t="str">
        <f t="shared" si="115"/>
        <v>Red</v>
      </c>
      <c r="Y383" t="str">
        <f t="shared" si="116"/>
        <v>Green</v>
      </c>
      <c r="Z383" t="str">
        <f t="shared" si="117"/>
        <v>Green</v>
      </c>
      <c r="AA383" t="str">
        <f t="shared" si="118"/>
        <v>Red</v>
      </c>
      <c r="AB383" t="str">
        <f t="shared" si="119"/>
        <v>Red</v>
      </c>
      <c r="AC383" t="str">
        <f t="shared" si="120"/>
        <v>Green</v>
      </c>
      <c r="AD383" t="str">
        <f t="shared" si="121"/>
        <v>Red</v>
      </c>
    </row>
    <row r="384" spans="1:30" x14ac:dyDescent="0.25">
      <c r="A384" t="str">
        <f t="shared" si="102"/>
        <v>22/07/2026AFC WimbledonNorwich</v>
      </c>
      <c r="D384" s="2">
        <v>46225</v>
      </c>
      <c r="E384" s="3">
        <v>0.75</v>
      </c>
      <c r="F384" t="s">
        <v>1822</v>
      </c>
      <c r="G384" t="s">
        <v>1823</v>
      </c>
      <c r="H384">
        <v>0</v>
      </c>
      <c r="I384">
        <v>0</v>
      </c>
      <c r="J384">
        <v>0</v>
      </c>
      <c r="K384">
        <v>0</v>
      </c>
      <c r="L384" s="22" t="str">
        <f t="shared" si="103"/>
        <v>22/07/2026</v>
      </c>
      <c r="M384" s="23">
        <f t="shared" si="104"/>
        <v>0.625</v>
      </c>
      <c r="N384" t="str">
        <f t="shared" si="105"/>
        <v>0 - 0</v>
      </c>
      <c r="O384" t="str">
        <f t="shared" si="106"/>
        <v>Red</v>
      </c>
      <c r="P384" t="str">
        <f t="shared" si="107"/>
        <v>Green</v>
      </c>
      <c r="Q384" t="str">
        <f t="shared" si="108"/>
        <v>Red</v>
      </c>
      <c r="R384" t="str">
        <f t="shared" si="109"/>
        <v>Green</v>
      </c>
      <c r="S384" t="str">
        <f t="shared" si="110"/>
        <v>Green</v>
      </c>
      <c r="T384" t="str">
        <f t="shared" si="111"/>
        <v>Red</v>
      </c>
      <c r="U384" t="str">
        <f t="shared" si="112"/>
        <v>Red</v>
      </c>
      <c r="V384" t="str">
        <f t="shared" si="113"/>
        <v>Green</v>
      </c>
      <c r="W384" t="str">
        <f t="shared" si="114"/>
        <v>Red</v>
      </c>
      <c r="X384" t="str">
        <f t="shared" si="115"/>
        <v>Red</v>
      </c>
      <c r="Y384" t="str">
        <f t="shared" si="116"/>
        <v>Red</v>
      </c>
      <c r="Z384" t="str">
        <f t="shared" si="117"/>
        <v>Red</v>
      </c>
      <c r="AA384" t="str">
        <f t="shared" si="118"/>
        <v>Green</v>
      </c>
      <c r="AB384" t="str">
        <f t="shared" si="119"/>
        <v>Green</v>
      </c>
      <c r="AC384" t="str">
        <f t="shared" si="120"/>
        <v>Red</v>
      </c>
      <c r="AD384" t="str">
        <f t="shared" si="121"/>
        <v>Green</v>
      </c>
    </row>
    <row r="385" spans="1:30" x14ac:dyDescent="0.25">
      <c r="A385" t="str">
        <f t="shared" si="102"/>
        <v>22/07/2026UE OlotGirona</v>
      </c>
      <c r="D385" s="2">
        <v>46225</v>
      </c>
      <c r="E385" s="3">
        <v>0.75</v>
      </c>
      <c r="F385" t="s">
        <v>1824</v>
      </c>
      <c r="G385" t="s">
        <v>1825</v>
      </c>
      <c r="H385">
        <v>0</v>
      </c>
      <c r="I385">
        <v>2</v>
      </c>
      <c r="J385">
        <v>1</v>
      </c>
      <c r="K385">
        <v>3</v>
      </c>
      <c r="L385" s="22" t="str">
        <f t="shared" si="103"/>
        <v>22/07/2026</v>
      </c>
      <c r="M385" s="23">
        <f t="shared" si="104"/>
        <v>0.625</v>
      </c>
      <c r="N385" t="str">
        <f t="shared" si="105"/>
        <v>1 - 3</v>
      </c>
      <c r="O385" t="str">
        <f t="shared" si="106"/>
        <v>Red</v>
      </c>
      <c r="P385" t="str">
        <f t="shared" si="107"/>
        <v>Red</v>
      </c>
      <c r="Q385" t="str">
        <f t="shared" si="108"/>
        <v>Green</v>
      </c>
      <c r="R385" t="str">
        <f t="shared" si="109"/>
        <v>Red</v>
      </c>
      <c r="S385" t="str">
        <f t="shared" si="110"/>
        <v>Green</v>
      </c>
      <c r="T385" t="str">
        <f t="shared" si="111"/>
        <v>Green</v>
      </c>
      <c r="U385" t="str">
        <f t="shared" si="112"/>
        <v>Red</v>
      </c>
      <c r="V385" t="str">
        <f t="shared" si="113"/>
        <v>Red</v>
      </c>
      <c r="W385" t="str">
        <f t="shared" si="114"/>
        <v>Green</v>
      </c>
      <c r="X385" t="str">
        <f t="shared" si="115"/>
        <v>Green</v>
      </c>
      <c r="Y385" t="str">
        <f t="shared" si="116"/>
        <v>Green</v>
      </c>
      <c r="Z385" t="str">
        <f t="shared" si="117"/>
        <v>Green</v>
      </c>
      <c r="AA385" t="str">
        <f t="shared" si="118"/>
        <v>Red</v>
      </c>
      <c r="AB385" t="str">
        <f t="shared" si="119"/>
        <v>Red</v>
      </c>
      <c r="AC385" t="str">
        <f t="shared" si="120"/>
        <v>Green</v>
      </c>
      <c r="AD385" t="str">
        <f t="shared" si="121"/>
        <v>Red</v>
      </c>
    </row>
    <row r="386" spans="1:30" x14ac:dyDescent="0.25">
      <c r="A386" t="str">
        <f t="shared" si="102"/>
        <v>22/07/2026ValenciaEldense</v>
      </c>
      <c r="D386" s="2">
        <v>46225</v>
      </c>
      <c r="E386" s="3">
        <v>0.75</v>
      </c>
      <c r="F386" t="s">
        <v>1826</v>
      </c>
      <c r="G386" t="s">
        <v>1827</v>
      </c>
      <c r="H386">
        <v>3</v>
      </c>
      <c r="I386">
        <v>0</v>
      </c>
      <c r="J386">
        <v>3</v>
      </c>
      <c r="K386">
        <v>0</v>
      </c>
      <c r="L386" s="22" t="str">
        <f t="shared" si="103"/>
        <v>22/07/2026</v>
      </c>
      <c r="M386" s="23">
        <f t="shared" si="104"/>
        <v>0.625</v>
      </c>
      <c r="N386" t="str">
        <f t="shared" si="105"/>
        <v>3 - 0</v>
      </c>
      <c r="O386" t="str">
        <f t="shared" si="106"/>
        <v>Green</v>
      </c>
      <c r="P386" t="str">
        <f t="shared" si="107"/>
        <v>Red</v>
      </c>
      <c r="Q386" t="str">
        <f t="shared" si="108"/>
        <v>Red</v>
      </c>
      <c r="R386" t="str">
        <f t="shared" si="109"/>
        <v>Green</v>
      </c>
      <c r="S386" t="str">
        <f t="shared" si="110"/>
        <v>Red</v>
      </c>
      <c r="T386" t="str">
        <f t="shared" si="111"/>
        <v>Green</v>
      </c>
      <c r="U386" t="str">
        <f t="shared" si="112"/>
        <v>Green</v>
      </c>
      <c r="V386" t="str">
        <f t="shared" si="113"/>
        <v>Red</v>
      </c>
      <c r="W386" t="str">
        <f t="shared" si="114"/>
        <v>Red</v>
      </c>
      <c r="X386" t="str">
        <f t="shared" si="115"/>
        <v>Green</v>
      </c>
      <c r="Y386" t="str">
        <f t="shared" si="116"/>
        <v>Green</v>
      </c>
      <c r="Z386" t="str">
        <f t="shared" si="117"/>
        <v>Green</v>
      </c>
      <c r="AA386" t="str">
        <f t="shared" si="118"/>
        <v>Red</v>
      </c>
      <c r="AB386" t="str">
        <f t="shared" si="119"/>
        <v>Green</v>
      </c>
      <c r="AC386" t="str">
        <f t="shared" si="120"/>
        <v>Red</v>
      </c>
      <c r="AD386" t="str">
        <f t="shared" si="121"/>
        <v>Green</v>
      </c>
    </row>
    <row r="387" spans="1:30" x14ac:dyDescent="0.25">
      <c r="A387" t="str">
        <f t="shared" ref="A387:A450" si="122">L387&amp;F387&amp;G387</f>
        <v>22/07/2026Huracan WomenBanfield Women</v>
      </c>
      <c r="B387" t="s">
        <v>824</v>
      </c>
      <c r="C387" t="s">
        <v>897</v>
      </c>
      <c r="D387" s="2">
        <v>46225</v>
      </c>
      <c r="E387" s="3">
        <v>0.75002314814814819</v>
      </c>
      <c r="F387" t="s">
        <v>902</v>
      </c>
      <c r="G387" t="s">
        <v>903</v>
      </c>
      <c r="H387">
        <v>1</v>
      </c>
      <c r="I387">
        <v>1</v>
      </c>
      <c r="J387">
        <v>1</v>
      </c>
      <c r="K387">
        <v>2</v>
      </c>
      <c r="L387" s="22" t="str">
        <f t="shared" ref="L387:L450" si="123">DAY(D387)&amp;"/"&amp;"07"&amp;"/"&amp;YEAR(D387)</f>
        <v>22/07/2026</v>
      </c>
      <c r="M387" s="23">
        <f t="shared" ref="M387:M450" si="124">E387-TIME(3,0,0)</f>
        <v>0.62502314814814819</v>
      </c>
      <c r="N387" t="str">
        <f t="shared" ref="N387:N450" si="125">J387&amp;" - "&amp;K387</f>
        <v>1 - 2</v>
      </c>
      <c r="O387" t="str">
        <f t="shared" ref="O387:O450" si="126">IF($J387&gt;$K387,"Green","Red")</f>
        <v>Red</v>
      </c>
      <c r="P387" t="str">
        <f t="shared" ref="P387:P450" si="127">IF($J387=$K387,"Green","Red")</f>
        <v>Red</v>
      </c>
      <c r="Q387" t="str">
        <f t="shared" ref="Q387:Q450" si="128">IF($J387&lt;$K387,"Green","Red")</f>
        <v>Green</v>
      </c>
      <c r="R387" t="str">
        <f t="shared" ref="R387:R450" si="129">IF($J387&gt;=$K387,"Green","Red")</f>
        <v>Red</v>
      </c>
      <c r="S387" t="str">
        <f t="shared" ref="S387:S450" si="130">IF($J387&lt;=$K387,"Green","Red")</f>
        <v>Green</v>
      </c>
      <c r="T387" t="str">
        <f t="shared" ref="T387:T450" si="131">IF(OR($J387&gt;$K387,$J387&lt;$K387),"Green","Red")</f>
        <v>Green</v>
      </c>
      <c r="U387" t="str">
        <f t="shared" ref="U387:U450" si="132">IF($H387&gt;$I387,"Green","Red")</f>
        <v>Red</v>
      </c>
      <c r="V387" t="str">
        <f t="shared" ref="V387:V450" si="133">IF($H387=$I387,"Green","Red")</f>
        <v>Green</v>
      </c>
      <c r="W387" t="str">
        <f t="shared" ref="W387:W450" si="134">IF($H387&lt;$I387,"Green","Red")</f>
        <v>Red</v>
      </c>
      <c r="X387" t="str">
        <f t="shared" ref="X387:X450" si="135">IF($H387+$I387&gt;0,"Green","Red")</f>
        <v>Green</v>
      </c>
      <c r="Y387" t="str">
        <f t="shared" ref="Y387:Y450" si="136">IF($J387+$K387&gt;1.5,"Green","Red")</f>
        <v>Green</v>
      </c>
      <c r="Z387" t="str">
        <f t="shared" ref="Z387:Z450" si="137">IF($J387+$K387&gt;2.5,"Green","Red")</f>
        <v>Green</v>
      </c>
      <c r="AA387" t="str">
        <f t="shared" ref="AA387:AA450" si="138">IF($J387+$K387&lt;2.5,"Green","Red")</f>
        <v>Red</v>
      </c>
      <c r="AB387" t="str">
        <f t="shared" ref="AB387:AB450" si="139">IF($J387+$K387&lt;3.5,"Green","Red")</f>
        <v>Green</v>
      </c>
      <c r="AC387" t="str">
        <f t="shared" ref="AC387:AC450" si="140">IF(AND($J387&gt;0,$K387&gt;0),"Green","Red")</f>
        <v>Green</v>
      </c>
      <c r="AD387" t="str">
        <f t="shared" ref="AD387:AD450" si="141">IF(OR($J387=0,$K387=0),"Green","Red")</f>
        <v>Red</v>
      </c>
    </row>
    <row r="388" spans="1:30" x14ac:dyDescent="0.25">
      <c r="A388" t="str">
        <f t="shared" si="122"/>
        <v>22/07/2026Spartak TrnavaCSKA 1948</v>
      </c>
      <c r="B388" t="s">
        <v>820</v>
      </c>
      <c r="C388" t="s">
        <v>1344</v>
      </c>
      <c r="D388" s="2">
        <v>46225</v>
      </c>
      <c r="E388" s="3">
        <v>0.77083333333333337</v>
      </c>
      <c r="F388" t="s">
        <v>1828</v>
      </c>
      <c r="G388" t="s">
        <v>1829</v>
      </c>
      <c r="H388">
        <v>0</v>
      </c>
      <c r="I388">
        <v>0</v>
      </c>
      <c r="J388">
        <v>0</v>
      </c>
      <c r="K388">
        <v>0</v>
      </c>
      <c r="L388" s="22" t="str">
        <f t="shared" si="123"/>
        <v>22/07/2026</v>
      </c>
      <c r="M388" s="23">
        <f t="shared" si="124"/>
        <v>0.64583333333333337</v>
      </c>
      <c r="N388" t="str">
        <f t="shared" si="125"/>
        <v>0 - 0</v>
      </c>
      <c r="O388" t="str">
        <f t="shared" si="126"/>
        <v>Red</v>
      </c>
      <c r="P388" t="str">
        <f t="shared" si="127"/>
        <v>Green</v>
      </c>
      <c r="Q388" t="str">
        <f t="shared" si="128"/>
        <v>Red</v>
      </c>
      <c r="R388" t="str">
        <f t="shared" si="129"/>
        <v>Green</v>
      </c>
      <c r="S388" t="str">
        <f t="shared" si="130"/>
        <v>Green</v>
      </c>
      <c r="T388" t="str">
        <f t="shared" si="131"/>
        <v>Red</v>
      </c>
      <c r="U388" t="str">
        <f t="shared" si="132"/>
        <v>Red</v>
      </c>
      <c r="V388" t="str">
        <f t="shared" si="133"/>
        <v>Green</v>
      </c>
      <c r="W388" t="str">
        <f t="shared" si="134"/>
        <v>Red</v>
      </c>
      <c r="X388" t="str">
        <f t="shared" si="135"/>
        <v>Red</v>
      </c>
      <c r="Y388" t="str">
        <f t="shared" si="136"/>
        <v>Red</v>
      </c>
      <c r="Z388" t="str">
        <f t="shared" si="137"/>
        <v>Red</v>
      </c>
      <c r="AA388" t="str">
        <f t="shared" si="138"/>
        <v>Green</v>
      </c>
      <c r="AB388" t="str">
        <f t="shared" si="139"/>
        <v>Green</v>
      </c>
      <c r="AC388" t="str">
        <f t="shared" si="140"/>
        <v>Red</v>
      </c>
      <c r="AD388" t="str">
        <f t="shared" si="141"/>
        <v>Green</v>
      </c>
    </row>
    <row r="389" spans="1:30" x14ac:dyDescent="0.25">
      <c r="A389" t="str">
        <f t="shared" si="122"/>
        <v>22/07/2026Deportivo HumaitaEncarnacion FC</v>
      </c>
      <c r="D389" s="2">
        <v>46225</v>
      </c>
      <c r="E389" s="3">
        <v>0.77083333333333337</v>
      </c>
      <c r="F389" t="s">
        <v>1830</v>
      </c>
      <c r="G389" t="s">
        <v>1831</v>
      </c>
      <c r="H389">
        <v>0</v>
      </c>
      <c r="I389">
        <v>0</v>
      </c>
      <c r="J389">
        <v>1</v>
      </c>
      <c r="K389">
        <v>1</v>
      </c>
      <c r="L389" s="22" t="str">
        <f t="shared" si="123"/>
        <v>22/07/2026</v>
      </c>
      <c r="M389" s="23">
        <f t="shared" si="124"/>
        <v>0.64583333333333337</v>
      </c>
      <c r="N389" t="str">
        <f t="shared" si="125"/>
        <v>1 - 1</v>
      </c>
      <c r="O389" t="str">
        <f t="shared" si="126"/>
        <v>Red</v>
      </c>
      <c r="P389" t="str">
        <f t="shared" si="127"/>
        <v>Green</v>
      </c>
      <c r="Q389" t="str">
        <f t="shared" si="128"/>
        <v>Red</v>
      </c>
      <c r="R389" t="str">
        <f t="shared" si="129"/>
        <v>Green</v>
      </c>
      <c r="S389" t="str">
        <f t="shared" si="130"/>
        <v>Green</v>
      </c>
      <c r="T389" t="str">
        <f t="shared" si="131"/>
        <v>Red</v>
      </c>
      <c r="U389" t="str">
        <f t="shared" si="132"/>
        <v>Red</v>
      </c>
      <c r="V389" t="str">
        <f t="shared" si="133"/>
        <v>Green</v>
      </c>
      <c r="W389" t="str">
        <f t="shared" si="134"/>
        <v>Red</v>
      </c>
      <c r="X389" t="str">
        <f t="shared" si="135"/>
        <v>Red</v>
      </c>
      <c r="Y389" t="str">
        <f t="shared" si="136"/>
        <v>Green</v>
      </c>
      <c r="Z389" t="str">
        <f t="shared" si="137"/>
        <v>Red</v>
      </c>
      <c r="AA389" t="str">
        <f t="shared" si="138"/>
        <v>Green</v>
      </c>
      <c r="AB389" t="str">
        <f t="shared" si="139"/>
        <v>Green</v>
      </c>
      <c r="AC389" t="str">
        <f t="shared" si="140"/>
        <v>Green</v>
      </c>
      <c r="AD389" t="str">
        <f t="shared" si="141"/>
        <v>Red</v>
      </c>
    </row>
    <row r="390" spans="1:30" x14ac:dyDescent="0.25">
      <c r="A390" t="str">
        <f t="shared" si="122"/>
        <v>22/07/2026Burton AlbionBirmingham</v>
      </c>
      <c r="D390" s="2">
        <v>46225</v>
      </c>
      <c r="E390" s="3">
        <v>0.77083333333333337</v>
      </c>
      <c r="F390" t="s">
        <v>1832</v>
      </c>
      <c r="G390" t="s">
        <v>1833</v>
      </c>
      <c r="H390">
        <v>0</v>
      </c>
      <c r="I390">
        <v>1</v>
      </c>
      <c r="J390">
        <v>0</v>
      </c>
      <c r="K390">
        <v>1</v>
      </c>
      <c r="L390" s="22" t="str">
        <f t="shared" si="123"/>
        <v>22/07/2026</v>
      </c>
      <c r="M390" s="23">
        <f t="shared" si="124"/>
        <v>0.64583333333333337</v>
      </c>
      <c r="N390" t="str">
        <f t="shared" si="125"/>
        <v>0 - 1</v>
      </c>
      <c r="O390" t="str">
        <f t="shared" si="126"/>
        <v>Red</v>
      </c>
      <c r="P390" t="str">
        <f t="shared" si="127"/>
        <v>Red</v>
      </c>
      <c r="Q390" t="str">
        <f t="shared" si="128"/>
        <v>Green</v>
      </c>
      <c r="R390" t="str">
        <f t="shared" si="129"/>
        <v>Red</v>
      </c>
      <c r="S390" t="str">
        <f t="shared" si="130"/>
        <v>Green</v>
      </c>
      <c r="T390" t="str">
        <f t="shared" si="131"/>
        <v>Green</v>
      </c>
      <c r="U390" t="str">
        <f t="shared" si="132"/>
        <v>Red</v>
      </c>
      <c r="V390" t="str">
        <f t="shared" si="133"/>
        <v>Red</v>
      </c>
      <c r="W390" t="str">
        <f t="shared" si="134"/>
        <v>Green</v>
      </c>
      <c r="X390" t="str">
        <f t="shared" si="135"/>
        <v>Green</v>
      </c>
      <c r="Y390" t="str">
        <f t="shared" si="136"/>
        <v>Red</v>
      </c>
      <c r="Z390" t="str">
        <f t="shared" si="137"/>
        <v>Red</v>
      </c>
      <c r="AA390" t="str">
        <f t="shared" si="138"/>
        <v>Green</v>
      </c>
      <c r="AB390" t="str">
        <f t="shared" si="139"/>
        <v>Green</v>
      </c>
      <c r="AC390" t="str">
        <f t="shared" si="140"/>
        <v>Red</v>
      </c>
      <c r="AD390" t="str">
        <f t="shared" si="141"/>
        <v>Green</v>
      </c>
    </row>
    <row r="391" spans="1:30" x14ac:dyDescent="0.25">
      <c r="A391" t="str">
        <f t="shared" si="122"/>
        <v>22/07/2026Maidenhead UnitedWolves</v>
      </c>
      <c r="D391" s="2">
        <v>46225</v>
      </c>
      <c r="E391" s="3">
        <v>0.77083333333333337</v>
      </c>
      <c r="F391" t="s">
        <v>1834</v>
      </c>
      <c r="G391" t="s">
        <v>1835</v>
      </c>
      <c r="H391">
        <v>0</v>
      </c>
      <c r="I391">
        <v>0</v>
      </c>
      <c r="J391">
        <v>0</v>
      </c>
      <c r="K391">
        <v>1</v>
      </c>
      <c r="L391" s="22" t="str">
        <f t="shared" si="123"/>
        <v>22/07/2026</v>
      </c>
      <c r="M391" s="23">
        <f t="shared" si="124"/>
        <v>0.64583333333333337</v>
      </c>
      <c r="N391" t="str">
        <f t="shared" si="125"/>
        <v>0 - 1</v>
      </c>
      <c r="O391" t="str">
        <f t="shared" si="126"/>
        <v>Red</v>
      </c>
      <c r="P391" t="str">
        <f t="shared" si="127"/>
        <v>Red</v>
      </c>
      <c r="Q391" t="str">
        <f t="shared" si="128"/>
        <v>Green</v>
      </c>
      <c r="R391" t="str">
        <f t="shared" si="129"/>
        <v>Red</v>
      </c>
      <c r="S391" t="str">
        <f t="shared" si="130"/>
        <v>Green</v>
      </c>
      <c r="T391" t="str">
        <f t="shared" si="131"/>
        <v>Green</v>
      </c>
      <c r="U391" t="str">
        <f t="shared" si="132"/>
        <v>Red</v>
      </c>
      <c r="V391" t="str">
        <f t="shared" si="133"/>
        <v>Green</v>
      </c>
      <c r="W391" t="str">
        <f t="shared" si="134"/>
        <v>Red</v>
      </c>
      <c r="X391" t="str">
        <f t="shared" si="135"/>
        <v>Red</v>
      </c>
      <c r="Y391" t="str">
        <f t="shared" si="136"/>
        <v>Red</v>
      </c>
      <c r="Z391" t="str">
        <f t="shared" si="137"/>
        <v>Red</v>
      </c>
      <c r="AA391" t="str">
        <f t="shared" si="138"/>
        <v>Green</v>
      </c>
      <c r="AB391" t="str">
        <f t="shared" si="139"/>
        <v>Green</v>
      </c>
      <c r="AC391" t="str">
        <f t="shared" si="140"/>
        <v>Red</v>
      </c>
      <c r="AD391" t="str">
        <f t="shared" si="141"/>
        <v>Green</v>
      </c>
    </row>
    <row r="392" spans="1:30" x14ac:dyDescent="0.25">
      <c r="A392" t="str">
        <f t="shared" si="122"/>
        <v>22/07/2026Recreativo HuelvaReal Betis</v>
      </c>
      <c r="D392" s="2">
        <v>46225</v>
      </c>
      <c r="E392" s="3">
        <v>0.77083333333333337</v>
      </c>
      <c r="F392" t="s">
        <v>1836</v>
      </c>
      <c r="G392" t="s">
        <v>1837</v>
      </c>
      <c r="H392">
        <v>0</v>
      </c>
      <c r="I392">
        <v>0</v>
      </c>
      <c r="J392">
        <v>0</v>
      </c>
      <c r="K392">
        <v>1</v>
      </c>
      <c r="L392" s="22" t="str">
        <f t="shared" si="123"/>
        <v>22/07/2026</v>
      </c>
      <c r="M392" s="23">
        <f t="shared" si="124"/>
        <v>0.64583333333333337</v>
      </c>
      <c r="N392" t="str">
        <f t="shared" si="125"/>
        <v>0 - 1</v>
      </c>
      <c r="O392" t="str">
        <f t="shared" si="126"/>
        <v>Red</v>
      </c>
      <c r="P392" t="str">
        <f t="shared" si="127"/>
        <v>Red</v>
      </c>
      <c r="Q392" t="str">
        <f t="shared" si="128"/>
        <v>Green</v>
      </c>
      <c r="R392" t="str">
        <f t="shared" si="129"/>
        <v>Red</v>
      </c>
      <c r="S392" t="str">
        <f t="shared" si="130"/>
        <v>Green</v>
      </c>
      <c r="T392" t="str">
        <f t="shared" si="131"/>
        <v>Green</v>
      </c>
      <c r="U392" t="str">
        <f t="shared" si="132"/>
        <v>Red</v>
      </c>
      <c r="V392" t="str">
        <f t="shared" si="133"/>
        <v>Green</v>
      </c>
      <c r="W392" t="str">
        <f t="shared" si="134"/>
        <v>Red</v>
      </c>
      <c r="X392" t="str">
        <f t="shared" si="135"/>
        <v>Red</v>
      </c>
      <c r="Y392" t="str">
        <f t="shared" si="136"/>
        <v>Red</v>
      </c>
      <c r="Z392" t="str">
        <f t="shared" si="137"/>
        <v>Red</v>
      </c>
      <c r="AA392" t="str">
        <f t="shared" si="138"/>
        <v>Green</v>
      </c>
      <c r="AB392" t="str">
        <f t="shared" si="139"/>
        <v>Green</v>
      </c>
      <c r="AC392" t="str">
        <f t="shared" si="140"/>
        <v>Red</v>
      </c>
      <c r="AD392" t="str">
        <f t="shared" si="141"/>
        <v>Green</v>
      </c>
    </row>
    <row r="393" spans="1:30" x14ac:dyDescent="0.25">
      <c r="A393" t="str">
        <f t="shared" si="122"/>
        <v>22/07/2026Southend UnitedNorthampton</v>
      </c>
      <c r="D393" s="2">
        <v>46225</v>
      </c>
      <c r="E393" s="3">
        <v>0.77083333333333337</v>
      </c>
      <c r="F393" t="s">
        <v>1838</v>
      </c>
      <c r="G393" t="s">
        <v>1839</v>
      </c>
      <c r="H393">
        <v>0</v>
      </c>
      <c r="I393">
        <v>2</v>
      </c>
      <c r="J393">
        <v>1</v>
      </c>
      <c r="K393">
        <v>3</v>
      </c>
      <c r="L393" s="22" t="str">
        <f t="shared" si="123"/>
        <v>22/07/2026</v>
      </c>
      <c r="M393" s="23">
        <f t="shared" si="124"/>
        <v>0.64583333333333337</v>
      </c>
      <c r="N393" t="str">
        <f t="shared" si="125"/>
        <v>1 - 3</v>
      </c>
      <c r="O393" t="str">
        <f t="shared" si="126"/>
        <v>Red</v>
      </c>
      <c r="P393" t="str">
        <f t="shared" si="127"/>
        <v>Red</v>
      </c>
      <c r="Q393" t="str">
        <f t="shared" si="128"/>
        <v>Green</v>
      </c>
      <c r="R393" t="str">
        <f t="shared" si="129"/>
        <v>Red</v>
      </c>
      <c r="S393" t="str">
        <f t="shared" si="130"/>
        <v>Green</v>
      </c>
      <c r="T393" t="str">
        <f t="shared" si="131"/>
        <v>Green</v>
      </c>
      <c r="U393" t="str">
        <f t="shared" si="132"/>
        <v>Red</v>
      </c>
      <c r="V393" t="str">
        <f t="shared" si="133"/>
        <v>Red</v>
      </c>
      <c r="W393" t="str">
        <f t="shared" si="134"/>
        <v>Green</v>
      </c>
      <c r="X393" t="str">
        <f t="shared" si="135"/>
        <v>Green</v>
      </c>
      <c r="Y393" t="str">
        <f t="shared" si="136"/>
        <v>Green</v>
      </c>
      <c r="Z393" t="str">
        <f t="shared" si="137"/>
        <v>Green</v>
      </c>
      <c r="AA393" t="str">
        <f t="shared" si="138"/>
        <v>Red</v>
      </c>
      <c r="AB393" t="str">
        <f t="shared" si="139"/>
        <v>Red</v>
      </c>
      <c r="AC393" t="str">
        <f t="shared" si="140"/>
        <v>Green</v>
      </c>
      <c r="AD393" t="str">
        <f t="shared" si="141"/>
        <v>Red</v>
      </c>
    </row>
    <row r="394" spans="1:30" x14ac:dyDescent="0.25">
      <c r="A394" t="str">
        <f t="shared" si="122"/>
        <v>22/07/2026TenerifeGetafe</v>
      </c>
      <c r="D394" s="2">
        <v>46225</v>
      </c>
      <c r="E394" s="3">
        <v>0.77083333333333337</v>
      </c>
      <c r="F394" t="s">
        <v>1840</v>
      </c>
      <c r="G394" t="s">
        <v>1841</v>
      </c>
      <c r="H394">
        <v>1</v>
      </c>
      <c r="I394">
        <v>0</v>
      </c>
      <c r="J394">
        <v>1</v>
      </c>
      <c r="K394">
        <v>2</v>
      </c>
      <c r="L394" s="22" t="str">
        <f t="shared" si="123"/>
        <v>22/07/2026</v>
      </c>
      <c r="M394" s="23">
        <f t="shared" si="124"/>
        <v>0.64583333333333337</v>
      </c>
      <c r="N394" t="str">
        <f t="shared" si="125"/>
        <v>1 - 2</v>
      </c>
      <c r="O394" t="str">
        <f t="shared" si="126"/>
        <v>Red</v>
      </c>
      <c r="P394" t="str">
        <f t="shared" si="127"/>
        <v>Red</v>
      </c>
      <c r="Q394" t="str">
        <f t="shared" si="128"/>
        <v>Green</v>
      </c>
      <c r="R394" t="str">
        <f t="shared" si="129"/>
        <v>Red</v>
      </c>
      <c r="S394" t="str">
        <f t="shared" si="130"/>
        <v>Green</v>
      </c>
      <c r="T394" t="str">
        <f t="shared" si="131"/>
        <v>Green</v>
      </c>
      <c r="U394" t="str">
        <f t="shared" si="132"/>
        <v>Green</v>
      </c>
      <c r="V394" t="str">
        <f t="shared" si="133"/>
        <v>Red</v>
      </c>
      <c r="W394" t="str">
        <f t="shared" si="134"/>
        <v>Red</v>
      </c>
      <c r="X394" t="str">
        <f t="shared" si="135"/>
        <v>Green</v>
      </c>
      <c r="Y394" t="str">
        <f t="shared" si="136"/>
        <v>Green</v>
      </c>
      <c r="Z394" t="str">
        <f t="shared" si="137"/>
        <v>Green</v>
      </c>
      <c r="AA394" t="str">
        <f t="shared" si="138"/>
        <v>Red</v>
      </c>
      <c r="AB394" t="str">
        <f t="shared" si="139"/>
        <v>Green</v>
      </c>
      <c r="AC394" t="str">
        <f t="shared" si="140"/>
        <v>Green</v>
      </c>
      <c r="AD394" t="str">
        <f t="shared" si="141"/>
        <v>Red</v>
      </c>
    </row>
    <row r="395" spans="1:30" x14ac:dyDescent="0.25">
      <c r="A395" t="str">
        <f t="shared" si="122"/>
        <v>22/07/2026Queen of the SouthAberdeen</v>
      </c>
      <c r="D395" s="2">
        <v>46225</v>
      </c>
      <c r="E395" s="3">
        <v>0.78125</v>
      </c>
      <c r="F395" t="s">
        <v>1842</v>
      </c>
      <c r="G395" t="s">
        <v>1843</v>
      </c>
      <c r="H395">
        <v>1</v>
      </c>
      <c r="I395">
        <v>1</v>
      </c>
      <c r="J395">
        <v>1</v>
      </c>
      <c r="K395">
        <v>4</v>
      </c>
      <c r="L395" s="22" t="str">
        <f t="shared" si="123"/>
        <v>22/07/2026</v>
      </c>
      <c r="M395" s="23">
        <f t="shared" si="124"/>
        <v>0.65625</v>
      </c>
      <c r="N395" t="str">
        <f t="shared" si="125"/>
        <v>1 - 4</v>
      </c>
      <c r="O395" t="str">
        <f t="shared" si="126"/>
        <v>Red</v>
      </c>
      <c r="P395" t="str">
        <f t="shared" si="127"/>
        <v>Red</v>
      </c>
      <c r="Q395" t="str">
        <f t="shared" si="128"/>
        <v>Green</v>
      </c>
      <c r="R395" t="str">
        <f t="shared" si="129"/>
        <v>Red</v>
      </c>
      <c r="S395" t="str">
        <f t="shared" si="130"/>
        <v>Green</v>
      </c>
      <c r="T395" t="str">
        <f t="shared" si="131"/>
        <v>Green</v>
      </c>
      <c r="U395" t="str">
        <f t="shared" si="132"/>
        <v>Red</v>
      </c>
      <c r="V395" t="str">
        <f t="shared" si="133"/>
        <v>Green</v>
      </c>
      <c r="W395" t="str">
        <f t="shared" si="134"/>
        <v>Red</v>
      </c>
      <c r="X395" t="str">
        <f t="shared" si="135"/>
        <v>Green</v>
      </c>
      <c r="Y395" t="str">
        <f t="shared" si="136"/>
        <v>Green</v>
      </c>
      <c r="Z395" t="str">
        <f t="shared" si="137"/>
        <v>Green</v>
      </c>
      <c r="AA395" t="str">
        <f t="shared" si="138"/>
        <v>Red</v>
      </c>
      <c r="AB395" t="str">
        <f t="shared" si="139"/>
        <v>Red</v>
      </c>
      <c r="AC395" t="str">
        <f t="shared" si="140"/>
        <v>Green</v>
      </c>
      <c r="AD395" t="str">
        <f t="shared" si="141"/>
        <v>Red</v>
      </c>
    </row>
    <row r="396" spans="1:30" x14ac:dyDescent="0.25">
      <c r="A396" t="str">
        <f t="shared" si="122"/>
        <v>22/07/2026EastleighValenciennes</v>
      </c>
      <c r="D396" s="2">
        <v>46225</v>
      </c>
      <c r="E396" s="3">
        <v>0.78125</v>
      </c>
      <c r="F396" t="s">
        <v>1844</v>
      </c>
      <c r="G396" t="s">
        <v>1845</v>
      </c>
      <c r="H396">
        <v>0</v>
      </c>
      <c r="I396">
        <v>1</v>
      </c>
      <c r="J396">
        <v>0</v>
      </c>
      <c r="K396">
        <v>3</v>
      </c>
      <c r="L396" s="22" t="str">
        <f t="shared" si="123"/>
        <v>22/07/2026</v>
      </c>
      <c r="M396" s="23">
        <f t="shared" si="124"/>
        <v>0.65625</v>
      </c>
      <c r="N396" t="str">
        <f t="shared" si="125"/>
        <v>0 - 3</v>
      </c>
      <c r="O396" t="str">
        <f t="shared" si="126"/>
        <v>Red</v>
      </c>
      <c r="P396" t="str">
        <f t="shared" si="127"/>
        <v>Red</v>
      </c>
      <c r="Q396" t="str">
        <f t="shared" si="128"/>
        <v>Green</v>
      </c>
      <c r="R396" t="str">
        <f t="shared" si="129"/>
        <v>Red</v>
      </c>
      <c r="S396" t="str">
        <f t="shared" si="130"/>
        <v>Green</v>
      </c>
      <c r="T396" t="str">
        <f t="shared" si="131"/>
        <v>Green</v>
      </c>
      <c r="U396" t="str">
        <f t="shared" si="132"/>
        <v>Red</v>
      </c>
      <c r="V396" t="str">
        <f t="shared" si="133"/>
        <v>Red</v>
      </c>
      <c r="W396" t="str">
        <f t="shared" si="134"/>
        <v>Green</v>
      </c>
      <c r="X396" t="str">
        <f t="shared" si="135"/>
        <v>Green</v>
      </c>
      <c r="Y396" t="str">
        <f t="shared" si="136"/>
        <v>Green</v>
      </c>
      <c r="Z396" t="str">
        <f t="shared" si="137"/>
        <v>Green</v>
      </c>
      <c r="AA396" t="str">
        <f t="shared" si="138"/>
        <v>Red</v>
      </c>
      <c r="AB396" t="str">
        <f t="shared" si="139"/>
        <v>Green</v>
      </c>
      <c r="AC396" t="str">
        <f t="shared" si="140"/>
        <v>Red</v>
      </c>
      <c r="AD396" t="str">
        <f t="shared" si="141"/>
        <v>Green</v>
      </c>
    </row>
    <row r="397" spans="1:30" x14ac:dyDescent="0.25">
      <c r="A397" t="str">
        <f t="shared" si="122"/>
        <v>22/07/2026Peterborough SportsPeterborough United</v>
      </c>
      <c r="D397" s="2">
        <v>46225</v>
      </c>
      <c r="E397" s="3">
        <v>0.78125</v>
      </c>
      <c r="F397" t="s">
        <v>1846</v>
      </c>
      <c r="G397" t="s">
        <v>1553</v>
      </c>
      <c r="H397">
        <v>0</v>
      </c>
      <c r="I397">
        <v>0</v>
      </c>
      <c r="J397">
        <v>0</v>
      </c>
      <c r="K397">
        <v>1</v>
      </c>
      <c r="L397" s="22" t="str">
        <f t="shared" si="123"/>
        <v>22/07/2026</v>
      </c>
      <c r="M397" s="23">
        <f t="shared" si="124"/>
        <v>0.65625</v>
      </c>
      <c r="N397" t="str">
        <f t="shared" si="125"/>
        <v>0 - 1</v>
      </c>
      <c r="O397" t="str">
        <f t="shared" si="126"/>
        <v>Red</v>
      </c>
      <c r="P397" t="str">
        <f t="shared" si="127"/>
        <v>Red</v>
      </c>
      <c r="Q397" t="str">
        <f t="shared" si="128"/>
        <v>Green</v>
      </c>
      <c r="R397" t="str">
        <f t="shared" si="129"/>
        <v>Red</v>
      </c>
      <c r="S397" t="str">
        <f t="shared" si="130"/>
        <v>Green</v>
      </c>
      <c r="T397" t="str">
        <f t="shared" si="131"/>
        <v>Green</v>
      </c>
      <c r="U397" t="str">
        <f t="shared" si="132"/>
        <v>Red</v>
      </c>
      <c r="V397" t="str">
        <f t="shared" si="133"/>
        <v>Green</v>
      </c>
      <c r="W397" t="str">
        <f t="shared" si="134"/>
        <v>Red</v>
      </c>
      <c r="X397" t="str">
        <f t="shared" si="135"/>
        <v>Red</v>
      </c>
      <c r="Y397" t="str">
        <f t="shared" si="136"/>
        <v>Red</v>
      </c>
      <c r="Z397" t="str">
        <f t="shared" si="137"/>
        <v>Red</v>
      </c>
      <c r="AA397" t="str">
        <f t="shared" si="138"/>
        <v>Green</v>
      </c>
      <c r="AB397" t="str">
        <f t="shared" si="139"/>
        <v>Green</v>
      </c>
      <c r="AC397" t="str">
        <f t="shared" si="140"/>
        <v>Red</v>
      </c>
      <c r="AD397" t="str">
        <f t="shared" si="141"/>
        <v>Green</v>
      </c>
    </row>
    <row r="398" spans="1:30" x14ac:dyDescent="0.25">
      <c r="A398" t="str">
        <f t="shared" si="122"/>
        <v>22/07/2026RangersSaint-Etienne</v>
      </c>
      <c r="D398" s="2">
        <v>46225</v>
      </c>
      <c r="E398" s="3">
        <v>0.78125</v>
      </c>
      <c r="F398" t="s">
        <v>1847</v>
      </c>
      <c r="G398" t="s">
        <v>1848</v>
      </c>
      <c r="H398">
        <v>1</v>
      </c>
      <c r="I398">
        <v>1</v>
      </c>
      <c r="J398">
        <v>2</v>
      </c>
      <c r="K398">
        <v>1</v>
      </c>
      <c r="L398" s="22" t="str">
        <f t="shared" si="123"/>
        <v>22/07/2026</v>
      </c>
      <c r="M398" s="23">
        <f t="shared" si="124"/>
        <v>0.65625</v>
      </c>
      <c r="N398" t="str">
        <f t="shared" si="125"/>
        <v>2 - 1</v>
      </c>
      <c r="O398" t="str">
        <f t="shared" si="126"/>
        <v>Green</v>
      </c>
      <c r="P398" t="str">
        <f t="shared" si="127"/>
        <v>Red</v>
      </c>
      <c r="Q398" t="str">
        <f t="shared" si="128"/>
        <v>Red</v>
      </c>
      <c r="R398" t="str">
        <f t="shared" si="129"/>
        <v>Green</v>
      </c>
      <c r="S398" t="str">
        <f t="shared" si="130"/>
        <v>Red</v>
      </c>
      <c r="T398" t="str">
        <f t="shared" si="131"/>
        <v>Green</v>
      </c>
      <c r="U398" t="str">
        <f t="shared" si="132"/>
        <v>Red</v>
      </c>
      <c r="V398" t="str">
        <f t="shared" si="133"/>
        <v>Green</v>
      </c>
      <c r="W398" t="str">
        <f t="shared" si="134"/>
        <v>Red</v>
      </c>
      <c r="X398" t="str">
        <f t="shared" si="135"/>
        <v>Green</v>
      </c>
      <c r="Y398" t="str">
        <f t="shared" si="136"/>
        <v>Green</v>
      </c>
      <c r="Z398" t="str">
        <f t="shared" si="137"/>
        <v>Green</v>
      </c>
      <c r="AA398" t="str">
        <f t="shared" si="138"/>
        <v>Red</v>
      </c>
      <c r="AB398" t="str">
        <f t="shared" si="139"/>
        <v>Green</v>
      </c>
      <c r="AC398" t="str">
        <f t="shared" si="140"/>
        <v>Green</v>
      </c>
      <c r="AD398" t="str">
        <f t="shared" si="141"/>
        <v>Red</v>
      </c>
    </row>
    <row r="399" spans="1:30" x14ac:dyDescent="0.25">
      <c r="A399" t="str">
        <f t="shared" si="122"/>
        <v>22/07/2026StevenageWest Ham</v>
      </c>
      <c r="D399" s="2">
        <v>46225</v>
      </c>
      <c r="E399" s="3">
        <v>0.78125</v>
      </c>
      <c r="F399" t="s">
        <v>1849</v>
      </c>
      <c r="G399" t="s">
        <v>1850</v>
      </c>
      <c r="H399">
        <v>0</v>
      </c>
      <c r="I399">
        <v>2</v>
      </c>
      <c r="J399">
        <v>0</v>
      </c>
      <c r="K399">
        <v>5</v>
      </c>
      <c r="L399" s="22" t="str">
        <f t="shared" si="123"/>
        <v>22/07/2026</v>
      </c>
      <c r="M399" s="23">
        <f t="shared" si="124"/>
        <v>0.65625</v>
      </c>
      <c r="N399" t="str">
        <f t="shared" si="125"/>
        <v>0 - 5</v>
      </c>
      <c r="O399" t="str">
        <f t="shared" si="126"/>
        <v>Red</v>
      </c>
      <c r="P399" t="str">
        <f t="shared" si="127"/>
        <v>Red</v>
      </c>
      <c r="Q399" t="str">
        <f t="shared" si="128"/>
        <v>Green</v>
      </c>
      <c r="R399" t="str">
        <f t="shared" si="129"/>
        <v>Red</v>
      </c>
      <c r="S399" t="str">
        <f t="shared" si="130"/>
        <v>Green</v>
      </c>
      <c r="T399" t="str">
        <f t="shared" si="131"/>
        <v>Green</v>
      </c>
      <c r="U399" t="str">
        <f t="shared" si="132"/>
        <v>Red</v>
      </c>
      <c r="V399" t="str">
        <f t="shared" si="133"/>
        <v>Red</v>
      </c>
      <c r="W399" t="str">
        <f t="shared" si="134"/>
        <v>Green</v>
      </c>
      <c r="X399" t="str">
        <f t="shared" si="135"/>
        <v>Green</v>
      </c>
      <c r="Y399" t="str">
        <f t="shared" si="136"/>
        <v>Green</v>
      </c>
      <c r="Z399" t="str">
        <f t="shared" si="137"/>
        <v>Green</v>
      </c>
      <c r="AA399" t="str">
        <f t="shared" si="138"/>
        <v>Red</v>
      </c>
      <c r="AB399" t="str">
        <f t="shared" si="139"/>
        <v>Red</v>
      </c>
      <c r="AC399" t="str">
        <f t="shared" si="140"/>
        <v>Red</v>
      </c>
      <c r="AD399" t="str">
        <f t="shared" si="141"/>
        <v>Green</v>
      </c>
    </row>
    <row r="400" spans="1:30" x14ac:dyDescent="0.25">
      <c r="A400" t="str">
        <f t="shared" si="122"/>
        <v>22/07/2026FK EgnatiaNK Celje</v>
      </c>
      <c r="B400" t="s">
        <v>820</v>
      </c>
      <c r="C400" t="s">
        <v>821</v>
      </c>
      <c r="D400" s="2">
        <v>46225</v>
      </c>
      <c r="E400" s="3">
        <v>0.79166666666666663</v>
      </c>
      <c r="F400" t="s">
        <v>891</v>
      </c>
      <c r="G400" t="s">
        <v>892</v>
      </c>
      <c r="H400">
        <v>1</v>
      </c>
      <c r="I400">
        <v>1</v>
      </c>
      <c r="J400">
        <v>3</v>
      </c>
      <c r="K400">
        <v>3</v>
      </c>
      <c r="L400" s="22" t="str">
        <f t="shared" si="123"/>
        <v>22/07/2026</v>
      </c>
      <c r="M400" s="23">
        <f t="shared" si="124"/>
        <v>0.66666666666666663</v>
      </c>
      <c r="N400" t="str">
        <f t="shared" si="125"/>
        <v>3 - 3</v>
      </c>
      <c r="O400" t="str">
        <f t="shared" si="126"/>
        <v>Red</v>
      </c>
      <c r="P400" t="str">
        <f t="shared" si="127"/>
        <v>Green</v>
      </c>
      <c r="Q400" t="str">
        <f t="shared" si="128"/>
        <v>Red</v>
      </c>
      <c r="R400" t="str">
        <f t="shared" si="129"/>
        <v>Green</v>
      </c>
      <c r="S400" t="str">
        <f t="shared" si="130"/>
        <v>Green</v>
      </c>
      <c r="T400" t="str">
        <f t="shared" si="131"/>
        <v>Red</v>
      </c>
      <c r="U400" t="str">
        <f t="shared" si="132"/>
        <v>Red</v>
      </c>
      <c r="V400" t="str">
        <f t="shared" si="133"/>
        <v>Green</v>
      </c>
      <c r="W400" t="str">
        <f t="shared" si="134"/>
        <v>Red</v>
      </c>
      <c r="X400" t="str">
        <f t="shared" si="135"/>
        <v>Green</v>
      </c>
      <c r="Y400" t="str">
        <f t="shared" si="136"/>
        <v>Green</v>
      </c>
      <c r="Z400" t="str">
        <f t="shared" si="137"/>
        <v>Green</v>
      </c>
      <c r="AA400" t="str">
        <f t="shared" si="138"/>
        <v>Red</v>
      </c>
      <c r="AB400" t="str">
        <f t="shared" si="139"/>
        <v>Red</v>
      </c>
      <c r="AC400" t="str">
        <f t="shared" si="140"/>
        <v>Green</v>
      </c>
      <c r="AD400" t="str">
        <f t="shared" si="141"/>
        <v>Red</v>
      </c>
    </row>
    <row r="401" spans="1:30" x14ac:dyDescent="0.25">
      <c r="A401" t="str">
        <f t="shared" si="122"/>
        <v>22/07/2026FK Zeleznicar PancevoBraga</v>
      </c>
      <c r="B401" t="s">
        <v>820</v>
      </c>
      <c r="C401" t="s">
        <v>1344</v>
      </c>
      <c r="D401" s="2">
        <v>46225</v>
      </c>
      <c r="E401" s="3">
        <v>0.79166666666666663</v>
      </c>
      <c r="F401" t="s">
        <v>1152</v>
      </c>
      <c r="G401" t="s">
        <v>1851</v>
      </c>
      <c r="H401">
        <v>0</v>
      </c>
      <c r="I401">
        <v>0</v>
      </c>
      <c r="J401">
        <v>0</v>
      </c>
      <c r="K401">
        <v>1</v>
      </c>
      <c r="L401" s="22" t="str">
        <f t="shared" si="123"/>
        <v>22/07/2026</v>
      </c>
      <c r="M401" s="23">
        <f t="shared" si="124"/>
        <v>0.66666666666666663</v>
      </c>
      <c r="N401" t="str">
        <f t="shared" si="125"/>
        <v>0 - 1</v>
      </c>
      <c r="O401" t="str">
        <f t="shared" si="126"/>
        <v>Red</v>
      </c>
      <c r="P401" t="str">
        <f t="shared" si="127"/>
        <v>Red</v>
      </c>
      <c r="Q401" t="str">
        <f t="shared" si="128"/>
        <v>Green</v>
      </c>
      <c r="R401" t="str">
        <f t="shared" si="129"/>
        <v>Red</v>
      </c>
      <c r="S401" t="str">
        <f t="shared" si="130"/>
        <v>Green</v>
      </c>
      <c r="T401" t="str">
        <f t="shared" si="131"/>
        <v>Green</v>
      </c>
      <c r="U401" t="str">
        <f t="shared" si="132"/>
        <v>Red</v>
      </c>
      <c r="V401" t="str">
        <f t="shared" si="133"/>
        <v>Green</v>
      </c>
      <c r="W401" t="str">
        <f t="shared" si="134"/>
        <v>Red</v>
      </c>
      <c r="X401" t="str">
        <f t="shared" si="135"/>
        <v>Red</v>
      </c>
      <c r="Y401" t="str">
        <f t="shared" si="136"/>
        <v>Red</v>
      </c>
      <c r="Z401" t="str">
        <f t="shared" si="137"/>
        <v>Red</v>
      </c>
      <c r="AA401" t="str">
        <f t="shared" si="138"/>
        <v>Green</v>
      </c>
      <c r="AB401" t="str">
        <f t="shared" si="139"/>
        <v>Green</v>
      </c>
      <c r="AC401" t="str">
        <f t="shared" si="140"/>
        <v>Red</v>
      </c>
      <c r="AD401" t="str">
        <f t="shared" si="141"/>
        <v>Green</v>
      </c>
    </row>
    <row r="402" spans="1:30" x14ac:dyDescent="0.25">
      <c r="A402" t="str">
        <f t="shared" si="122"/>
        <v>22/07/2026Boavista RJAraruama FC</v>
      </c>
      <c r="B402" t="s">
        <v>822</v>
      </c>
      <c r="C402" t="s">
        <v>847</v>
      </c>
      <c r="D402" s="2">
        <v>46225</v>
      </c>
      <c r="E402" s="3">
        <v>0.79166666666666663</v>
      </c>
      <c r="F402" t="s">
        <v>1852</v>
      </c>
      <c r="G402" t="s">
        <v>1853</v>
      </c>
      <c r="H402">
        <v>0</v>
      </c>
      <c r="I402">
        <v>0</v>
      </c>
      <c r="J402">
        <v>4</v>
      </c>
      <c r="K402">
        <v>0</v>
      </c>
      <c r="L402" s="22" t="str">
        <f t="shared" si="123"/>
        <v>22/07/2026</v>
      </c>
      <c r="M402" s="23">
        <f t="shared" si="124"/>
        <v>0.66666666666666663</v>
      </c>
      <c r="N402" t="str">
        <f t="shared" si="125"/>
        <v>4 - 0</v>
      </c>
      <c r="O402" t="str">
        <f t="shared" si="126"/>
        <v>Green</v>
      </c>
      <c r="P402" t="str">
        <f t="shared" si="127"/>
        <v>Red</v>
      </c>
      <c r="Q402" t="str">
        <f t="shared" si="128"/>
        <v>Red</v>
      </c>
      <c r="R402" t="str">
        <f t="shared" si="129"/>
        <v>Green</v>
      </c>
      <c r="S402" t="str">
        <f t="shared" si="130"/>
        <v>Red</v>
      </c>
      <c r="T402" t="str">
        <f t="shared" si="131"/>
        <v>Green</v>
      </c>
      <c r="U402" t="str">
        <f t="shared" si="132"/>
        <v>Red</v>
      </c>
      <c r="V402" t="str">
        <f t="shared" si="133"/>
        <v>Green</v>
      </c>
      <c r="W402" t="str">
        <f t="shared" si="134"/>
        <v>Red</v>
      </c>
      <c r="X402" t="str">
        <f t="shared" si="135"/>
        <v>Red</v>
      </c>
      <c r="Y402" t="str">
        <f t="shared" si="136"/>
        <v>Green</v>
      </c>
      <c r="Z402" t="str">
        <f t="shared" si="137"/>
        <v>Green</v>
      </c>
      <c r="AA402" t="str">
        <f t="shared" si="138"/>
        <v>Red</v>
      </c>
      <c r="AB402" t="str">
        <f t="shared" si="139"/>
        <v>Red</v>
      </c>
      <c r="AC402" t="str">
        <f t="shared" si="140"/>
        <v>Red</v>
      </c>
      <c r="AD402" t="str">
        <f t="shared" si="141"/>
        <v>Green</v>
      </c>
    </row>
    <row r="403" spans="1:30" x14ac:dyDescent="0.25">
      <c r="A403" t="str">
        <f t="shared" si="122"/>
        <v>22/07/2026ComercialEC Noroeste</v>
      </c>
      <c r="B403" t="s">
        <v>822</v>
      </c>
      <c r="D403" s="2">
        <v>46225</v>
      </c>
      <c r="E403" s="3">
        <v>0.79166666666666663</v>
      </c>
      <c r="F403" t="s">
        <v>1854</v>
      </c>
      <c r="G403" t="s">
        <v>1855</v>
      </c>
      <c r="L403" s="22" t="str">
        <f t="shared" si="123"/>
        <v>22/07/2026</v>
      </c>
      <c r="M403" s="23">
        <f t="shared" si="124"/>
        <v>0.66666666666666663</v>
      </c>
      <c r="N403" t="str">
        <f t="shared" si="125"/>
        <v xml:space="preserve"> - </v>
      </c>
      <c r="O403" t="str">
        <f t="shared" si="126"/>
        <v>Red</v>
      </c>
      <c r="P403" t="str">
        <f t="shared" si="127"/>
        <v>Green</v>
      </c>
      <c r="Q403" t="str">
        <f t="shared" si="128"/>
        <v>Red</v>
      </c>
      <c r="R403" t="str">
        <f t="shared" si="129"/>
        <v>Green</v>
      </c>
      <c r="S403" t="str">
        <f t="shared" si="130"/>
        <v>Green</v>
      </c>
      <c r="T403" t="str">
        <f t="shared" si="131"/>
        <v>Red</v>
      </c>
      <c r="U403" t="str">
        <f t="shared" si="132"/>
        <v>Red</v>
      </c>
      <c r="V403" t="str">
        <f t="shared" si="133"/>
        <v>Green</v>
      </c>
      <c r="W403" t="str">
        <f t="shared" si="134"/>
        <v>Red</v>
      </c>
      <c r="X403" t="str">
        <f t="shared" si="135"/>
        <v>Red</v>
      </c>
      <c r="Y403" t="str">
        <f t="shared" si="136"/>
        <v>Red</v>
      </c>
      <c r="Z403" t="str">
        <f t="shared" si="137"/>
        <v>Red</v>
      </c>
      <c r="AA403" t="str">
        <f t="shared" si="138"/>
        <v>Green</v>
      </c>
      <c r="AB403" t="str">
        <f t="shared" si="139"/>
        <v>Green</v>
      </c>
      <c r="AC403" t="str">
        <f t="shared" si="140"/>
        <v>Red</v>
      </c>
      <c r="AD403" t="str">
        <f t="shared" si="141"/>
        <v>Green</v>
      </c>
    </row>
    <row r="404" spans="1:30" x14ac:dyDescent="0.25">
      <c r="A404" t="str">
        <f t="shared" si="122"/>
        <v>22/07/2026Santos U20Vasco Da Gama RJ U20</v>
      </c>
      <c r="B404" t="s">
        <v>822</v>
      </c>
      <c r="D404" s="2">
        <v>46225</v>
      </c>
      <c r="E404" s="3">
        <v>0.79166666666666663</v>
      </c>
      <c r="F404" t="s">
        <v>1856</v>
      </c>
      <c r="G404" t="s">
        <v>1857</v>
      </c>
      <c r="H404">
        <v>0</v>
      </c>
      <c r="I404">
        <v>0</v>
      </c>
      <c r="J404">
        <v>2</v>
      </c>
      <c r="K404">
        <v>0</v>
      </c>
      <c r="L404" s="22" t="str">
        <f t="shared" si="123"/>
        <v>22/07/2026</v>
      </c>
      <c r="M404" s="23">
        <f t="shared" si="124"/>
        <v>0.66666666666666663</v>
      </c>
      <c r="N404" t="str">
        <f t="shared" si="125"/>
        <v>2 - 0</v>
      </c>
      <c r="O404" t="str">
        <f t="shared" si="126"/>
        <v>Green</v>
      </c>
      <c r="P404" t="str">
        <f t="shared" si="127"/>
        <v>Red</v>
      </c>
      <c r="Q404" t="str">
        <f t="shared" si="128"/>
        <v>Red</v>
      </c>
      <c r="R404" t="str">
        <f t="shared" si="129"/>
        <v>Green</v>
      </c>
      <c r="S404" t="str">
        <f t="shared" si="130"/>
        <v>Red</v>
      </c>
      <c r="T404" t="str">
        <f t="shared" si="131"/>
        <v>Green</v>
      </c>
      <c r="U404" t="str">
        <f t="shared" si="132"/>
        <v>Red</v>
      </c>
      <c r="V404" t="str">
        <f t="shared" si="133"/>
        <v>Green</v>
      </c>
      <c r="W404" t="str">
        <f t="shared" si="134"/>
        <v>Red</v>
      </c>
      <c r="X404" t="str">
        <f t="shared" si="135"/>
        <v>Red</v>
      </c>
      <c r="Y404" t="str">
        <f t="shared" si="136"/>
        <v>Green</v>
      </c>
      <c r="Z404" t="str">
        <f t="shared" si="137"/>
        <v>Red</v>
      </c>
      <c r="AA404" t="str">
        <f t="shared" si="138"/>
        <v>Green</v>
      </c>
      <c r="AB404" t="str">
        <f t="shared" si="139"/>
        <v>Green</v>
      </c>
      <c r="AC404" t="str">
        <f t="shared" si="140"/>
        <v>Red</v>
      </c>
      <c r="AD404" t="str">
        <f t="shared" si="141"/>
        <v>Green</v>
      </c>
    </row>
    <row r="405" spans="1:30" x14ac:dyDescent="0.25">
      <c r="A405" t="str">
        <f t="shared" si="122"/>
        <v>22/07/2026CSD MacaraDeportivo Cuenca</v>
      </c>
      <c r="D405" s="2">
        <v>46225</v>
      </c>
      <c r="E405" s="3">
        <v>0.79166666666666663</v>
      </c>
      <c r="F405" t="s">
        <v>1858</v>
      </c>
      <c r="G405" t="s">
        <v>1859</v>
      </c>
      <c r="H405">
        <v>1</v>
      </c>
      <c r="I405">
        <v>0</v>
      </c>
      <c r="J405">
        <v>3</v>
      </c>
      <c r="K405">
        <v>0</v>
      </c>
      <c r="L405" s="22" t="str">
        <f t="shared" si="123"/>
        <v>22/07/2026</v>
      </c>
      <c r="M405" s="23">
        <f t="shared" si="124"/>
        <v>0.66666666666666663</v>
      </c>
      <c r="N405" t="str">
        <f t="shared" si="125"/>
        <v>3 - 0</v>
      </c>
      <c r="O405" t="str">
        <f t="shared" si="126"/>
        <v>Green</v>
      </c>
      <c r="P405" t="str">
        <f t="shared" si="127"/>
        <v>Red</v>
      </c>
      <c r="Q405" t="str">
        <f t="shared" si="128"/>
        <v>Red</v>
      </c>
      <c r="R405" t="str">
        <f t="shared" si="129"/>
        <v>Green</v>
      </c>
      <c r="S405" t="str">
        <f t="shared" si="130"/>
        <v>Red</v>
      </c>
      <c r="T405" t="str">
        <f t="shared" si="131"/>
        <v>Green</v>
      </c>
      <c r="U405" t="str">
        <f t="shared" si="132"/>
        <v>Green</v>
      </c>
      <c r="V405" t="str">
        <f t="shared" si="133"/>
        <v>Red</v>
      </c>
      <c r="W405" t="str">
        <f t="shared" si="134"/>
        <v>Red</v>
      </c>
      <c r="X405" t="str">
        <f t="shared" si="135"/>
        <v>Green</v>
      </c>
      <c r="Y405" t="str">
        <f t="shared" si="136"/>
        <v>Green</v>
      </c>
      <c r="Z405" t="str">
        <f t="shared" si="137"/>
        <v>Green</v>
      </c>
      <c r="AA405" t="str">
        <f t="shared" si="138"/>
        <v>Red</v>
      </c>
      <c r="AB405" t="str">
        <f t="shared" si="139"/>
        <v>Green</v>
      </c>
      <c r="AC405" t="str">
        <f t="shared" si="140"/>
        <v>Red</v>
      </c>
      <c r="AD405" t="str">
        <f t="shared" si="141"/>
        <v>Green</v>
      </c>
    </row>
    <row r="406" spans="1:30" x14ac:dyDescent="0.25">
      <c r="A406" t="str">
        <f t="shared" si="122"/>
        <v>22/07/2026Gil VicentePorto</v>
      </c>
      <c r="D406" s="2">
        <v>46225</v>
      </c>
      <c r="E406" s="3">
        <v>0.79166666666666663</v>
      </c>
      <c r="F406" t="s">
        <v>1860</v>
      </c>
      <c r="G406" t="s">
        <v>1861</v>
      </c>
      <c r="H406">
        <v>0</v>
      </c>
      <c r="I406">
        <v>0</v>
      </c>
      <c r="J406">
        <v>1</v>
      </c>
      <c r="K406">
        <v>0</v>
      </c>
      <c r="L406" s="22" t="str">
        <f t="shared" si="123"/>
        <v>22/07/2026</v>
      </c>
      <c r="M406" s="23">
        <f t="shared" si="124"/>
        <v>0.66666666666666663</v>
      </c>
      <c r="N406" t="str">
        <f t="shared" si="125"/>
        <v>1 - 0</v>
      </c>
      <c r="O406" t="str">
        <f t="shared" si="126"/>
        <v>Green</v>
      </c>
      <c r="P406" t="str">
        <f t="shared" si="127"/>
        <v>Red</v>
      </c>
      <c r="Q406" t="str">
        <f t="shared" si="128"/>
        <v>Red</v>
      </c>
      <c r="R406" t="str">
        <f t="shared" si="129"/>
        <v>Green</v>
      </c>
      <c r="S406" t="str">
        <f t="shared" si="130"/>
        <v>Red</v>
      </c>
      <c r="T406" t="str">
        <f t="shared" si="131"/>
        <v>Green</v>
      </c>
      <c r="U406" t="str">
        <f t="shared" si="132"/>
        <v>Red</v>
      </c>
      <c r="V406" t="str">
        <f t="shared" si="133"/>
        <v>Green</v>
      </c>
      <c r="W406" t="str">
        <f t="shared" si="134"/>
        <v>Red</v>
      </c>
      <c r="X406" t="str">
        <f t="shared" si="135"/>
        <v>Red</v>
      </c>
      <c r="Y406" t="str">
        <f t="shared" si="136"/>
        <v>Red</v>
      </c>
      <c r="Z406" t="str">
        <f t="shared" si="137"/>
        <v>Red</v>
      </c>
      <c r="AA406" t="str">
        <f t="shared" si="138"/>
        <v>Green</v>
      </c>
      <c r="AB406" t="str">
        <f t="shared" si="139"/>
        <v>Green</v>
      </c>
      <c r="AC406" t="str">
        <f t="shared" si="140"/>
        <v>Red</v>
      </c>
      <c r="AD406" t="str">
        <f t="shared" si="141"/>
        <v>Green</v>
      </c>
    </row>
    <row r="407" spans="1:30" x14ac:dyDescent="0.25">
      <c r="A407" t="str">
        <f t="shared" si="122"/>
        <v>22/07/2026EllidiAlafoss</v>
      </c>
      <c r="D407" s="2">
        <v>46225</v>
      </c>
      <c r="E407" s="3">
        <v>0.80208333333333337</v>
      </c>
      <c r="F407" t="s">
        <v>1862</v>
      </c>
      <c r="G407" t="s">
        <v>1863</v>
      </c>
      <c r="H407">
        <v>0</v>
      </c>
      <c r="I407">
        <v>0</v>
      </c>
      <c r="J407">
        <v>1</v>
      </c>
      <c r="K407">
        <v>0</v>
      </c>
      <c r="L407" s="22" t="str">
        <f t="shared" si="123"/>
        <v>22/07/2026</v>
      </c>
      <c r="M407" s="23">
        <f t="shared" si="124"/>
        <v>0.67708333333333337</v>
      </c>
      <c r="N407" t="str">
        <f t="shared" si="125"/>
        <v>1 - 0</v>
      </c>
      <c r="O407" t="str">
        <f t="shared" si="126"/>
        <v>Green</v>
      </c>
      <c r="P407" t="str">
        <f t="shared" si="127"/>
        <v>Red</v>
      </c>
      <c r="Q407" t="str">
        <f t="shared" si="128"/>
        <v>Red</v>
      </c>
      <c r="R407" t="str">
        <f t="shared" si="129"/>
        <v>Green</v>
      </c>
      <c r="S407" t="str">
        <f t="shared" si="130"/>
        <v>Red</v>
      </c>
      <c r="T407" t="str">
        <f t="shared" si="131"/>
        <v>Green</v>
      </c>
      <c r="U407" t="str">
        <f t="shared" si="132"/>
        <v>Red</v>
      </c>
      <c r="V407" t="str">
        <f t="shared" si="133"/>
        <v>Green</v>
      </c>
      <c r="W407" t="str">
        <f t="shared" si="134"/>
        <v>Red</v>
      </c>
      <c r="X407" t="str">
        <f t="shared" si="135"/>
        <v>Red</v>
      </c>
      <c r="Y407" t="str">
        <f t="shared" si="136"/>
        <v>Red</v>
      </c>
      <c r="Z407" t="str">
        <f t="shared" si="137"/>
        <v>Red</v>
      </c>
      <c r="AA407" t="str">
        <f t="shared" si="138"/>
        <v>Green</v>
      </c>
      <c r="AB407" t="str">
        <f t="shared" si="139"/>
        <v>Green</v>
      </c>
      <c r="AC407" t="str">
        <f t="shared" si="140"/>
        <v>Red</v>
      </c>
      <c r="AD407" t="str">
        <f t="shared" si="141"/>
        <v>Green</v>
      </c>
    </row>
    <row r="408" spans="1:30" x14ac:dyDescent="0.25">
      <c r="A408" t="str">
        <f t="shared" si="122"/>
        <v>22/07/20269 de OctubreGualaceo SC</v>
      </c>
      <c r="D408" s="2">
        <v>46225</v>
      </c>
      <c r="E408" s="3">
        <v>0.83333333333333337</v>
      </c>
      <c r="F408" t="s">
        <v>1864</v>
      </c>
      <c r="G408" t="s">
        <v>1865</v>
      </c>
      <c r="L408" s="22" t="str">
        <f t="shared" si="123"/>
        <v>22/07/2026</v>
      </c>
      <c r="M408" s="23">
        <f t="shared" si="124"/>
        <v>0.70833333333333337</v>
      </c>
      <c r="N408" t="str">
        <f t="shared" si="125"/>
        <v xml:space="preserve"> - </v>
      </c>
      <c r="O408" t="str">
        <f t="shared" si="126"/>
        <v>Red</v>
      </c>
      <c r="P408" t="str">
        <f t="shared" si="127"/>
        <v>Green</v>
      </c>
      <c r="Q408" t="str">
        <f t="shared" si="128"/>
        <v>Red</v>
      </c>
      <c r="R408" t="str">
        <f t="shared" si="129"/>
        <v>Green</v>
      </c>
      <c r="S408" t="str">
        <f t="shared" si="130"/>
        <v>Green</v>
      </c>
      <c r="T408" t="str">
        <f t="shared" si="131"/>
        <v>Red</v>
      </c>
      <c r="U408" t="str">
        <f t="shared" si="132"/>
        <v>Red</v>
      </c>
      <c r="V408" t="str">
        <f t="shared" si="133"/>
        <v>Green</v>
      </c>
      <c r="W408" t="str">
        <f t="shared" si="134"/>
        <v>Red</v>
      </c>
      <c r="X408" t="str">
        <f t="shared" si="135"/>
        <v>Red</v>
      </c>
      <c r="Y408" t="str">
        <f t="shared" si="136"/>
        <v>Red</v>
      </c>
      <c r="Z408" t="str">
        <f t="shared" si="137"/>
        <v>Red</v>
      </c>
      <c r="AA408" t="str">
        <f t="shared" si="138"/>
        <v>Green</v>
      </c>
      <c r="AB408" t="str">
        <f t="shared" si="139"/>
        <v>Green</v>
      </c>
      <c r="AC408" t="str">
        <f t="shared" si="140"/>
        <v>Red</v>
      </c>
      <c r="AD408" t="str">
        <f t="shared" si="141"/>
        <v>Green</v>
      </c>
    </row>
    <row r="409" spans="1:30" x14ac:dyDescent="0.25">
      <c r="A409" t="str">
        <f t="shared" si="122"/>
        <v>22/07/2026Independiente JuniorsAtletico Rojiblanco</v>
      </c>
      <c r="D409" s="2">
        <v>46225</v>
      </c>
      <c r="E409" s="3">
        <v>0.83333333333333337</v>
      </c>
      <c r="F409" t="s">
        <v>1866</v>
      </c>
      <c r="G409" t="s">
        <v>1867</v>
      </c>
      <c r="L409" s="22" t="str">
        <f t="shared" si="123"/>
        <v>22/07/2026</v>
      </c>
      <c r="M409" s="23">
        <f t="shared" si="124"/>
        <v>0.70833333333333337</v>
      </c>
      <c r="N409" t="str">
        <f t="shared" si="125"/>
        <v xml:space="preserve"> - </v>
      </c>
      <c r="O409" t="str">
        <f t="shared" si="126"/>
        <v>Red</v>
      </c>
      <c r="P409" t="str">
        <f t="shared" si="127"/>
        <v>Green</v>
      </c>
      <c r="Q409" t="str">
        <f t="shared" si="128"/>
        <v>Red</v>
      </c>
      <c r="R409" t="str">
        <f t="shared" si="129"/>
        <v>Green</v>
      </c>
      <c r="S409" t="str">
        <f t="shared" si="130"/>
        <v>Green</v>
      </c>
      <c r="T409" t="str">
        <f t="shared" si="131"/>
        <v>Red</v>
      </c>
      <c r="U409" t="str">
        <f t="shared" si="132"/>
        <v>Red</v>
      </c>
      <c r="V409" t="str">
        <f t="shared" si="133"/>
        <v>Green</v>
      </c>
      <c r="W409" t="str">
        <f t="shared" si="134"/>
        <v>Red</v>
      </c>
      <c r="X409" t="str">
        <f t="shared" si="135"/>
        <v>Red</v>
      </c>
      <c r="Y409" t="str">
        <f t="shared" si="136"/>
        <v>Red</v>
      </c>
      <c r="Z409" t="str">
        <f t="shared" si="137"/>
        <v>Red</v>
      </c>
      <c r="AA409" t="str">
        <f t="shared" si="138"/>
        <v>Green</v>
      </c>
      <c r="AB409" t="str">
        <f t="shared" si="139"/>
        <v>Green</v>
      </c>
      <c r="AC409" t="str">
        <f t="shared" si="140"/>
        <v>Red</v>
      </c>
      <c r="AD409" t="str">
        <f t="shared" si="141"/>
        <v>Green</v>
      </c>
    </row>
    <row r="410" spans="1:30" x14ac:dyDescent="0.25">
      <c r="A410" t="str">
        <f t="shared" si="122"/>
        <v>22/07/2026Deportivo Cuenca ReservesLDU Portoviejo</v>
      </c>
      <c r="D410" s="2">
        <v>46225</v>
      </c>
      <c r="E410" s="3">
        <v>0.83333333333333337</v>
      </c>
      <c r="F410" t="s">
        <v>1868</v>
      </c>
      <c r="G410" t="s">
        <v>1869</v>
      </c>
      <c r="L410" s="22" t="str">
        <f t="shared" si="123"/>
        <v>22/07/2026</v>
      </c>
      <c r="M410" s="23">
        <f t="shared" si="124"/>
        <v>0.70833333333333337</v>
      </c>
      <c r="N410" t="str">
        <f t="shared" si="125"/>
        <v xml:space="preserve"> - </v>
      </c>
      <c r="O410" t="str">
        <f t="shared" si="126"/>
        <v>Red</v>
      </c>
      <c r="P410" t="str">
        <f t="shared" si="127"/>
        <v>Green</v>
      </c>
      <c r="Q410" t="str">
        <f t="shared" si="128"/>
        <v>Red</v>
      </c>
      <c r="R410" t="str">
        <f t="shared" si="129"/>
        <v>Green</v>
      </c>
      <c r="S410" t="str">
        <f t="shared" si="130"/>
        <v>Green</v>
      </c>
      <c r="T410" t="str">
        <f t="shared" si="131"/>
        <v>Red</v>
      </c>
      <c r="U410" t="str">
        <f t="shared" si="132"/>
        <v>Red</v>
      </c>
      <c r="V410" t="str">
        <f t="shared" si="133"/>
        <v>Green</v>
      </c>
      <c r="W410" t="str">
        <f t="shared" si="134"/>
        <v>Red</v>
      </c>
      <c r="X410" t="str">
        <f t="shared" si="135"/>
        <v>Red</v>
      </c>
      <c r="Y410" t="str">
        <f t="shared" si="136"/>
        <v>Red</v>
      </c>
      <c r="Z410" t="str">
        <f t="shared" si="137"/>
        <v>Red</v>
      </c>
      <c r="AA410" t="str">
        <f t="shared" si="138"/>
        <v>Green</v>
      </c>
      <c r="AB410" t="str">
        <f t="shared" si="139"/>
        <v>Green</v>
      </c>
      <c r="AC410" t="str">
        <f t="shared" si="140"/>
        <v>Red</v>
      </c>
      <c r="AD410" t="str">
        <f t="shared" si="141"/>
        <v>Green</v>
      </c>
    </row>
    <row r="411" spans="1:30" x14ac:dyDescent="0.25">
      <c r="A411" t="str">
        <f t="shared" si="122"/>
        <v>22/07/2026El NacionalCumbaya</v>
      </c>
      <c r="D411" s="2">
        <v>46225</v>
      </c>
      <c r="E411" s="3">
        <v>0.83333333333333337</v>
      </c>
      <c r="F411" t="s">
        <v>1870</v>
      </c>
      <c r="G411" t="s">
        <v>1871</v>
      </c>
      <c r="L411" s="22" t="str">
        <f t="shared" si="123"/>
        <v>22/07/2026</v>
      </c>
      <c r="M411" s="23">
        <f t="shared" si="124"/>
        <v>0.70833333333333337</v>
      </c>
      <c r="N411" t="str">
        <f t="shared" si="125"/>
        <v xml:space="preserve"> - </v>
      </c>
      <c r="O411" t="str">
        <f t="shared" si="126"/>
        <v>Red</v>
      </c>
      <c r="P411" t="str">
        <f t="shared" si="127"/>
        <v>Green</v>
      </c>
      <c r="Q411" t="str">
        <f t="shared" si="128"/>
        <v>Red</v>
      </c>
      <c r="R411" t="str">
        <f t="shared" si="129"/>
        <v>Green</v>
      </c>
      <c r="S411" t="str">
        <f t="shared" si="130"/>
        <v>Green</v>
      </c>
      <c r="T411" t="str">
        <f t="shared" si="131"/>
        <v>Red</v>
      </c>
      <c r="U411" t="str">
        <f t="shared" si="132"/>
        <v>Red</v>
      </c>
      <c r="V411" t="str">
        <f t="shared" si="133"/>
        <v>Green</v>
      </c>
      <c r="W411" t="str">
        <f t="shared" si="134"/>
        <v>Red</v>
      </c>
      <c r="X411" t="str">
        <f t="shared" si="135"/>
        <v>Red</v>
      </c>
      <c r="Y411" t="str">
        <f t="shared" si="136"/>
        <v>Red</v>
      </c>
      <c r="Z411" t="str">
        <f t="shared" si="137"/>
        <v>Red</v>
      </c>
      <c r="AA411" t="str">
        <f t="shared" si="138"/>
        <v>Green</v>
      </c>
      <c r="AB411" t="str">
        <f t="shared" si="139"/>
        <v>Green</v>
      </c>
      <c r="AC411" t="str">
        <f t="shared" si="140"/>
        <v>Red</v>
      </c>
      <c r="AD411" t="str">
        <f t="shared" si="141"/>
        <v>Green</v>
      </c>
    </row>
    <row r="412" spans="1:30" x14ac:dyDescent="0.25">
      <c r="A412" t="str">
        <f t="shared" si="122"/>
        <v>22/07/2026San Antonio CotacachiDSD Santo Domingo</v>
      </c>
      <c r="D412" s="2">
        <v>46225</v>
      </c>
      <c r="E412" s="3">
        <v>0.83333333333333337</v>
      </c>
      <c r="F412" t="s">
        <v>1872</v>
      </c>
      <c r="G412" t="s">
        <v>1873</v>
      </c>
      <c r="L412" s="22" t="str">
        <f t="shared" si="123"/>
        <v>22/07/2026</v>
      </c>
      <c r="M412" s="23">
        <f t="shared" si="124"/>
        <v>0.70833333333333337</v>
      </c>
      <c r="N412" t="str">
        <f t="shared" si="125"/>
        <v xml:space="preserve"> - </v>
      </c>
      <c r="O412" t="str">
        <f t="shared" si="126"/>
        <v>Red</v>
      </c>
      <c r="P412" t="str">
        <f t="shared" si="127"/>
        <v>Green</v>
      </c>
      <c r="Q412" t="str">
        <f t="shared" si="128"/>
        <v>Red</v>
      </c>
      <c r="R412" t="str">
        <f t="shared" si="129"/>
        <v>Green</v>
      </c>
      <c r="S412" t="str">
        <f t="shared" si="130"/>
        <v>Green</v>
      </c>
      <c r="T412" t="str">
        <f t="shared" si="131"/>
        <v>Red</v>
      </c>
      <c r="U412" t="str">
        <f t="shared" si="132"/>
        <v>Red</v>
      </c>
      <c r="V412" t="str">
        <f t="shared" si="133"/>
        <v>Green</v>
      </c>
      <c r="W412" t="str">
        <f t="shared" si="134"/>
        <v>Red</v>
      </c>
      <c r="X412" t="str">
        <f t="shared" si="135"/>
        <v>Red</v>
      </c>
      <c r="Y412" t="str">
        <f t="shared" si="136"/>
        <v>Red</v>
      </c>
      <c r="Z412" t="str">
        <f t="shared" si="137"/>
        <v>Red</v>
      </c>
      <c r="AA412" t="str">
        <f t="shared" si="138"/>
        <v>Green</v>
      </c>
      <c r="AB412" t="str">
        <f t="shared" si="139"/>
        <v>Green</v>
      </c>
      <c r="AC412" t="str">
        <f t="shared" si="140"/>
        <v>Red</v>
      </c>
      <c r="AD412" t="str">
        <f t="shared" si="141"/>
        <v>Green</v>
      </c>
    </row>
    <row r="413" spans="1:30" x14ac:dyDescent="0.25">
      <c r="A413" t="str">
        <f t="shared" si="122"/>
        <v>22/07/2026Universitario de Deportes WomenCarlos Mannucci Women</v>
      </c>
      <c r="D413" s="2">
        <v>46225</v>
      </c>
      <c r="E413" s="3">
        <v>0.84375</v>
      </c>
      <c r="F413" t="s">
        <v>1874</v>
      </c>
      <c r="G413" t="s">
        <v>1875</v>
      </c>
      <c r="H413">
        <v>0</v>
      </c>
      <c r="I413">
        <v>0</v>
      </c>
      <c r="J413">
        <v>12</v>
      </c>
      <c r="K413">
        <v>0</v>
      </c>
      <c r="L413" s="22" t="str">
        <f t="shared" si="123"/>
        <v>22/07/2026</v>
      </c>
      <c r="M413" s="23">
        <f t="shared" si="124"/>
        <v>0.71875</v>
      </c>
      <c r="N413" t="str">
        <f t="shared" si="125"/>
        <v>12 - 0</v>
      </c>
      <c r="O413" t="str">
        <f t="shared" si="126"/>
        <v>Green</v>
      </c>
      <c r="P413" t="str">
        <f t="shared" si="127"/>
        <v>Red</v>
      </c>
      <c r="Q413" t="str">
        <f t="shared" si="128"/>
        <v>Red</v>
      </c>
      <c r="R413" t="str">
        <f t="shared" si="129"/>
        <v>Green</v>
      </c>
      <c r="S413" t="str">
        <f t="shared" si="130"/>
        <v>Red</v>
      </c>
      <c r="T413" t="str">
        <f t="shared" si="131"/>
        <v>Green</v>
      </c>
      <c r="U413" t="str">
        <f t="shared" si="132"/>
        <v>Red</v>
      </c>
      <c r="V413" t="str">
        <f t="shared" si="133"/>
        <v>Green</v>
      </c>
      <c r="W413" t="str">
        <f t="shared" si="134"/>
        <v>Red</v>
      </c>
      <c r="X413" t="str">
        <f t="shared" si="135"/>
        <v>Red</v>
      </c>
      <c r="Y413" t="str">
        <f t="shared" si="136"/>
        <v>Green</v>
      </c>
      <c r="Z413" t="str">
        <f t="shared" si="137"/>
        <v>Green</v>
      </c>
      <c r="AA413" t="str">
        <f t="shared" si="138"/>
        <v>Red</v>
      </c>
      <c r="AB413" t="str">
        <f t="shared" si="139"/>
        <v>Red</v>
      </c>
      <c r="AC413" t="str">
        <f t="shared" si="140"/>
        <v>Red</v>
      </c>
      <c r="AD413" t="str">
        <f t="shared" si="141"/>
        <v>Green</v>
      </c>
    </row>
    <row r="414" spans="1:30" x14ac:dyDescent="0.25">
      <c r="A414" t="str">
        <f t="shared" si="122"/>
        <v>22/07/2026San Antonio CotacachiCumbaya</v>
      </c>
      <c r="D414" s="2">
        <v>46225</v>
      </c>
      <c r="E414" s="3">
        <v>0.85416666666666663</v>
      </c>
      <c r="F414" t="s">
        <v>1872</v>
      </c>
      <c r="G414" t="s">
        <v>1871</v>
      </c>
      <c r="H414">
        <v>0</v>
      </c>
      <c r="I414">
        <v>0</v>
      </c>
      <c r="J414">
        <v>0</v>
      </c>
      <c r="K414">
        <v>0</v>
      </c>
      <c r="L414" s="22" t="str">
        <f t="shared" si="123"/>
        <v>22/07/2026</v>
      </c>
      <c r="M414" s="23">
        <f t="shared" si="124"/>
        <v>0.72916666666666663</v>
      </c>
      <c r="N414" t="str">
        <f t="shared" si="125"/>
        <v>0 - 0</v>
      </c>
      <c r="O414" t="str">
        <f t="shared" si="126"/>
        <v>Red</v>
      </c>
      <c r="P414" t="str">
        <f t="shared" si="127"/>
        <v>Green</v>
      </c>
      <c r="Q414" t="str">
        <f t="shared" si="128"/>
        <v>Red</v>
      </c>
      <c r="R414" t="str">
        <f t="shared" si="129"/>
        <v>Green</v>
      </c>
      <c r="S414" t="str">
        <f t="shared" si="130"/>
        <v>Green</v>
      </c>
      <c r="T414" t="str">
        <f t="shared" si="131"/>
        <v>Red</v>
      </c>
      <c r="U414" t="str">
        <f t="shared" si="132"/>
        <v>Red</v>
      </c>
      <c r="V414" t="str">
        <f t="shared" si="133"/>
        <v>Green</v>
      </c>
      <c r="W414" t="str">
        <f t="shared" si="134"/>
        <v>Red</v>
      </c>
      <c r="X414" t="str">
        <f t="shared" si="135"/>
        <v>Red</v>
      </c>
      <c r="Y414" t="str">
        <f t="shared" si="136"/>
        <v>Red</v>
      </c>
      <c r="Z414" t="str">
        <f t="shared" si="137"/>
        <v>Red</v>
      </c>
      <c r="AA414" t="str">
        <f t="shared" si="138"/>
        <v>Green</v>
      </c>
      <c r="AB414" t="str">
        <f t="shared" si="139"/>
        <v>Green</v>
      </c>
      <c r="AC414" t="str">
        <f t="shared" si="140"/>
        <v>Red</v>
      </c>
      <c r="AD414" t="str">
        <f t="shared" si="141"/>
        <v>Green</v>
      </c>
    </row>
    <row r="415" spans="1:30" x14ac:dyDescent="0.25">
      <c r="A415" t="str">
        <f t="shared" si="122"/>
        <v>22/07/2026Club Sport ColombiaGuairena FC</v>
      </c>
      <c r="D415" s="2">
        <v>46225</v>
      </c>
      <c r="E415" s="3">
        <v>0.875</v>
      </c>
      <c r="F415" t="s">
        <v>1876</v>
      </c>
      <c r="G415" t="s">
        <v>1877</v>
      </c>
      <c r="H415">
        <v>1</v>
      </c>
      <c r="I415">
        <v>1</v>
      </c>
      <c r="J415">
        <v>1</v>
      </c>
      <c r="K415">
        <v>3</v>
      </c>
      <c r="L415" s="22" t="str">
        <f t="shared" si="123"/>
        <v>22/07/2026</v>
      </c>
      <c r="M415" s="23">
        <f t="shared" si="124"/>
        <v>0.75</v>
      </c>
      <c r="N415" t="str">
        <f t="shared" si="125"/>
        <v>1 - 3</v>
      </c>
      <c r="O415" t="str">
        <f t="shared" si="126"/>
        <v>Red</v>
      </c>
      <c r="P415" t="str">
        <f t="shared" si="127"/>
        <v>Red</v>
      </c>
      <c r="Q415" t="str">
        <f t="shared" si="128"/>
        <v>Green</v>
      </c>
      <c r="R415" t="str">
        <f t="shared" si="129"/>
        <v>Red</v>
      </c>
      <c r="S415" t="str">
        <f t="shared" si="130"/>
        <v>Green</v>
      </c>
      <c r="T415" t="str">
        <f t="shared" si="131"/>
        <v>Green</v>
      </c>
      <c r="U415" t="str">
        <f t="shared" si="132"/>
        <v>Red</v>
      </c>
      <c r="V415" t="str">
        <f t="shared" si="133"/>
        <v>Green</v>
      </c>
      <c r="W415" t="str">
        <f t="shared" si="134"/>
        <v>Red</v>
      </c>
      <c r="X415" t="str">
        <f t="shared" si="135"/>
        <v>Green</v>
      </c>
      <c r="Y415" t="str">
        <f t="shared" si="136"/>
        <v>Green</v>
      </c>
      <c r="Z415" t="str">
        <f t="shared" si="137"/>
        <v>Green</v>
      </c>
      <c r="AA415" t="str">
        <f t="shared" si="138"/>
        <v>Red</v>
      </c>
      <c r="AB415" t="str">
        <f t="shared" si="139"/>
        <v>Red</v>
      </c>
      <c r="AC415" t="str">
        <f t="shared" si="140"/>
        <v>Green</v>
      </c>
      <c r="AD415" t="str">
        <f t="shared" si="141"/>
        <v>Red</v>
      </c>
    </row>
    <row r="416" spans="1:30" x14ac:dyDescent="0.25">
      <c r="A416" t="str">
        <f t="shared" si="122"/>
        <v>22/07/2026Independiente del ValleTecnico Universitario</v>
      </c>
      <c r="D416" s="2">
        <v>46225</v>
      </c>
      <c r="E416" s="3">
        <v>0.89583333333333337</v>
      </c>
      <c r="F416" t="s">
        <v>39</v>
      </c>
      <c r="G416" t="s">
        <v>40</v>
      </c>
      <c r="H416">
        <v>1</v>
      </c>
      <c r="I416">
        <v>0</v>
      </c>
      <c r="J416">
        <v>3</v>
      </c>
      <c r="K416">
        <v>0</v>
      </c>
      <c r="L416" s="22" t="str">
        <f t="shared" si="123"/>
        <v>22/07/2026</v>
      </c>
      <c r="M416" s="23">
        <f t="shared" si="124"/>
        <v>0.77083333333333337</v>
      </c>
      <c r="N416" t="str">
        <f t="shared" si="125"/>
        <v>3 - 0</v>
      </c>
      <c r="O416" t="str">
        <f t="shared" si="126"/>
        <v>Green</v>
      </c>
      <c r="P416" t="str">
        <f t="shared" si="127"/>
        <v>Red</v>
      </c>
      <c r="Q416" t="str">
        <f t="shared" si="128"/>
        <v>Red</v>
      </c>
      <c r="R416" t="str">
        <f t="shared" si="129"/>
        <v>Green</v>
      </c>
      <c r="S416" t="str">
        <f t="shared" si="130"/>
        <v>Red</v>
      </c>
      <c r="T416" t="str">
        <f t="shared" si="131"/>
        <v>Green</v>
      </c>
      <c r="U416" t="str">
        <f t="shared" si="132"/>
        <v>Green</v>
      </c>
      <c r="V416" t="str">
        <f t="shared" si="133"/>
        <v>Red</v>
      </c>
      <c r="W416" t="str">
        <f t="shared" si="134"/>
        <v>Red</v>
      </c>
      <c r="X416" t="str">
        <f t="shared" si="135"/>
        <v>Green</v>
      </c>
      <c r="Y416" t="str">
        <f t="shared" si="136"/>
        <v>Green</v>
      </c>
      <c r="Z416" t="str">
        <f t="shared" si="137"/>
        <v>Green</v>
      </c>
      <c r="AA416" t="str">
        <f t="shared" si="138"/>
        <v>Red</v>
      </c>
      <c r="AB416" t="str">
        <f t="shared" si="139"/>
        <v>Green</v>
      </c>
      <c r="AC416" t="str">
        <f t="shared" si="140"/>
        <v>Red</v>
      </c>
      <c r="AD416" t="str">
        <f t="shared" si="141"/>
        <v>Green</v>
      </c>
    </row>
    <row r="417" spans="1:30" x14ac:dyDescent="0.25">
      <c r="A417" t="str">
        <f t="shared" si="122"/>
        <v>22/07/2026Independiente MedellinVasco Da Gama RJ</v>
      </c>
      <c r="B417" t="s">
        <v>1339</v>
      </c>
      <c r="C417" t="s">
        <v>1340</v>
      </c>
      <c r="D417" s="2">
        <v>46225</v>
      </c>
      <c r="E417" s="3">
        <v>0.91666666666666663</v>
      </c>
      <c r="F417" t="s">
        <v>1878</v>
      </c>
      <c r="G417" t="s">
        <v>1879</v>
      </c>
      <c r="H417">
        <v>1</v>
      </c>
      <c r="I417">
        <v>0</v>
      </c>
      <c r="J417">
        <v>2</v>
      </c>
      <c r="K417">
        <v>2</v>
      </c>
      <c r="L417" s="22" t="str">
        <f t="shared" si="123"/>
        <v>22/07/2026</v>
      </c>
      <c r="M417" s="23">
        <f t="shared" si="124"/>
        <v>0.79166666666666663</v>
      </c>
      <c r="N417" t="str">
        <f t="shared" si="125"/>
        <v>2 - 2</v>
      </c>
      <c r="O417" t="str">
        <f t="shared" si="126"/>
        <v>Red</v>
      </c>
      <c r="P417" t="str">
        <f t="shared" si="127"/>
        <v>Green</v>
      </c>
      <c r="Q417" t="str">
        <f t="shared" si="128"/>
        <v>Red</v>
      </c>
      <c r="R417" t="str">
        <f t="shared" si="129"/>
        <v>Green</v>
      </c>
      <c r="S417" t="str">
        <f t="shared" si="130"/>
        <v>Green</v>
      </c>
      <c r="T417" t="str">
        <f t="shared" si="131"/>
        <v>Red</v>
      </c>
      <c r="U417" t="str">
        <f t="shared" si="132"/>
        <v>Green</v>
      </c>
      <c r="V417" t="str">
        <f t="shared" si="133"/>
        <v>Red</v>
      </c>
      <c r="W417" t="str">
        <f t="shared" si="134"/>
        <v>Red</v>
      </c>
      <c r="X417" t="str">
        <f t="shared" si="135"/>
        <v>Green</v>
      </c>
      <c r="Y417" t="str">
        <f t="shared" si="136"/>
        <v>Green</v>
      </c>
      <c r="Z417" t="str">
        <f t="shared" si="137"/>
        <v>Green</v>
      </c>
      <c r="AA417" t="str">
        <f t="shared" si="138"/>
        <v>Red</v>
      </c>
      <c r="AB417" t="str">
        <f t="shared" si="139"/>
        <v>Red</v>
      </c>
      <c r="AC417" t="str">
        <f t="shared" si="140"/>
        <v>Green</v>
      </c>
      <c r="AD417" t="str">
        <f t="shared" si="141"/>
        <v>Red</v>
      </c>
    </row>
    <row r="418" spans="1:30" x14ac:dyDescent="0.25">
      <c r="A418" t="str">
        <f t="shared" si="122"/>
        <v>22/07/2026Uniao Sao JoaoXV de Novembro</v>
      </c>
      <c r="B418" t="s">
        <v>822</v>
      </c>
      <c r="D418" s="2">
        <v>46225</v>
      </c>
      <c r="E418" s="3">
        <v>0.91666666666666663</v>
      </c>
      <c r="F418" t="s">
        <v>1880</v>
      </c>
      <c r="G418" t="s">
        <v>1881</v>
      </c>
      <c r="H418">
        <v>0</v>
      </c>
      <c r="I418">
        <v>0</v>
      </c>
      <c r="J418">
        <v>0</v>
      </c>
      <c r="K418">
        <v>0</v>
      </c>
      <c r="L418" s="22" t="str">
        <f t="shared" si="123"/>
        <v>22/07/2026</v>
      </c>
      <c r="M418" s="23">
        <f t="shared" si="124"/>
        <v>0.79166666666666663</v>
      </c>
      <c r="N418" t="str">
        <f t="shared" si="125"/>
        <v>0 - 0</v>
      </c>
      <c r="O418" t="str">
        <f t="shared" si="126"/>
        <v>Red</v>
      </c>
      <c r="P418" t="str">
        <f t="shared" si="127"/>
        <v>Green</v>
      </c>
      <c r="Q418" t="str">
        <f t="shared" si="128"/>
        <v>Red</v>
      </c>
      <c r="R418" t="str">
        <f t="shared" si="129"/>
        <v>Green</v>
      </c>
      <c r="S418" t="str">
        <f t="shared" si="130"/>
        <v>Green</v>
      </c>
      <c r="T418" t="str">
        <f t="shared" si="131"/>
        <v>Red</v>
      </c>
      <c r="U418" t="str">
        <f t="shared" si="132"/>
        <v>Red</v>
      </c>
      <c r="V418" t="str">
        <f t="shared" si="133"/>
        <v>Green</v>
      </c>
      <c r="W418" t="str">
        <f t="shared" si="134"/>
        <v>Red</v>
      </c>
      <c r="X418" t="str">
        <f t="shared" si="135"/>
        <v>Red</v>
      </c>
      <c r="Y418" t="str">
        <f t="shared" si="136"/>
        <v>Red</v>
      </c>
      <c r="Z418" t="str">
        <f t="shared" si="137"/>
        <v>Red</v>
      </c>
      <c r="AA418" t="str">
        <f t="shared" si="138"/>
        <v>Green</v>
      </c>
      <c r="AB418" t="str">
        <f t="shared" si="139"/>
        <v>Green</v>
      </c>
      <c r="AC418" t="str">
        <f t="shared" si="140"/>
        <v>Red</v>
      </c>
      <c r="AD418" t="str">
        <f t="shared" si="141"/>
        <v>Green</v>
      </c>
    </row>
    <row r="419" spans="1:30" x14ac:dyDescent="0.25">
      <c r="A419" t="str">
        <f t="shared" si="122"/>
        <v>22/07/2026Botafogo RJ WomenRed Bull Bragantino Women</v>
      </c>
      <c r="B419" t="s">
        <v>822</v>
      </c>
      <c r="D419" s="2">
        <v>46225</v>
      </c>
      <c r="E419" s="3">
        <v>0.91666666666666663</v>
      </c>
      <c r="F419" t="s">
        <v>1882</v>
      </c>
      <c r="G419" t="s">
        <v>1883</v>
      </c>
      <c r="H419">
        <v>0</v>
      </c>
      <c r="I419">
        <v>0</v>
      </c>
      <c r="J419">
        <v>0</v>
      </c>
      <c r="K419">
        <v>2</v>
      </c>
      <c r="L419" s="22" t="str">
        <f t="shared" si="123"/>
        <v>22/07/2026</v>
      </c>
      <c r="M419" s="23">
        <f t="shared" si="124"/>
        <v>0.79166666666666663</v>
      </c>
      <c r="N419" t="str">
        <f t="shared" si="125"/>
        <v>0 - 2</v>
      </c>
      <c r="O419" t="str">
        <f t="shared" si="126"/>
        <v>Red</v>
      </c>
      <c r="P419" t="str">
        <f t="shared" si="127"/>
        <v>Red</v>
      </c>
      <c r="Q419" t="str">
        <f t="shared" si="128"/>
        <v>Green</v>
      </c>
      <c r="R419" t="str">
        <f t="shared" si="129"/>
        <v>Red</v>
      </c>
      <c r="S419" t="str">
        <f t="shared" si="130"/>
        <v>Green</v>
      </c>
      <c r="T419" t="str">
        <f t="shared" si="131"/>
        <v>Green</v>
      </c>
      <c r="U419" t="str">
        <f t="shared" si="132"/>
        <v>Red</v>
      </c>
      <c r="V419" t="str">
        <f t="shared" si="133"/>
        <v>Green</v>
      </c>
      <c r="W419" t="str">
        <f t="shared" si="134"/>
        <v>Red</v>
      </c>
      <c r="X419" t="str">
        <f t="shared" si="135"/>
        <v>Red</v>
      </c>
      <c r="Y419" t="str">
        <f t="shared" si="136"/>
        <v>Green</v>
      </c>
      <c r="Z419" t="str">
        <f t="shared" si="137"/>
        <v>Red</v>
      </c>
      <c r="AA419" t="str">
        <f t="shared" si="138"/>
        <v>Green</v>
      </c>
      <c r="AB419" t="str">
        <f t="shared" si="139"/>
        <v>Green</v>
      </c>
      <c r="AC419" t="str">
        <f t="shared" si="140"/>
        <v>Red</v>
      </c>
      <c r="AD419" t="str">
        <f t="shared" si="141"/>
        <v>Green</v>
      </c>
    </row>
    <row r="420" spans="1:30" x14ac:dyDescent="0.25">
      <c r="A420" t="str">
        <f t="shared" si="122"/>
        <v>22/07/2026Coritiba PRPalmeiras</v>
      </c>
      <c r="B420" t="s">
        <v>822</v>
      </c>
      <c r="C420" t="s">
        <v>823</v>
      </c>
      <c r="D420" s="2">
        <v>46225</v>
      </c>
      <c r="E420" s="3">
        <v>0.9375</v>
      </c>
      <c r="F420" t="s">
        <v>893</v>
      </c>
      <c r="G420" t="s">
        <v>42</v>
      </c>
      <c r="H420">
        <v>0</v>
      </c>
      <c r="I420">
        <v>2</v>
      </c>
      <c r="J420">
        <v>1</v>
      </c>
      <c r="K420">
        <v>3</v>
      </c>
      <c r="L420" s="22" t="str">
        <f t="shared" si="123"/>
        <v>22/07/2026</v>
      </c>
      <c r="M420" s="23">
        <f t="shared" si="124"/>
        <v>0.8125</v>
      </c>
      <c r="N420" t="str">
        <f t="shared" si="125"/>
        <v>1 - 3</v>
      </c>
      <c r="O420" t="str">
        <f t="shared" si="126"/>
        <v>Red</v>
      </c>
      <c r="P420" t="str">
        <f t="shared" si="127"/>
        <v>Red</v>
      </c>
      <c r="Q420" t="str">
        <f t="shared" si="128"/>
        <v>Green</v>
      </c>
      <c r="R420" t="str">
        <f t="shared" si="129"/>
        <v>Red</v>
      </c>
      <c r="S420" t="str">
        <f t="shared" si="130"/>
        <v>Green</v>
      </c>
      <c r="T420" t="str">
        <f t="shared" si="131"/>
        <v>Green</v>
      </c>
      <c r="U420" t="str">
        <f t="shared" si="132"/>
        <v>Red</v>
      </c>
      <c r="V420" t="str">
        <f t="shared" si="133"/>
        <v>Red</v>
      </c>
      <c r="W420" t="str">
        <f t="shared" si="134"/>
        <v>Green</v>
      </c>
      <c r="X420" t="str">
        <f t="shared" si="135"/>
        <v>Green</v>
      </c>
      <c r="Y420" t="str">
        <f t="shared" si="136"/>
        <v>Green</v>
      </c>
      <c r="Z420" t="str">
        <f t="shared" si="137"/>
        <v>Green</v>
      </c>
      <c r="AA420" t="str">
        <f t="shared" si="138"/>
        <v>Red</v>
      </c>
      <c r="AB420" t="str">
        <f t="shared" si="139"/>
        <v>Red</v>
      </c>
      <c r="AC420" t="str">
        <f t="shared" si="140"/>
        <v>Green</v>
      </c>
      <c r="AD420" t="str">
        <f t="shared" si="141"/>
        <v>Red</v>
      </c>
    </row>
    <row r="421" spans="1:30" x14ac:dyDescent="0.25">
      <c r="A421" t="str">
        <f t="shared" si="122"/>
        <v>22/07/2026CearaClube de Regatas Brasil</v>
      </c>
      <c r="B421" t="s">
        <v>822</v>
      </c>
      <c r="C421" t="s">
        <v>835</v>
      </c>
      <c r="D421" s="2">
        <v>46225</v>
      </c>
      <c r="E421" s="3">
        <v>0.9375</v>
      </c>
      <c r="F421" t="s">
        <v>930</v>
      </c>
      <c r="G421" t="s">
        <v>931</v>
      </c>
      <c r="H421">
        <v>0</v>
      </c>
      <c r="I421">
        <v>1</v>
      </c>
      <c r="J421">
        <v>0</v>
      </c>
      <c r="K421">
        <v>1</v>
      </c>
      <c r="L421" s="22" t="str">
        <f t="shared" si="123"/>
        <v>22/07/2026</v>
      </c>
      <c r="M421" s="23">
        <f t="shared" si="124"/>
        <v>0.8125</v>
      </c>
      <c r="N421" t="str">
        <f t="shared" si="125"/>
        <v>0 - 1</v>
      </c>
      <c r="O421" t="str">
        <f t="shared" si="126"/>
        <v>Red</v>
      </c>
      <c r="P421" t="str">
        <f t="shared" si="127"/>
        <v>Red</v>
      </c>
      <c r="Q421" t="str">
        <f t="shared" si="128"/>
        <v>Green</v>
      </c>
      <c r="R421" t="str">
        <f t="shared" si="129"/>
        <v>Red</v>
      </c>
      <c r="S421" t="str">
        <f t="shared" si="130"/>
        <v>Green</v>
      </c>
      <c r="T421" t="str">
        <f t="shared" si="131"/>
        <v>Green</v>
      </c>
      <c r="U421" t="str">
        <f t="shared" si="132"/>
        <v>Red</v>
      </c>
      <c r="V421" t="str">
        <f t="shared" si="133"/>
        <v>Red</v>
      </c>
      <c r="W421" t="str">
        <f t="shared" si="134"/>
        <v>Green</v>
      </c>
      <c r="X421" t="str">
        <f t="shared" si="135"/>
        <v>Green</v>
      </c>
      <c r="Y421" t="str">
        <f t="shared" si="136"/>
        <v>Red</v>
      </c>
      <c r="Z421" t="str">
        <f t="shared" si="137"/>
        <v>Red</v>
      </c>
      <c r="AA421" t="str">
        <f t="shared" si="138"/>
        <v>Green</v>
      </c>
      <c r="AB421" t="str">
        <f t="shared" si="139"/>
        <v>Green</v>
      </c>
      <c r="AC421" t="str">
        <f t="shared" si="140"/>
        <v>Red</v>
      </c>
      <c r="AD421" t="str">
        <f t="shared" si="141"/>
        <v>Green</v>
      </c>
    </row>
    <row r="422" spans="1:30" x14ac:dyDescent="0.25">
      <c r="A422" t="str">
        <f t="shared" si="122"/>
        <v>22/07/2026Operario PRPonte Preta</v>
      </c>
      <c r="B422" t="s">
        <v>822</v>
      </c>
      <c r="C422" t="s">
        <v>835</v>
      </c>
      <c r="D422" s="2">
        <v>46225</v>
      </c>
      <c r="E422" s="3">
        <v>0.9375</v>
      </c>
      <c r="F422" t="s">
        <v>932</v>
      </c>
      <c r="G422" t="s">
        <v>46</v>
      </c>
      <c r="H422">
        <v>1</v>
      </c>
      <c r="I422">
        <v>1</v>
      </c>
      <c r="J422">
        <v>3</v>
      </c>
      <c r="K422">
        <v>2</v>
      </c>
      <c r="L422" s="22" t="str">
        <f t="shared" si="123"/>
        <v>22/07/2026</v>
      </c>
      <c r="M422" s="23">
        <f t="shared" si="124"/>
        <v>0.8125</v>
      </c>
      <c r="N422" t="str">
        <f t="shared" si="125"/>
        <v>3 - 2</v>
      </c>
      <c r="O422" t="str">
        <f t="shared" si="126"/>
        <v>Green</v>
      </c>
      <c r="P422" t="str">
        <f t="shared" si="127"/>
        <v>Red</v>
      </c>
      <c r="Q422" t="str">
        <f t="shared" si="128"/>
        <v>Red</v>
      </c>
      <c r="R422" t="str">
        <f t="shared" si="129"/>
        <v>Green</v>
      </c>
      <c r="S422" t="str">
        <f t="shared" si="130"/>
        <v>Red</v>
      </c>
      <c r="T422" t="str">
        <f t="shared" si="131"/>
        <v>Green</v>
      </c>
      <c r="U422" t="str">
        <f t="shared" si="132"/>
        <v>Red</v>
      </c>
      <c r="V422" t="str">
        <f t="shared" si="133"/>
        <v>Green</v>
      </c>
      <c r="W422" t="str">
        <f t="shared" si="134"/>
        <v>Red</v>
      </c>
      <c r="X422" t="str">
        <f t="shared" si="135"/>
        <v>Green</v>
      </c>
      <c r="Y422" t="str">
        <f t="shared" si="136"/>
        <v>Green</v>
      </c>
      <c r="Z422" t="str">
        <f t="shared" si="137"/>
        <v>Green</v>
      </c>
      <c r="AA422" t="str">
        <f t="shared" si="138"/>
        <v>Red</v>
      </c>
      <c r="AB422" t="str">
        <f t="shared" si="139"/>
        <v>Red</v>
      </c>
      <c r="AC422" t="str">
        <f t="shared" si="140"/>
        <v>Green</v>
      </c>
      <c r="AD422" t="str">
        <f t="shared" si="141"/>
        <v>Red</v>
      </c>
    </row>
    <row r="423" spans="1:30" x14ac:dyDescent="0.25">
      <c r="A423" t="str">
        <f t="shared" si="122"/>
        <v>22/07/2026Sampaio Correa RJResende RJ</v>
      </c>
      <c r="B423" t="s">
        <v>822</v>
      </c>
      <c r="C423" t="s">
        <v>847</v>
      </c>
      <c r="D423" s="2">
        <v>46225</v>
      </c>
      <c r="E423" s="3">
        <v>0.9375</v>
      </c>
      <c r="F423" t="s">
        <v>1884</v>
      </c>
      <c r="G423" t="s">
        <v>1885</v>
      </c>
      <c r="H423">
        <v>0</v>
      </c>
      <c r="I423">
        <v>0</v>
      </c>
      <c r="J423">
        <v>2</v>
      </c>
      <c r="K423">
        <v>0</v>
      </c>
      <c r="L423" s="22" t="str">
        <f t="shared" si="123"/>
        <v>22/07/2026</v>
      </c>
      <c r="M423" s="23">
        <f t="shared" si="124"/>
        <v>0.8125</v>
      </c>
      <c r="N423" t="str">
        <f t="shared" si="125"/>
        <v>2 - 0</v>
      </c>
      <c r="O423" t="str">
        <f t="shared" si="126"/>
        <v>Green</v>
      </c>
      <c r="P423" t="str">
        <f t="shared" si="127"/>
        <v>Red</v>
      </c>
      <c r="Q423" t="str">
        <f t="shared" si="128"/>
        <v>Red</v>
      </c>
      <c r="R423" t="str">
        <f t="shared" si="129"/>
        <v>Green</v>
      </c>
      <c r="S423" t="str">
        <f t="shared" si="130"/>
        <v>Red</v>
      </c>
      <c r="T423" t="str">
        <f t="shared" si="131"/>
        <v>Green</v>
      </c>
      <c r="U423" t="str">
        <f t="shared" si="132"/>
        <v>Red</v>
      </c>
      <c r="V423" t="str">
        <f t="shared" si="133"/>
        <v>Green</v>
      </c>
      <c r="W423" t="str">
        <f t="shared" si="134"/>
        <v>Red</v>
      </c>
      <c r="X423" t="str">
        <f t="shared" si="135"/>
        <v>Red</v>
      </c>
      <c r="Y423" t="str">
        <f t="shared" si="136"/>
        <v>Green</v>
      </c>
      <c r="Z423" t="str">
        <f t="shared" si="137"/>
        <v>Red</v>
      </c>
      <c r="AA423" t="str">
        <f t="shared" si="138"/>
        <v>Green</v>
      </c>
      <c r="AB423" t="str">
        <f t="shared" si="139"/>
        <v>Green</v>
      </c>
      <c r="AC423" t="str">
        <f t="shared" si="140"/>
        <v>Red</v>
      </c>
      <c r="AD423" t="str">
        <f t="shared" si="141"/>
        <v>Green</v>
      </c>
    </row>
    <row r="424" spans="1:30" x14ac:dyDescent="0.25">
      <c r="A424" t="str">
        <f t="shared" si="122"/>
        <v>22/07/2026Atletico Mineiro WomenCA Piauiense Women</v>
      </c>
      <c r="B424" t="s">
        <v>822</v>
      </c>
      <c r="D424" s="2">
        <v>46225</v>
      </c>
      <c r="E424" s="3">
        <v>0.9375</v>
      </c>
      <c r="F424" t="s">
        <v>1886</v>
      </c>
      <c r="G424" t="s">
        <v>1887</v>
      </c>
      <c r="H424">
        <v>0</v>
      </c>
      <c r="I424">
        <v>0</v>
      </c>
      <c r="J424">
        <v>2</v>
      </c>
      <c r="K424">
        <v>1</v>
      </c>
      <c r="L424" s="22" t="str">
        <f t="shared" si="123"/>
        <v>22/07/2026</v>
      </c>
      <c r="M424" s="23">
        <f t="shared" si="124"/>
        <v>0.8125</v>
      </c>
      <c r="N424" t="str">
        <f t="shared" si="125"/>
        <v>2 - 1</v>
      </c>
      <c r="O424" t="str">
        <f t="shared" si="126"/>
        <v>Green</v>
      </c>
      <c r="P424" t="str">
        <f t="shared" si="127"/>
        <v>Red</v>
      </c>
      <c r="Q424" t="str">
        <f t="shared" si="128"/>
        <v>Red</v>
      </c>
      <c r="R424" t="str">
        <f t="shared" si="129"/>
        <v>Green</v>
      </c>
      <c r="S424" t="str">
        <f t="shared" si="130"/>
        <v>Red</v>
      </c>
      <c r="T424" t="str">
        <f t="shared" si="131"/>
        <v>Green</v>
      </c>
      <c r="U424" t="str">
        <f t="shared" si="132"/>
        <v>Red</v>
      </c>
      <c r="V424" t="str">
        <f t="shared" si="133"/>
        <v>Green</v>
      </c>
      <c r="W424" t="str">
        <f t="shared" si="134"/>
        <v>Red</v>
      </c>
      <c r="X424" t="str">
        <f t="shared" si="135"/>
        <v>Red</v>
      </c>
      <c r="Y424" t="str">
        <f t="shared" si="136"/>
        <v>Green</v>
      </c>
      <c r="Z424" t="str">
        <f t="shared" si="137"/>
        <v>Green</v>
      </c>
      <c r="AA424" t="str">
        <f t="shared" si="138"/>
        <v>Red</v>
      </c>
      <c r="AB424" t="str">
        <f t="shared" si="139"/>
        <v>Green</v>
      </c>
      <c r="AC424" t="str">
        <f t="shared" si="140"/>
        <v>Green</v>
      </c>
      <c r="AD424" t="str">
        <f t="shared" si="141"/>
        <v>Red</v>
      </c>
    </row>
    <row r="425" spans="1:30" x14ac:dyDescent="0.25">
      <c r="A425" t="str">
        <f t="shared" si="122"/>
        <v>22/07/2026Carolina CoreInter Miami II</v>
      </c>
      <c r="D425" s="2">
        <v>46225</v>
      </c>
      <c r="E425" s="3">
        <v>0.9375</v>
      </c>
      <c r="F425" t="s">
        <v>1888</v>
      </c>
      <c r="G425" t="s">
        <v>1889</v>
      </c>
      <c r="H425">
        <v>2</v>
      </c>
      <c r="I425">
        <v>0</v>
      </c>
      <c r="J425">
        <v>4</v>
      </c>
      <c r="K425">
        <v>0</v>
      </c>
      <c r="L425" s="22" t="str">
        <f t="shared" si="123"/>
        <v>22/07/2026</v>
      </c>
      <c r="M425" s="23">
        <f t="shared" si="124"/>
        <v>0.8125</v>
      </c>
      <c r="N425" t="str">
        <f t="shared" si="125"/>
        <v>4 - 0</v>
      </c>
      <c r="O425" t="str">
        <f t="shared" si="126"/>
        <v>Green</v>
      </c>
      <c r="P425" t="str">
        <f t="shared" si="127"/>
        <v>Red</v>
      </c>
      <c r="Q425" t="str">
        <f t="shared" si="128"/>
        <v>Red</v>
      </c>
      <c r="R425" t="str">
        <f t="shared" si="129"/>
        <v>Green</v>
      </c>
      <c r="S425" t="str">
        <f t="shared" si="130"/>
        <v>Red</v>
      </c>
      <c r="T425" t="str">
        <f t="shared" si="131"/>
        <v>Green</v>
      </c>
      <c r="U425" t="str">
        <f t="shared" si="132"/>
        <v>Green</v>
      </c>
      <c r="V425" t="str">
        <f t="shared" si="133"/>
        <v>Red</v>
      </c>
      <c r="W425" t="str">
        <f t="shared" si="134"/>
        <v>Red</v>
      </c>
      <c r="X425" t="str">
        <f t="shared" si="135"/>
        <v>Green</v>
      </c>
      <c r="Y425" t="str">
        <f t="shared" si="136"/>
        <v>Green</v>
      </c>
      <c r="Z425" t="str">
        <f t="shared" si="137"/>
        <v>Green</v>
      </c>
      <c r="AA425" t="str">
        <f t="shared" si="138"/>
        <v>Red</v>
      </c>
      <c r="AB425" t="str">
        <f t="shared" si="139"/>
        <v>Red</v>
      </c>
      <c r="AC425" t="str">
        <f t="shared" si="140"/>
        <v>Red</v>
      </c>
      <c r="AD425" t="str">
        <f t="shared" si="141"/>
        <v>Green</v>
      </c>
    </row>
    <row r="426" spans="1:30" x14ac:dyDescent="0.25">
      <c r="A426" t="str">
        <f t="shared" si="122"/>
        <v>22/07/2026Hercilio LuzCF Caravaggio</v>
      </c>
      <c r="B426" t="s">
        <v>822</v>
      </c>
      <c r="C426" t="s">
        <v>935</v>
      </c>
      <c r="D426" s="2">
        <v>46225</v>
      </c>
      <c r="E426" s="3">
        <v>0.95833333333333337</v>
      </c>
      <c r="F426" t="s">
        <v>944</v>
      </c>
      <c r="G426" t="s">
        <v>945</v>
      </c>
      <c r="H426">
        <v>0</v>
      </c>
      <c r="I426">
        <v>0</v>
      </c>
      <c r="J426">
        <v>0</v>
      </c>
      <c r="K426">
        <v>0</v>
      </c>
      <c r="L426" s="22" t="str">
        <f t="shared" si="123"/>
        <v>22/07/2026</v>
      </c>
      <c r="M426" s="23">
        <f t="shared" si="124"/>
        <v>0.83333333333333337</v>
      </c>
      <c r="N426" t="str">
        <f t="shared" si="125"/>
        <v>0 - 0</v>
      </c>
      <c r="O426" t="str">
        <f t="shared" si="126"/>
        <v>Red</v>
      </c>
      <c r="P426" t="str">
        <f t="shared" si="127"/>
        <v>Green</v>
      </c>
      <c r="Q426" t="str">
        <f t="shared" si="128"/>
        <v>Red</v>
      </c>
      <c r="R426" t="str">
        <f t="shared" si="129"/>
        <v>Green</v>
      </c>
      <c r="S426" t="str">
        <f t="shared" si="130"/>
        <v>Green</v>
      </c>
      <c r="T426" t="str">
        <f t="shared" si="131"/>
        <v>Red</v>
      </c>
      <c r="U426" t="str">
        <f t="shared" si="132"/>
        <v>Red</v>
      </c>
      <c r="V426" t="str">
        <f t="shared" si="133"/>
        <v>Green</v>
      </c>
      <c r="W426" t="str">
        <f t="shared" si="134"/>
        <v>Red</v>
      </c>
      <c r="X426" t="str">
        <f t="shared" si="135"/>
        <v>Red</v>
      </c>
      <c r="Y426" t="str">
        <f t="shared" si="136"/>
        <v>Red</v>
      </c>
      <c r="Z426" t="str">
        <f t="shared" si="137"/>
        <v>Red</v>
      </c>
      <c r="AA426" t="str">
        <f t="shared" si="138"/>
        <v>Green</v>
      </c>
      <c r="AB426" t="str">
        <f t="shared" si="139"/>
        <v>Green</v>
      </c>
      <c r="AC426" t="str">
        <f t="shared" si="140"/>
        <v>Red</v>
      </c>
      <c r="AD426" t="str">
        <f t="shared" si="141"/>
        <v>Green</v>
      </c>
    </row>
    <row r="427" spans="1:30" x14ac:dyDescent="0.25">
      <c r="A427" t="str">
        <f t="shared" si="122"/>
        <v>22/07/2026Lexington SCOakland Roots</v>
      </c>
      <c r="D427" s="2">
        <v>46225</v>
      </c>
      <c r="E427" s="3">
        <v>0.95833333333333337</v>
      </c>
      <c r="F427" t="s">
        <v>49</v>
      </c>
      <c r="G427" t="s">
        <v>50</v>
      </c>
      <c r="H427">
        <v>0</v>
      </c>
      <c r="I427">
        <v>0</v>
      </c>
      <c r="J427">
        <v>2</v>
      </c>
      <c r="K427">
        <v>0</v>
      </c>
      <c r="L427" s="22" t="str">
        <f t="shared" si="123"/>
        <v>22/07/2026</v>
      </c>
      <c r="M427" s="23">
        <f t="shared" si="124"/>
        <v>0.83333333333333337</v>
      </c>
      <c r="N427" t="str">
        <f t="shared" si="125"/>
        <v>2 - 0</v>
      </c>
      <c r="O427" t="str">
        <f t="shared" si="126"/>
        <v>Green</v>
      </c>
      <c r="P427" t="str">
        <f t="shared" si="127"/>
        <v>Red</v>
      </c>
      <c r="Q427" t="str">
        <f t="shared" si="128"/>
        <v>Red</v>
      </c>
      <c r="R427" t="str">
        <f t="shared" si="129"/>
        <v>Green</v>
      </c>
      <c r="S427" t="str">
        <f t="shared" si="130"/>
        <v>Red</v>
      </c>
      <c r="T427" t="str">
        <f t="shared" si="131"/>
        <v>Green</v>
      </c>
      <c r="U427" t="str">
        <f t="shared" si="132"/>
        <v>Red</v>
      </c>
      <c r="V427" t="str">
        <f t="shared" si="133"/>
        <v>Green</v>
      </c>
      <c r="W427" t="str">
        <f t="shared" si="134"/>
        <v>Red</v>
      </c>
      <c r="X427" t="str">
        <f t="shared" si="135"/>
        <v>Red</v>
      </c>
      <c r="Y427" t="str">
        <f t="shared" si="136"/>
        <v>Green</v>
      </c>
      <c r="Z427" t="str">
        <f t="shared" si="137"/>
        <v>Red</v>
      </c>
      <c r="AA427" t="str">
        <f t="shared" si="138"/>
        <v>Green</v>
      </c>
      <c r="AB427" t="str">
        <f t="shared" si="139"/>
        <v>Green</v>
      </c>
      <c r="AC427" t="str">
        <f t="shared" si="140"/>
        <v>Red</v>
      </c>
      <c r="AD427" t="str">
        <f t="shared" si="141"/>
        <v>Green</v>
      </c>
    </row>
    <row r="428" spans="1:30" x14ac:dyDescent="0.25">
      <c r="A428" t="str">
        <f t="shared" si="122"/>
        <v>22/07/2026Portland Hearts of PineUnion Omaha SC</v>
      </c>
      <c r="D428" s="2">
        <v>46225</v>
      </c>
      <c r="E428" s="3">
        <v>0.95833333333333337</v>
      </c>
      <c r="F428" t="s">
        <v>1890</v>
      </c>
      <c r="G428" t="s">
        <v>1891</v>
      </c>
      <c r="H428">
        <v>1</v>
      </c>
      <c r="I428">
        <v>2</v>
      </c>
      <c r="J428">
        <v>1</v>
      </c>
      <c r="K428">
        <v>2</v>
      </c>
      <c r="L428" s="22" t="str">
        <f t="shared" si="123"/>
        <v>22/07/2026</v>
      </c>
      <c r="M428" s="23">
        <f t="shared" si="124"/>
        <v>0.83333333333333337</v>
      </c>
      <c r="N428" t="str">
        <f t="shared" si="125"/>
        <v>1 - 2</v>
      </c>
      <c r="O428" t="str">
        <f t="shared" si="126"/>
        <v>Red</v>
      </c>
      <c r="P428" t="str">
        <f t="shared" si="127"/>
        <v>Red</v>
      </c>
      <c r="Q428" t="str">
        <f t="shared" si="128"/>
        <v>Green</v>
      </c>
      <c r="R428" t="str">
        <f t="shared" si="129"/>
        <v>Red</v>
      </c>
      <c r="S428" t="str">
        <f t="shared" si="130"/>
        <v>Green</v>
      </c>
      <c r="T428" t="str">
        <f t="shared" si="131"/>
        <v>Green</v>
      </c>
      <c r="U428" t="str">
        <f t="shared" si="132"/>
        <v>Red</v>
      </c>
      <c r="V428" t="str">
        <f t="shared" si="133"/>
        <v>Red</v>
      </c>
      <c r="W428" t="str">
        <f t="shared" si="134"/>
        <v>Green</v>
      </c>
      <c r="X428" t="str">
        <f t="shared" si="135"/>
        <v>Green</v>
      </c>
      <c r="Y428" t="str">
        <f t="shared" si="136"/>
        <v>Green</v>
      </c>
      <c r="Z428" t="str">
        <f t="shared" si="137"/>
        <v>Green</v>
      </c>
      <c r="AA428" t="str">
        <f t="shared" si="138"/>
        <v>Red</v>
      </c>
      <c r="AB428" t="str">
        <f t="shared" si="139"/>
        <v>Green</v>
      </c>
      <c r="AC428" t="str">
        <f t="shared" si="140"/>
        <v>Green</v>
      </c>
      <c r="AD428" t="str">
        <f t="shared" si="141"/>
        <v>Red</v>
      </c>
    </row>
    <row r="429" spans="1:30" x14ac:dyDescent="0.25">
      <c r="A429" t="str">
        <f t="shared" si="122"/>
        <v>22/07/2026Westchester SCNew York Cosmos</v>
      </c>
      <c r="D429" s="2">
        <v>46225</v>
      </c>
      <c r="E429" s="3">
        <v>0.95833333333333337</v>
      </c>
      <c r="F429" t="s">
        <v>1892</v>
      </c>
      <c r="G429" t="s">
        <v>1893</v>
      </c>
      <c r="H429">
        <v>1</v>
      </c>
      <c r="I429">
        <v>0</v>
      </c>
      <c r="J429">
        <v>3</v>
      </c>
      <c r="K429">
        <v>0</v>
      </c>
      <c r="L429" s="22" t="str">
        <f t="shared" si="123"/>
        <v>22/07/2026</v>
      </c>
      <c r="M429" s="23">
        <f t="shared" si="124"/>
        <v>0.83333333333333337</v>
      </c>
      <c r="N429" t="str">
        <f t="shared" si="125"/>
        <v>3 - 0</v>
      </c>
      <c r="O429" t="str">
        <f t="shared" si="126"/>
        <v>Green</v>
      </c>
      <c r="P429" t="str">
        <f t="shared" si="127"/>
        <v>Red</v>
      </c>
      <c r="Q429" t="str">
        <f t="shared" si="128"/>
        <v>Red</v>
      </c>
      <c r="R429" t="str">
        <f t="shared" si="129"/>
        <v>Green</v>
      </c>
      <c r="S429" t="str">
        <f t="shared" si="130"/>
        <v>Red</v>
      </c>
      <c r="T429" t="str">
        <f t="shared" si="131"/>
        <v>Green</v>
      </c>
      <c r="U429" t="str">
        <f t="shared" si="132"/>
        <v>Green</v>
      </c>
      <c r="V429" t="str">
        <f t="shared" si="133"/>
        <v>Red</v>
      </c>
      <c r="W429" t="str">
        <f t="shared" si="134"/>
        <v>Red</v>
      </c>
      <c r="X429" t="str">
        <f t="shared" si="135"/>
        <v>Green</v>
      </c>
      <c r="Y429" t="str">
        <f t="shared" si="136"/>
        <v>Green</v>
      </c>
      <c r="Z429" t="str">
        <f t="shared" si="137"/>
        <v>Green</v>
      </c>
      <c r="AA429" t="str">
        <f t="shared" si="138"/>
        <v>Red</v>
      </c>
      <c r="AB429" t="str">
        <f t="shared" si="139"/>
        <v>Green</v>
      </c>
      <c r="AC429" t="str">
        <f t="shared" si="140"/>
        <v>Red</v>
      </c>
      <c r="AD429" t="str">
        <f t="shared" si="141"/>
        <v>Green</v>
      </c>
    </row>
    <row r="430" spans="1:30" x14ac:dyDescent="0.25">
      <c r="A430" t="str">
        <f t="shared" si="122"/>
        <v>22/07/2026GoiasSport Recife</v>
      </c>
      <c r="B430" t="s">
        <v>822</v>
      </c>
      <c r="C430" t="s">
        <v>835</v>
      </c>
      <c r="D430" s="2">
        <v>46225</v>
      </c>
      <c r="E430" s="3">
        <v>0.97916666666666663</v>
      </c>
      <c r="F430" t="s">
        <v>933</v>
      </c>
      <c r="G430" t="s">
        <v>52</v>
      </c>
      <c r="H430">
        <v>0</v>
      </c>
      <c r="I430">
        <v>1</v>
      </c>
      <c r="J430">
        <v>1</v>
      </c>
      <c r="K430">
        <v>1</v>
      </c>
      <c r="L430" s="22" t="str">
        <f t="shared" si="123"/>
        <v>22/07/2026</v>
      </c>
      <c r="M430" s="23">
        <f t="shared" si="124"/>
        <v>0.85416666666666663</v>
      </c>
      <c r="N430" t="str">
        <f t="shared" si="125"/>
        <v>1 - 1</v>
      </c>
      <c r="O430" t="str">
        <f t="shared" si="126"/>
        <v>Red</v>
      </c>
      <c r="P430" t="str">
        <f t="shared" si="127"/>
        <v>Green</v>
      </c>
      <c r="Q430" t="str">
        <f t="shared" si="128"/>
        <v>Red</v>
      </c>
      <c r="R430" t="str">
        <f t="shared" si="129"/>
        <v>Green</v>
      </c>
      <c r="S430" t="str">
        <f t="shared" si="130"/>
        <v>Green</v>
      </c>
      <c r="T430" t="str">
        <f t="shared" si="131"/>
        <v>Red</v>
      </c>
      <c r="U430" t="str">
        <f t="shared" si="132"/>
        <v>Red</v>
      </c>
      <c r="V430" t="str">
        <f t="shared" si="133"/>
        <v>Red</v>
      </c>
      <c r="W430" t="str">
        <f t="shared" si="134"/>
        <v>Green</v>
      </c>
      <c r="X430" t="str">
        <f t="shared" si="135"/>
        <v>Green</v>
      </c>
      <c r="Y430" t="str">
        <f t="shared" si="136"/>
        <v>Green</v>
      </c>
      <c r="Z430" t="str">
        <f t="shared" si="137"/>
        <v>Red</v>
      </c>
      <c r="AA430" t="str">
        <f t="shared" si="138"/>
        <v>Green</v>
      </c>
      <c r="AB430" t="str">
        <f t="shared" si="139"/>
        <v>Green</v>
      </c>
      <c r="AC430" t="str">
        <f t="shared" si="140"/>
        <v>Green</v>
      </c>
      <c r="AD430" t="str">
        <f t="shared" si="141"/>
        <v>Red</v>
      </c>
    </row>
    <row r="431" spans="1:30" x14ac:dyDescent="0.25">
      <c r="A431" t="str">
        <f t="shared" si="122"/>
        <v>22/07/2026Columbus CrewNew York City</v>
      </c>
      <c r="D431" s="2">
        <v>46225</v>
      </c>
      <c r="E431" s="3">
        <v>0.97916666666666663</v>
      </c>
      <c r="F431" t="s">
        <v>878</v>
      </c>
      <c r="G431" t="s">
        <v>879</v>
      </c>
      <c r="H431">
        <v>0</v>
      </c>
      <c r="I431">
        <v>1</v>
      </c>
      <c r="J431">
        <v>1</v>
      </c>
      <c r="K431">
        <v>2</v>
      </c>
      <c r="L431" s="22" t="str">
        <f t="shared" si="123"/>
        <v>22/07/2026</v>
      </c>
      <c r="M431" s="23">
        <f t="shared" si="124"/>
        <v>0.85416666666666663</v>
      </c>
      <c r="N431" t="str">
        <f t="shared" si="125"/>
        <v>1 - 2</v>
      </c>
      <c r="O431" t="str">
        <f t="shared" si="126"/>
        <v>Red</v>
      </c>
      <c r="P431" t="str">
        <f t="shared" si="127"/>
        <v>Red</v>
      </c>
      <c r="Q431" t="str">
        <f t="shared" si="128"/>
        <v>Green</v>
      </c>
      <c r="R431" t="str">
        <f t="shared" si="129"/>
        <v>Red</v>
      </c>
      <c r="S431" t="str">
        <f t="shared" si="130"/>
        <v>Green</v>
      </c>
      <c r="T431" t="str">
        <f t="shared" si="131"/>
        <v>Green</v>
      </c>
      <c r="U431" t="str">
        <f t="shared" si="132"/>
        <v>Red</v>
      </c>
      <c r="V431" t="str">
        <f t="shared" si="133"/>
        <v>Red</v>
      </c>
      <c r="W431" t="str">
        <f t="shared" si="134"/>
        <v>Green</v>
      </c>
      <c r="X431" t="str">
        <f t="shared" si="135"/>
        <v>Green</v>
      </c>
      <c r="Y431" t="str">
        <f t="shared" si="136"/>
        <v>Green</v>
      </c>
      <c r="Z431" t="str">
        <f t="shared" si="137"/>
        <v>Green</v>
      </c>
      <c r="AA431" t="str">
        <f t="shared" si="138"/>
        <v>Red</v>
      </c>
      <c r="AB431" t="str">
        <f t="shared" si="139"/>
        <v>Green</v>
      </c>
      <c r="AC431" t="str">
        <f t="shared" si="140"/>
        <v>Green</v>
      </c>
      <c r="AD431" t="str">
        <f t="shared" si="141"/>
        <v>Red</v>
      </c>
    </row>
    <row r="432" spans="1:30" x14ac:dyDescent="0.25">
      <c r="A432" t="str">
        <f t="shared" si="122"/>
        <v>22/07/2026FC CincinnatiVancouver Whitecaps</v>
      </c>
      <c r="D432" s="2">
        <v>46225</v>
      </c>
      <c r="E432" s="3">
        <v>0.97916666666666663</v>
      </c>
      <c r="F432" t="s">
        <v>55</v>
      </c>
      <c r="G432" t="s">
        <v>56</v>
      </c>
      <c r="H432">
        <v>3</v>
      </c>
      <c r="I432">
        <v>2</v>
      </c>
      <c r="J432">
        <v>4</v>
      </c>
      <c r="K432">
        <v>3</v>
      </c>
      <c r="L432" s="22" t="str">
        <f t="shared" si="123"/>
        <v>22/07/2026</v>
      </c>
      <c r="M432" s="23">
        <f t="shared" si="124"/>
        <v>0.85416666666666663</v>
      </c>
      <c r="N432" t="str">
        <f t="shared" si="125"/>
        <v>4 - 3</v>
      </c>
      <c r="O432" t="str">
        <f t="shared" si="126"/>
        <v>Green</v>
      </c>
      <c r="P432" t="str">
        <f t="shared" si="127"/>
        <v>Red</v>
      </c>
      <c r="Q432" t="str">
        <f t="shared" si="128"/>
        <v>Red</v>
      </c>
      <c r="R432" t="str">
        <f t="shared" si="129"/>
        <v>Green</v>
      </c>
      <c r="S432" t="str">
        <f t="shared" si="130"/>
        <v>Red</v>
      </c>
      <c r="T432" t="str">
        <f t="shared" si="131"/>
        <v>Green</v>
      </c>
      <c r="U432" t="str">
        <f t="shared" si="132"/>
        <v>Green</v>
      </c>
      <c r="V432" t="str">
        <f t="shared" si="133"/>
        <v>Red</v>
      </c>
      <c r="W432" t="str">
        <f t="shared" si="134"/>
        <v>Red</v>
      </c>
      <c r="X432" t="str">
        <f t="shared" si="135"/>
        <v>Green</v>
      </c>
      <c r="Y432" t="str">
        <f t="shared" si="136"/>
        <v>Green</v>
      </c>
      <c r="Z432" t="str">
        <f t="shared" si="137"/>
        <v>Green</v>
      </c>
      <c r="AA432" t="str">
        <f t="shared" si="138"/>
        <v>Red</v>
      </c>
      <c r="AB432" t="str">
        <f t="shared" si="139"/>
        <v>Red</v>
      </c>
      <c r="AC432" t="str">
        <f t="shared" si="140"/>
        <v>Green</v>
      </c>
      <c r="AD432" t="str">
        <f t="shared" si="141"/>
        <v>Red</v>
      </c>
    </row>
    <row r="433" spans="1:30" x14ac:dyDescent="0.25">
      <c r="A433" t="str">
        <f t="shared" si="122"/>
        <v>22/07/2026Inter Miami CFChicago Fire</v>
      </c>
      <c r="D433" s="2">
        <v>46225</v>
      </c>
      <c r="E433" s="3">
        <v>0.97916666666666663</v>
      </c>
      <c r="F433" t="s">
        <v>57</v>
      </c>
      <c r="G433" t="s">
        <v>58</v>
      </c>
      <c r="H433">
        <v>1</v>
      </c>
      <c r="I433">
        <v>1</v>
      </c>
      <c r="J433">
        <v>3</v>
      </c>
      <c r="K433">
        <v>2</v>
      </c>
      <c r="L433" s="22" t="str">
        <f t="shared" si="123"/>
        <v>22/07/2026</v>
      </c>
      <c r="M433" s="23">
        <f t="shared" si="124"/>
        <v>0.85416666666666663</v>
      </c>
      <c r="N433" t="str">
        <f t="shared" si="125"/>
        <v>3 - 2</v>
      </c>
      <c r="O433" t="str">
        <f t="shared" si="126"/>
        <v>Green</v>
      </c>
      <c r="P433" t="str">
        <f t="shared" si="127"/>
        <v>Red</v>
      </c>
      <c r="Q433" t="str">
        <f t="shared" si="128"/>
        <v>Red</v>
      </c>
      <c r="R433" t="str">
        <f t="shared" si="129"/>
        <v>Green</v>
      </c>
      <c r="S433" t="str">
        <f t="shared" si="130"/>
        <v>Red</v>
      </c>
      <c r="T433" t="str">
        <f t="shared" si="131"/>
        <v>Green</v>
      </c>
      <c r="U433" t="str">
        <f t="shared" si="132"/>
        <v>Red</v>
      </c>
      <c r="V433" t="str">
        <f t="shared" si="133"/>
        <v>Green</v>
      </c>
      <c r="W433" t="str">
        <f t="shared" si="134"/>
        <v>Red</v>
      </c>
      <c r="X433" t="str">
        <f t="shared" si="135"/>
        <v>Green</v>
      </c>
      <c r="Y433" t="str">
        <f t="shared" si="136"/>
        <v>Green</v>
      </c>
      <c r="Z433" t="str">
        <f t="shared" si="137"/>
        <v>Green</v>
      </c>
      <c r="AA433" t="str">
        <f t="shared" si="138"/>
        <v>Red</v>
      </c>
      <c r="AB433" t="str">
        <f t="shared" si="139"/>
        <v>Red</v>
      </c>
      <c r="AC433" t="str">
        <f t="shared" si="140"/>
        <v>Green</v>
      </c>
      <c r="AD433" t="str">
        <f t="shared" si="141"/>
        <v>Red</v>
      </c>
    </row>
    <row r="434" spans="1:30" x14ac:dyDescent="0.25">
      <c r="A434" t="str">
        <f t="shared" si="122"/>
        <v>22/07/2026New England RevolutionToronto FC</v>
      </c>
      <c r="D434" s="2">
        <v>46225</v>
      </c>
      <c r="E434" s="3">
        <v>0.97916666666666663</v>
      </c>
      <c r="F434" t="s">
        <v>59</v>
      </c>
      <c r="G434" t="s">
        <v>60</v>
      </c>
      <c r="H434">
        <v>0</v>
      </c>
      <c r="I434">
        <v>0</v>
      </c>
      <c r="J434">
        <v>0</v>
      </c>
      <c r="K434">
        <v>0</v>
      </c>
      <c r="L434" s="22" t="str">
        <f t="shared" si="123"/>
        <v>22/07/2026</v>
      </c>
      <c r="M434" s="23">
        <f t="shared" si="124"/>
        <v>0.85416666666666663</v>
      </c>
      <c r="N434" t="str">
        <f t="shared" si="125"/>
        <v>0 - 0</v>
      </c>
      <c r="O434" t="str">
        <f t="shared" si="126"/>
        <v>Red</v>
      </c>
      <c r="P434" t="str">
        <f t="shared" si="127"/>
        <v>Green</v>
      </c>
      <c r="Q434" t="str">
        <f t="shared" si="128"/>
        <v>Red</v>
      </c>
      <c r="R434" t="str">
        <f t="shared" si="129"/>
        <v>Green</v>
      </c>
      <c r="S434" t="str">
        <f t="shared" si="130"/>
        <v>Green</v>
      </c>
      <c r="T434" t="str">
        <f t="shared" si="131"/>
        <v>Red</v>
      </c>
      <c r="U434" t="str">
        <f t="shared" si="132"/>
        <v>Red</v>
      </c>
      <c r="V434" t="str">
        <f t="shared" si="133"/>
        <v>Green</v>
      </c>
      <c r="W434" t="str">
        <f t="shared" si="134"/>
        <v>Red</v>
      </c>
      <c r="X434" t="str">
        <f t="shared" si="135"/>
        <v>Red</v>
      </c>
      <c r="Y434" t="str">
        <f t="shared" si="136"/>
        <v>Red</v>
      </c>
      <c r="Z434" t="str">
        <f t="shared" si="137"/>
        <v>Red</v>
      </c>
      <c r="AA434" t="str">
        <f t="shared" si="138"/>
        <v>Green</v>
      </c>
      <c r="AB434" t="str">
        <f t="shared" si="139"/>
        <v>Green</v>
      </c>
      <c r="AC434" t="str">
        <f t="shared" si="140"/>
        <v>Red</v>
      </c>
      <c r="AD434" t="str">
        <f t="shared" si="141"/>
        <v>Green</v>
      </c>
    </row>
    <row r="435" spans="1:30" x14ac:dyDescent="0.25">
      <c r="A435" t="str">
        <f t="shared" si="122"/>
        <v>22/07/2026Philadelphia UnionNew York Red Bulls</v>
      </c>
      <c r="D435" s="2">
        <v>46225</v>
      </c>
      <c r="E435" s="3">
        <v>0.97916666666666663</v>
      </c>
      <c r="F435" t="s">
        <v>61</v>
      </c>
      <c r="G435" t="s">
        <v>62</v>
      </c>
      <c r="H435">
        <v>1</v>
      </c>
      <c r="I435">
        <v>1</v>
      </c>
      <c r="J435">
        <v>3</v>
      </c>
      <c r="K435">
        <v>1</v>
      </c>
      <c r="L435" s="22" t="str">
        <f t="shared" si="123"/>
        <v>22/07/2026</v>
      </c>
      <c r="M435" s="23">
        <f t="shared" si="124"/>
        <v>0.85416666666666663</v>
      </c>
      <c r="N435" t="str">
        <f t="shared" si="125"/>
        <v>3 - 1</v>
      </c>
      <c r="O435" t="str">
        <f t="shared" si="126"/>
        <v>Green</v>
      </c>
      <c r="P435" t="str">
        <f t="shared" si="127"/>
        <v>Red</v>
      </c>
      <c r="Q435" t="str">
        <f t="shared" si="128"/>
        <v>Red</v>
      </c>
      <c r="R435" t="str">
        <f t="shared" si="129"/>
        <v>Green</v>
      </c>
      <c r="S435" t="str">
        <f t="shared" si="130"/>
        <v>Red</v>
      </c>
      <c r="T435" t="str">
        <f t="shared" si="131"/>
        <v>Green</v>
      </c>
      <c r="U435" t="str">
        <f t="shared" si="132"/>
        <v>Red</v>
      </c>
      <c r="V435" t="str">
        <f t="shared" si="133"/>
        <v>Green</v>
      </c>
      <c r="W435" t="str">
        <f t="shared" si="134"/>
        <v>Red</v>
      </c>
      <c r="X435" t="str">
        <f t="shared" si="135"/>
        <v>Green</v>
      </c>
      <c r="Y435" t="str">
        <f t="shared" si="136"/>
        <v>Green</v>
      </c>
      <c r="Z435" t="str">
        <f t="shared" si="137"/>
        <v>Green</v>
      </c>
      <c r="AA435" t="str">
        <f t="shared" si="138"/>
        <v>Red</v>
      </c>
      <c r="AB435" t="str">
        <f t="shared" si="139"/>
        <v>Red</v>
      </c>
      <c r="AC435" t="str">
        <f t="shared" si="140"/>
        <v>Green</v>
      </c>
      <c r="AD435" t="str">
        <f t="shared" si="141"/>
        <v>Red</v>
      </c>
    </row>
    <row r="436" spans="1:30" x14ac:dyDescent="0.25">
      <c r="A436" t="str">
        <f t="shared" si="122"/>
        <v xml:space="preserve">22/07/2026Portuguesa RJAmericano </v>
      </c>
      <c r="B436" t="s">
        <v>822</v>
      </c>
      <c r="C436" t="s">
        <v>847</v>
      </c>
      <c r="D436" s="2">
        <v>46226</v>
      </c>
      <c r="E436" s="3">
        <v>0</v>
      </c>
      <c r="F436" t="s">
        <v>1894</v>
      </c>
      <c r="G436" t="s">
        <v>1895</v>
      </c>
      <c r="H436">
        <v>1</v>
      </c>
      <c r="I436">
        <v>0</v>
      </c>
      <c r="J436">
        <v>1</v>
      </c>
      <c r="K436">
        <v>0</v>
      </c>
      <c r="L436" s="29" t="s">
        <v>19</v>
      </c>
      <c r="M436" s="23">
        <v>0.875</v>
      </c>
      <c r="N436" t="str">
        <f t="shared" si="125"/>
        <v>1 - 0</v>
      </c>
      <c r="O436" t="str">
        <f t="shared" si="126"/>
        <v>Green</v>
      </c>
      <c r="P436" t="str">
        <f t="shared" si="127"/>
        <v>Red</v>
      </c>
      <c r="Q436" t="str">
        <f t="shared" si="128"/>
        <v>Red</v>
      </c>
      <c r="R436" t="str">
        <f t="shared" si="129"/>
        <v>Green</v>
      </c>
      <c r="S436" t="str">
        <f t="shared" si="130"/>
        <v>Red</v>
      </c>
      <c r="T436" t="str">
        <f t="shared" si="131"/>
        <v>Green</v>
      </c>
      <c r="U436" t="str">
        <f t="shared" si="132"/>
        <v>Green</v>
      </c>
      <c r="V436" t="str">
        <f t="shared" si="133"/>
        <v>Red</v>
      </c>
      <c r="W436" t="str">
        <f t="shared" si="134"/>
        <v>Red</v>
      </c>
      <c r="X436" t="str">
        <f t="shared" si="135"/>
        <v>Green</v>
      </c>
      <c r="Y436" t="str">
        <f t="shared" si="136"/>
        <v>Red</v>
      </c>
      <c r="Z436" t="str">
        <f t="shared" si="137"/>
        <v>Red</v>
      </c>
      <c r="AA436" t="str">
        <f t="shared" si="138"/>
        <v>Green</v>
      </c>
      <c r="AB436" t="str">
        <f t="shared" si="139"/>
        <v>Green</v>
      </c>
      <c r="AC436" t="str">
        <f t="shared" si="140"/>
        <v>Red</v>
      </c>
      <c r="AD436" t="str">
        <f t="shared" si="141"/>
        <v>Green</v>
      </c>
    </row>
    <row r="437" spans="1:30" x14ac:dyDescent="0.25">
      <c r="A437" t="str">
        <f t="shared" si="122"/>
        <v>22/07/2026Manta FCLDU Quito</v>
      </c>
      <c r="D437" s="2">
        <v>46226</v>
      </c>
      <c r="E437" s="3">
        <v>0</v>
      </c>
      <c r="F437" t="s">
        <v>63</v>
      </c>
      <c r="G437" t="s">
        <v>64</v>
      </c>
      <c r="H437">
        <v>0</v>
      </c>
      <c r="I437">
        <v>1</v>
      </c>
      <c r="J437">
        <v>1</v>
      </c>
      <c r="K437">
        <v>1</v>
      </c>
      <c r="L437" s="29" t="s">
        <v>19</v>
      </c>
      <c r="M437" s="23">
        <v>0.875</v>
      </c>
      <c r="N437" t="str">
        <f t="shared" si="125"/>
        <v>1 - 1</v>
      </c>
      <c r="O437" t="str">
        <f t="shared" si="126"/>
        <v>Red</v>
      </c>
      <c r="P437" t="str">
        <f t="shared" si="127"/>
        <v>Green</v>
      </c>
      <c r="Q437" t="str">
        <f t="shared" si="128"/>
        <v>Red</v>
      </c>
      <c r="R437" t="str">
        <f t="shared" si="129"/>
        <v>Green</v>
      </c>
      <c r="S437" t="str">
        <f t="shared" si="130"/>
        <v>Green</v>
      </c>
      <c r="T437" t="str">
        <f t="shared" si="131"/>
        <v>Red</v>
      </c>
      <c r="U437" t="str">
        <f t="shared" si="132"/>
        <v>Red</v>
      </c>
      <c r="V437" t="str">
        <f t="shared" si="133"/>
        <v>Red</v>
      </c>
      <c r="W437" t="str">
        <f t="shared" si="134"/>
        <v>Green</v>
      </c>
      <c r="X437" t="str">
        <f t="shared" si="135"/>
        <v>Green</v>
      </c>
      <c r="Y437" t="str">
        <f t="shared" si="136"/>
        <v>Green</v>
      </c>
      <c r="Z437" t="str">
        <f t="shared" si="137"/>
        <v>Red</v>
      </c>
      <c r="AA437" t="str">
        <f t="shared" si="138"/>
        <v>Green</v>
      </c>
      <c r="AB437" t="str">
        <f t="shared" si="139"/>
        <v>Green</v>
      </c>
      <c r="AC437" t="str">
        <f t="shared" si="140"/>
        <v>Green</v>
      </c>
      <c r="AD437" t="str">
        <f t="shared" si="141"/>
        <v>Red</v>
      </c>
    </row>
    <row r="438" spans="1:30" x14ac:dyDescent="0.25">
      <c r="A438" t="str">
        <f t="shared" si="122"/>
        <v>22/07/2026Charlotte FCAtlanta United</v>
      </c>
      <c r="D438" s="2">
        <v>46226</v>
      </c>
      <c r="E438" s="3">
        <v>1.0416666666666666E-2</v>
      </c>
      <c r="F438" t="s">
        <v>65</v>
      </c>
      <c r="G438" t="s">
        <v>880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42">DAY(D438)-1&amp;"/"&amp;"07"&amp;"/"&amp;YEAR(D438)</f>
        <v>22/07/2026</v>
      </c>
      <c r="M438" s="31">
        <f t="shared" ref="M438:M457" si="143">E438-TIME(3,0,0)+TIME(12,0,0)+TIME(12,0,0)</f>
        <v>0.88541666666666674</v>
      </c>
      <c r="N438" t="str">
        <f t="shared" si="125"/>
        <v>2 - 2</v>
      </c>
      <c r="O438" t="str">
        <f t="shared" si="126"/>
        <v>Red</v>
      </c>
      <c r="P438" t="str">
        <f t="shared" si="127"/>
        <v>Green</v>
      </c>
      <c r="Q438" t="str">
        <f t="shared" si="128"/>
        <v>Red</v>
      </c>
      <c r="R438" t="str">
        <f t="shared" si="129"/>
        <v>Green</v>
      </c>
      <c r="S438" t="str">
        <f t="shared" si="130"/>
        <v>Green</v>
      </c>
      <c r="T438" t="str">
        <f t="shared" si="131"/>
        <v>Red</v>
      </c>
      <c r="U438" t="str">
        <f t="shared" si="132"/>
        <v>Green</v>
      </c>
      <c r="V438" t="str">
        <f t="shared" si="133"/>
        <v>Red</v>
      </c>
      <c r="W438" t="str">
        <f t="shared" si="134"/>
        <v>Red</v>
      </c>
      <c r="X438" t="str">
        <f t="shared" si="135"/>
        <v>Green</v>
      </c>
      <c r="Y438" t="str">
        <f t="shared" si="136"/>
        <v>Green</v>
      </c>
      <c r="Z438" t="str">
        <f t="shared" si="137"/>
        <v>Green</v>
      </c>
      <c r="AA438" t="str">
        <f t="shared" si="138"/>
        <v>Red</v>
      </c>
      <c r="AB438" t="str">
        <f t="shared" si="139"/>
        <v>Red</v>
      </c>
      <c r="AC438" t="str">
        <f t="shared" si="140"/>
        <v>Green</v>
      </c>
      <c r="AD438" t="str">
        <f t="shared" si="141"/>
        <v>Red</v>
      </c>
    </row>
    <row r="439" spans="1:30" x14ac:dyDescent="0.25">
      <c r="A439" t="str">
        <f t="shared" si="122"/>
        <v>22/07/2026LanusCienciano</v>
      </c>
      <c r="B439" t="s">
        <v>1339</v>
      </c>
      <c r="C439" t="s">
        <v>1340</v>
      </c>
      <c r="D439" s="2">
        <v>46226</v>
      </c>
      <c r="E439" s="3">
        <v>2.0833333333333332E-2</v>
      </c>
      <c r="F439" t="s">
        <v>1896</v>
      </c>
      <c r="G439" t="s">
        <v>752</v>
      </c>
      <c r="H439">
        <v>1</v>
      </c>
      <c r="I439">
        <v>0</v>
      </c>
      <c r="J439">
        <v>2</v>
      </c>
      <c r="K439">
        <v>0</v>
      </c>
      <c r="L439" s="30" t="str">
        <f t="shared" si="142"/>
        <v>22/07/2026</v>
      </c>
      <c r="M439" s="31">
        <f t="shared" si="143"/>
        <v>0.89583333333333326</v>
      </c>
      <c r="N439" t="str">
        <f t="shared" si="125"/>
        <v>2 - 0</v>
      </c>
      <c r="O439" t="str">
        <f t="shared" si="126"/>
        <v>Green</v>
      </c>
      <c r="P439" t="str">
        <f t="shared" si="127"/>
        <v>Red</v>
      </c>
      <c r="Q439" t="str">
        <f t="shared" si="128"/>
        <v>Red</v>
      </c>
      <c r="R439" t="str">
        <f t="shared" si="129"/>
        <v>Green</v>
      </c>
      <c r="S439" t="str">
        <f t="shared" si="130"/>
        <v>Red</v>
      </c>
      <c r="T439" t="str">
        <f t="shared" si="131"/>
        <v>Green</v>
      </c>
      <c r="U439" t="str">
        <f t="shared" si="132"/>
        <v>Green</v>
      </c>
      <c r="V439" t="str">
        <f t="shared" si="133"/>
        <v>Red</v>
      </c>
      <c r="W439" t="str">
        <f t="shared" si="134"/>
        <v>Red</v>
      </c>
      <c r="X439" t="str">
        <f t="shared" si="135"/>
        <v>Green</v>
      </c>
      <c r="Y439" t="str">
        <f t="shared" si="136"/>
        <v>Green</v>
      </c>
      <c r="Z439" t="str">
        <f t="shared" si="137"/>
        <v>Red</v>
      </c>
      <c r="AA439" t="str">
        <f t="shared" si="138"/>
        <v>Green</v>
      </c>
      <c r="AB439" t="str">
        <f t="shared" si="139"/>
        <v>Green</v>
      </c>
      <c r="AC439" t="str">
        <f t="shared" si="140"/>
        <v>Red</v>
      </c>
      <c r="AD439" t="str">
        <f t="shared" si="141"/>
        <v>Green</v>
      </c>
    </row>
    <row r="440" spans="1:30" x14ac:dyDescent="0.25">
      <c r="A440" t="str">
        <f t="shared" si="122"/>
        <v>22/07/2026Sporting CristalRed Bull Bragantino</v>
      </c>
      <c r="B440" t="s">
        <v>1339</v>
      </c>
      <c r="C440" t="s">
        <v>1340</v>
      </c>
      <c r="D440" s="2">
        <v>46226</v>
      </c>
      <c r="E440" s="3">
        <v>2.0833333333333332E-2</v>
      </c>
      <c r="F440" t="s">
        <v>809</v>
      </c>
      <c r="G440" t="s">
        <v>1897</v>
      </c>
      <c r="H440">
        <v>0</v>
      </c>
      <c r="I440">
        <v>0</v>
      </c>
      <c r="J440">
        <v>0</v>
      </c>
      <c r="K440">
        <v>0</v>
      </c>
      <c r="L440" s="30" t="str">
        <f t="shared" si="142"/>
        <v>22/07/2026</v>
      </c>
      <c r="M440" s="31">
        <f t="shared" si="143"/>
        <v>0.89583333333333326</v>
      </c>
      <c r="N440" t="str">
        <f t="shared" si="125"/>
        <v>0 - 0</v>
      </c>
      <c r="O440" t="str">
        <f t="shared" si="126"/>
        <v>Red</v>
      </c>
      <c r="P440" t="str">
        <f t="shared" si="127"/>
        <v>Green</v>
      </c>
      <c r="Q440" t="str">
        <f t="shared" si="128"/>
        <v>Red</v>
      </c>
      <c r="R440" t="str">
        <f t="shared" si="129"/>
        <v>Green</v>
      </c>
      <c r="S440" t="str">
        <f t="shared" si="130"/>
        <v>Green</v>
      </c>
      <c r="T440" t="str">
        <f t="shared" si="131"/>
        <v>Red</v>
      </c>
      <c r="U440" t="str">
        <f t="shared" si="132"/>
        <v>Red</v>
      </c>
      <c r="V440" t="str">
        <f t="shared" si="133"/>
        <v>Green</v>
      </c>
      <c r="W440" t="str">
        <f t="shared" si="134"/>
        <v>Red</v>
      </c>
      <c r="X440" t="str">
        <f t="shared" si="135"/>
        <v>Red</v>
      </c>
      <c r="Y440" t="str">
        <f t="shared" si="136"/>
        <v>Red</v>
      </c>
      <c r="Z440" t="str">
        <f t="shared" si="137"/>
        <v>Red</v>
      </c>
      <c r="AA440" t="str">
        <f t="shared" si="138"/>
        <v>Green</v>
      </c>
      <c r="AB440" t="str">
        <f t="shared" si="139"/>
        <v>Green</v>
      </c>
      <c r="AC440" t="str">
        <f t="shared" si="140"/>
        <v>Red</v>
      </c>
      <c r="AD440" t="str">
        <f t="shared" si="141"/>
        <v>Green</v>
      </c>
    </row>
    <row r="441" spans="1:30" x14ac:dyDescent="0.25">
      <c r="A441" t="str">
        <f t="shared" si="122"/>
        <v>22/07/2026ChapecoenseFlamengo RJ</v>
      </c>
      <c r="B441" t="s">
        <v>822</v>
      </c>
      <c r="C441" t="s">
        <v>823</v>
      </c>
      <c r="D441" s="2">
        <v>46226</v>
      </c>
      <c r="E441" s="3">
        <v>2.0833333333333332E-2</v>
      </c>
      <c r="F441" t="s">
        <v>67</v>
      </c>
      <c r="G441" t="s">
        <v>894</v>
      </c>
      <c r="H441">
        <v>0</v>
      </c>
      <c r="I441">
        <v>2</v>
      </c>
      <c r="J441">
        <v>0</v>
      </c>
      <c r="K441">
        <v>4</v>
      </c>
      <c r="L441" s="30" t="str">
        <f t="shared" si="142"/>
        <v>22/07/2026</v>
      </c>
      <c r="M441" s="31">
        <f t="shared" si="143"/>
        <v>0.89583333333333326</v>
      </c>
      <c r="N441" t="str">
        <f t="shared" si="125"/>
        <v>0 - 4</v>
      </c>
      <c r="O441" t="str">
        <f t="shared" si="126"/>
        <v>Red</v>
      </c>
      <c r="P441" t="str">
        <f t="shared" si="127"/>
        <v>Red</v>
      </c>
      <c r="Q441" t="str">
        <f t="shared" si="128"/>
        <v>Green</v>
      </c>
      <c r="R441" t="str">
        <f t="shared" si="129"/>
        <v>Red</v>
      </c>
      <c r="S441" t="str">
        <f t="shared" si="130"/>
        <v>Green</v>
      </c>
      <c r="T441" t="str">
        <f t="shared" si="131"/>
        <v>Green</v>
      </c>
      <c r="U441" t="str">
        <f t="shared" si="132"/>
        <v>Red</v>
      </c>
      <c r="V441" t="str">
        <f t="shared" si="133"/>
        <v>Red</v>
      </c>
      <c r="W441" t="str">
        <f t="shared" si="134"/>
        <v>Green</v>
      </c>
      <c r="X441" t="str">
        <f t="shared" si="135"/>
        <v>Green</v>
      </c>
      <c r="Y441" t="str">
        <f t="shared" si="136"/>
        <v>Green</v>
      </c>
      <c r="Z441" t="str">
        <f t="shared" si="137"/>
        <v>Green</v>
      </c>
      <c r="AA441" t="str">
        <f t="shared" si="138"/>
        <v>Red</v>
      </c>
      <c r="AB441" t="str">
        <f t="shared" si="139"/>
        <v>Red</v>
      </c>
      <c r="AC441" t="str">
        <f t="shared" si="140"/>
        <v>Red</v>
      </c>
      <c r="AD441" t="str">
        <f t="shared" si="141"/>
        <v>Green</v>
      </c>
    </row>
    <row r="442" spans="1:30" x14ac:dyDescent="0.25">
      <c r="A442" t="str">
        <f t="shared" si="122"/>
        <v>22/07/2026InternacionalCruzeiro</v>
      </c>
      <c r="B442" t="s">
        <v>822</v>
      </c>
      <c r="C442" t="s">
        <v>823</v>
      </c>
      <c r="D442" s="2">
        <v>46226</v>
      </c>
      <c r="E442" s="3">
        <v>2.0833333333333332E-2</v>
      </c>
      <c r="F442" t="s">
        <v>69</v>
      </c>
      <c r="G442" t="s">
        <v>70</v>
      </c>
      <c r="H442">
        <v>0</v>
      </c>
      <c r="I442">
        <v>1</v>
      </c>
      <c r="J442">
        <v>1</v>
      </c>
      <c r="K442">
        <v>2</v>
      </c>
      <c r="L442" s="30" t="str">
        <f t="shared" si="142"/>
        <v>22/07/2026</v>
      </c>
      <c r="M442" s="31">
        <f t="shared" si="143"/>
        <v>0.89583333333333326</v>
      </c>
      <c r="N442" t="str">
        <f t="shared" si="125"/>
        <v>1 - 2</v>
      </c>
      <c r="O442" t="str">
        <f t="shared" si="126"/>
        <v>Red</v>
      </c>
      <c r="P442" t="str">
        <f t="shared" si="127"/>
        <v>Red</v>
      </c>
      <c r="Q442" t="str">
        <f t="shared" si="128"/>
        <v>Green</v>
      </c>
      <c r="R442" t="str">
        <f t="shared" si="129"/>
        <v>Red</v>
      </c>
      <c r="S442" t="str">
        <f t="shared" si="130"/>
        <v>Green</v>
      </c>
      <c r="T442" t="str">
        <f t="shared" si="131"/>
        <v>Green</v>
      </c>
      <c r="U442" t="str">
        <f t="shared" si="132"/>
        <v>Red</v>
      </c>
      <c r="V442" t="str">
        <f t="shared" si="133"/>
        <v>Red</v>
      </c>
      <c r="W442" t="str">
        <f t="shared" si="134"/>
        <v>Green</v>
      </c>
      <c r="X442" t="str">
        <f t="shared" si="135"/>
        <v>Green</v>
      </c>
      <c r="Y442" t="str">
        <f t="shared" si="136"/>
        <v>Green</v>
      </c>
      <c r="Z442" t="str">
        <f t="shared" si="137"/>
        <v>Green</v>
      </c>
      <c r="AA442" t="str">
        <f t="shared" si="138"/>
        <v>Red</v>
      </c>
      <c r="AB442" t="str">
        <f t="shared" si="139"/>
        <v>Green</v>
      </c>
      <c r="AC442" t="str">
        <f t="shared" si="140"/>
        <v>Green</v>
      </c>
      <c r="AD442" t="str">
        <f t="shared" si="141"/>
        <v>Red</v>
      </c>
    </row>
    <row r="443" spans="1:30" x14ac:dyDescent="0.25">
      <c r="A443" t="str">
        <f t="shared" si="122"/>
        <v>22/07/2026Sao PauloAthletico Paranaense</v>
      </c>
      <c r="B443" t="s">
        <v>822</v>
      </c>
      <c r="C443" t="s">
        <v>823</v>
      </c>
      <c r="D443" s="2">
        <v>46226</v>
      </c>
      <c r="E443" s="3">
        <v>2.0833333333333332E-2</v>
      </c>
      <c r="F443" t="s">
        <v>895</v>
      </c>
      <c r="G443" t="s">
        <v>896</v>
      </c>
      <c r="H443">
        <v>1</v>
      </c>
      <c r="I443">
        <v>0</v>
      </c>
      <c r="J443">
        <v>1</v>
      </c>
      <c r="K443">
        <v>2</v>
      </c>
      <c r="L443" s="30" t="str">
        <f t="shared" si="142"/>
        <v>22/07/2026</v>
      </c>
      <c r="M443" s="31">
        <f t="shared" si="143"/>
        <v>0.89583333333333326</v>
      </c>
      <c r="N443" t="str">
        <f t="shared" si="125"/>
        <v>1 - 2</v>
      </c>
      <c r="O443" t="str">
        <f t="shared" si="126"/>
        <v>Red</v>
      </c>
      <c r="P443" t="str">
        <f t="shared" si="127"/>
        <v>Red</v>
      </c>
      <c r="Q443" t="str">
        <f t="shared" si="128"/>
        <v>Green</v>
      </c>
      <c r="R443" t="str">
        <f t="shared" si="129"/>
        <v>Red</v>
      </c>
      <c r="S443" t="str">
        <f t="shared" si="130"/>
        <v>Green</v>
      </c>
      <c r="T443" t="str">
        <f t="shared" si="131"/>
        <v>Green</v>
      </c>
      <c r="U443" t="str">
        <f t="shared" si="132"/>
        <v>Green</v>
      </c>
      <c r="V443" t="str">
        <f t="shared" si="133"/>
        <v>Red</v>
      </c>
      <c r="W443" t="str">
        <f t="shared" si="134"/>
        <v>Red</v>
      </c>
      <c r="X443" t="str">
        <f t="shared" si="135"/>
        <v>Green</v>
      </c>
      <c r="Y443" t="str">
        <f t="shared" si="136"/>
        <v>Green</v>
      </c>
      <c r="Z443" t="str">
        <f t="shared" si="137"/>
        <v>Green</v>
      </c>
      <c r="AA443" t="str">
        <f t="shared" si="138"/>
        <v>Red</v>
      </c>
      <c r="AB443" t="str">
        <f t="shared" si="139"/>
        <v>Green</v>
      </c>
      <c r="AC443" t="str">
        <f t="shared" si="140"/>
        <v>Green</v>
      </c>
      <c r="AD443" t="str">
        <f t="shared" si="141"/>
        <v>Red</v>
      </c>
    </row>
    <row r="444" spans="1:30" x14ac:dyDescent="0.25">
      <c r="A444" t="str">
        <f t="shared" si="122"/>
        <v>22/07/2026NauticoLondrina EC</v>
      </c>
      <c r="B444" t="s">
        <v>822</v>
      </c>
      <c r="C444" t="s">
        <v>835</v>
      </c>
      <c r="D444" s="2">
        <v>46226</v>
      </c>
      <c r="E444" s="3">
        <v>2.0833333333333332E-2</v>
      </c>
      <c r="F444" t="s">
        <v>73</v>
      </c>
      <c r="G444" t="s">
        <v>934</v>
      </c>
      <c r="H444">
        <v>1</v>
      </c>
      <c r="I444">
        <v>0</v>
      </c>
      <c r="J444">
        <v>2</v>
      </c>
      <c r="K444">
        <v>1</v>
      </c>
      <c r="L444" s="30" t="str">
        <f t="shared" si="142"/>
        <v>22/07/2026</v>
      </c>
      <c r="M444" s="31">
        <f t="shared" si="143"/>
        <v>0.89583333333333326</v>
      </c>
      <c r="N444" t="str">
        <f t="shared" si="125"/>
        <v>2 - 1</v>
      </c>
      <c r="O444" t="str">
        <f t="shared" si="126"/>
        <v>Green</v>
      </c>
      <c r="P444" t="str">
        <f t="shared" si="127"/>
        <v>Red</v>
      </c>
      <c r="Q444" t="str">
        <f t="shared" si="128"/>
        <v>Red</v>
      </c>
      <c r="R444" t="str">
        <f t="shared" si="129"/>
        <v>Green</v>
      </c>
      <c r="S444" t="str">
        <f t="shared" si="130"/>
        <v>Red</v>
      </c>
      <c r="T444" t="str">
        <f t="shared" si="131"/>
        <v>Green</v>
      </c>
      <c r="U444" t="str">
        <f t="shared" si="132"/>
        <v>Green</v>
      </c>
      <c r="V444" t="str">
        <f t="shared" si="133"/>
        <v>Red</v>
      </c>
      <c r="W444" t="str">
        <f t="shared" si="134"/>
        <v>Red</v>
      </c>
      <c r="X444" t="str">
        <f t="shared" si="135"/>
        <v>Green</v>
      </c>
      <c r="Y444" t="str">
        <f t="shared" si="136"/>
        <v>Green</v>
      </c>
      <c r="Z444" t="str">
        <f t="shared" si="137"/>
        <v>Green</v>
      </c>
      <c r="AA444" t="str">
        <f t="shared" si="138"/>
        <v>Red</v>
      </c>
      <c r="AB444" t="str">
        <f t="shared" si="139"/>
        <v>Green</v>
      </c>
      <c r="AC444" t="str">
        <f t="shared" si="140"/>
        <v>Green</v>
      </c>
      <c r="AD444" t="str">
        <f t="shared" si="141"/>
        <v>Red</v>
      </c>
    </row>
    <row r="445" spans="1:30" x14ac:dyDescent="0.25">
      <c r="A445" t="str">
        <f t="shared" si="122"/>
        <v>22/07/2026Junior FCBarranquilla</v>
      </c>
      <c r="D445" s="2">
        <v>46226</v>
      </c>
      <c r="E445" s="3">
        <v>2.0833333333333332E-2</v>
      </c>
      <c r="F445" t="s">
        <v>1898</v>
      </c>
      <c r="G445" t="s">
        <v>1899</v>
      </c>
      <c r="H445">
        <v>2</v>
      </c>
      <c r="I445">
        <v>0</v>
      </c>
      <c r="J445">
        <v>2</v>
      </c>
      <c r="K445">
        <v>2</v>
      </c>
      <c r="L445" s="30" t="str">
        <f t="shared" si="142"/>
        <v>22/07/2026</v>
      </c>
      <c r="M445" s="31">
        <f t="shared" si="143"/>
        <v>0.89583333333333326</v>
      </c>
      <c r="N445" t="str">
        <f t="shared" si="125"/>
        <v>2 - 2</v>
      </c>
      <c r="O445" t="str">
        <f t="shared" si="126"/>
        <v>Red</v>
      </c>
      <c r="P445" t="str">
        <f t="shared" si="127"/>
        <v>Green</v>
      </c>
      <c r="Q445" t="str">
        <f t="shared" si="128"/>
        <v>Red</v>
      </c>
      <c r="R445" t="str">
        <f t="shared" si="129"/>
        <v>Green</v>
      </c>
      <c r="S445" t="str">
        <f t="shared" si="130"/>
        <v>Green</v>
      </c>
      <c r="T445" t="str">
        <f t="shared" si="131"/>
        <v>Red</v>
      </c>
      <c r="U445" t="str">
        <f t="shared" si="132"/>
        <v>Green</v>
      </c>
      <c r="V445" t="str">
        <f t="shared" si="133"/>
        <v>Red</v>
      </c>
      <c r="W445" t="str">
        <f t="shared" si="134"/>
        <v>Red</v>
      </c>
      <c r="X445" t="str">
        <f t="shared" si="135"/>
        <v>Green</v>
      </c>
      <c r="Y445" t="str">
        <f t="shared" si="136"/>
        <v>Green</v>
      </c>
      <c r="Z445" t="str">
        <f t="shared" si="137"/>
        <v>Green</v>
      </c>
      <c r="AA445" t="str">
        <f t="shared" si="138"/>
        <v>Red</v>
      </c>
      <c r="AB445" t="str">
        <f t="shared" si="139"/>
        <v>Red</v>
      </c>
      <c r="AC445" t="str">
        <f t="shared" si="140"/>
        <v>Green</v>
      </c>
      <c r="AD445" t="str">
        <f t="shared" si="141"/>
        <v>Red</v>
      </c>
    </row>
    <row r="446" spans="1:30" x14ac:dyDescent="0.25">
      <c r="A446" t="str">
        <f t="shared" si="122"/>
        <v>22/07/2026Houston DynamoDC United</v>
      </c>
      <c r="D446" s="2">
        <v>46226</v>
      </c>
      <c r="E446" s="3">
        <v>2.0833333333333332E-2</v>
      </c>
      <c r="F446" t="s">
        <v>77</v>
      </c>
      <c r="G446" t="s">
        <v>78</v>
      </c>
      <c r="H446">
        <v>1</v>
      </c>
      <c r="I446">
        <v>0</v>
      </c>
      <c r="J446">
        <v>1</v>
      </c>
      <c r="K446">
        <v>1</v>
      </c>
      <c r="L446" s="30" t="str">
        <f t="shared" si="142"/>
        <v>22/07/2026</v>
      </c>
      <c r="M446" s="31">
        <f t="shared" si="143"/>
        <v>0.89583333333333326</v>
      </c>
      <c r="N446" t="str">
        <f t="shared" si="125"/>
        <v>1 - 1</v>
      </c>
      <c r="O446" t="str">
        <f t="shared" si="126"/>
        <v>Red</v>
      </c>
      <c r="P446" t="str">
        <f t="shared" si="127"/>
        <v>Green</v>
      </c>
      <c r="Q446" t="str">
        <f t="shared" si="128"/>
        <v>Red</v>
      </c>
      <c r="R446" t="str">
        <f t="shared" si="129"/>
        <v>Green</v>
      </c>
      <c r="S446" t="str">
        <f t="shared" si="130"/>
        <v>Green</v>
      </c>
      <c r="T446" t="str">
        <f t="shared" si="131"/>
        <v>Red</v>
      </c>
      <c r="U446" t="str">
        <f t="shared" si="132"/>
        <v>Green</v>
      </c>
      <c r="V446" t="str">
        <f t="shared" si="133"/>
        <v>Red</v>
      </c>
      <c r="W446" t="str">
        <f t="shared" si="134"/>
        <v>Red</v>
      </c>
      <c r="X446" t="str">
        <f t="shared" si="135"/>
        <v>Green</v>
      </c>
      <c r="Y446" t="str">
        <f t="shared" si="136"/>
        <v>Green</v>
      </c>
      <c r="Z446" t="str">
        <f t="shared" si="137"/>
        <v>Red</v>
      </c>
      <c r="AA446" t="str">
        <f t="shared" si="138"/>
        <v>Green</v>
      </c>
      <c r="AB446" t="str">
        <f t="shared" si="139"/>
        <v>Green</v>
      </c>
      <c r="AC446" t="str">
        <f t="shared" si="140"/>
        <v>Green</v>
      </c>
      <c r="AD446" t="str">
        <f t="shared" si="141"/>
        <v>Red</v>
      </c>
    </row>
    <row r="447" spans="1:30" x14ac:dyDescent="0.25">
      <c r="A447" t="str">
        <f t="shared" si="122"/>
        <v>22/07/2026Nashville FCMontreal Impact</v>
      </c>
      <c r="D447" s="2">
        <v>46226</v>
      </c>
      <c r="E447" s="3">
        <v>2.0833333333333332E-2</v>
      </c>
      <c r="F447" t="s">
        <v>881</v>
      </c>
      <c r="G447" t="s">
        <v>882</v>
      </c>
      <c r="H447">
        <v>0</v>
      </c>
      <c r="I447">
        <v>0</v>
      </c>
      <c r="J447">
        <v>1</v>
      </c>
      <c r="K447">
        <v>0</v>
      </c>
      <c r="L447" s="30" t="str">
        <f t="shared" si="142"/>
        <v>22/07/2026</v>
      </c>
      <c r="M447" s="31">
        <f t="shared" si="143"/>
        <v>0.89583333333333326</v>
      </c>
      <c r="N447" t="str">
        <f t="shared" si="125"/>
        <v>1 - 0</v>
      </c>
      <c r="O447" t="str">
        <f t="shared" si="126"/>
        <v>Green</v>
      </c>
      <c r="P447" t="str">
        <f t="shared" si="127"/>
        <v>Red</v>
      </c>
      <c r="Q447" t="str">
        <f t="shared" si="128"/>
        <v>Red</v>
      </c>
      <c r="R447" t="str">
        <f t="shared" si="129"/>
        <v>Green</v>
      </c>
      <c r="S447" t="str">
        <f t="shared" si="130"/>
        <v>Red</v>
      </c>
      <c r="T447" t="str">
        <f t="shared" si="131"/>
        <v>Green</v>
      </c>
      <c r="U447" t="str">
        <f t="shared" si="132"/>
        <v>Red</v>
      </c>
      <c r="V447" t="str">
        <f t="shared" si="133"/>
        <v>Green</v>
      </c>
      <c r="W447" t="str">
        <f t="shared" si="134"/>
        <v>Red</v>
      </c>
      <c r="X447" t="str">
        <f t="shared" si="135"/>
        <v>Red</v>
      </c>
      <c r="Y447" t="str">
        <f t="shared" si="136"/>
        <v>Red</v>
      </c>
      <c r="Z447" t="str">
        <f t="shared" si="137"/>
        <v>Red</v>
      </c>
      <c r="AA447" t="str">
        <f t="shared" si="138"/>
        <v>Green</v>
      </c>
      <c r="AB447" t="str">
        <f t="shared" si="139"/>
        <v>Green</v>
      </c>
      <c r="AC447" t="str">
        <f t="shared" si="140"/>
        <v>Red</v>
      </c>
      <c r="AD447" t="str">
        <f t="shared" si="141"/>
        <v>Green</v>
      </c>
    </row>
    <row r="448" spans="1:30" x14ac:dyDescent="0.25">
      <c r="A448" t="str">
        <f t="shared" si="122"/>
        <v>22/07/2026Sporting Kansas CityMinnesota United</v>
      </c>
      <c r="D448" s="2">
        <v>46226</v>
      </c>
      <c r="E448" s="3">
        <v>2.0833333333333332E-2</v>
      </c>
      <c r="F448" t="s">
        <v>81</v>
      </c>
      <c r="G448" t="s">
        <v>883</v>
      </c>
      <c r="H448">
        <v>1</v>
      </c>
      <c r="I448">
        <v>0</v>
      </c>
      <c r="J448">
        <v>2</v>
      </c>
      <c r="K448">
        <v>1</v>
      </c>
      <c r="L448" s="30" t="str">
        <f t="shared" si="142"/>
        <v>22/07/2026</v>
      </c>
      <c r="M448" s="31">
        <f t="shared" si="143"/>
        <v>0.89583333333333326</v>
      </c>
      <c r="N448" t="str">
        <f t="shared" si="125"/>
        <v>2 - 1</v>
      </c>
      <c r="O448" t="str">
        <f t="shared" si="126"/>
        <v>Green</v>
      </c>
      <c r="P448" t="str">
        <f t="shared" si="127"/>
        <v>Red</v>
      </c>
      <c r="Q448" t="str">
        <f t="shared" si="128"/>
        <v>Red</v>
      </c>
      <c r="R448" t="str">
        <f t="shared" si="129"/>
        <v>Green</v>
      </c>
      <c r="S448" t="str">
        <f t="shared" si="130"/>
        <v>Red</v>
      </c>
      <c r="T448" t="str">
        <f t="shared" si="131"/>
        <v>Green</v>
      </c>
      <c r="U448" t="str">
        <f t="shared" si="132"/>
        <v>Green</v>
      </c>
      <c r="V448" t="str">
        <f t="shared" si="133"/>
        <v>Red</v>
      </c>
      <c r="W448" t="str">
        <f t="shared" si="134"/>
        <v>Red</v>
      </c>
      <c r="X448" t="str">
        <f t="shared" si="135"/>
        <v>Green</v>
      </c>
      <c r="Y448" t="str">
        <f t="shared" si="136"/>
        <v>Green</v>
      </c>
      <c r="Z448" t="str">
        <f t="shared" si="137"/>
        <v>Green</v>
      </c>
      <c r="AA448" t="str">
        <f t="shared" si="138"/>
        <v>Red</v>
      </c>
      <c r="AB448" t="str">
        <f t="shared" si="139"/>
        <v>Green</v>
      </c>
      <c r="AC448" t="str">
        <f t="shared" si="140"/>
        <v>Green</v>
      </c>
      <c r="AD448" t="str">
        <f t="shared" si="141"/>
        <v>Red</v>
      </c>
    </row>
    <row r="449" spans="1:30" x14ac:dyDescent="0.25">
      <c r="A449" t="str">
        <f t="shared" si="122"/>
        <v>22/07/2026Colorado SwitchbacksMiami FC</v>
      </c>
      <c r="D449" s="2">
        <v>46226</v>
      </c>
      <c r="E449" s="3">
        <v>4.1666666666666664E-2</v>
      </c>
      <c r="F449" t="s">
        <v>1900</v>
      </c>
      <c r="G449" t="s">
        <v>84</v>
      </c>
      <c r="H449">
        <v>0</v>
      </c>
      <c r="I449">
        <v>0</v>
      </c>
      <c r="J449">
        <v>2</v>
      </c>
      <c r="K449">
        <v>0</v>
      </c>
      <c r="L449" s="30" t="str">
        <f t="shared" si="142"/>
        <v>22/07/2026</v>
      </c>
      <c r="M449" s="31">
        <f t="shared" si="143"/>
        <v>0.91666666666666663</v>
      </c>
      <c r="N449" t="str">
        <f t="shared" si="125"/>
        <v>2 - 0</v>
      </c>
      <c r="O449" t="str">
        <f t="shared" si="126"/>
        <v>Green</v>
      </c>
      <c r="P449" t="str">
        <f t="shared" si="127"/>
        <v>Red</v>
      </c>
      <c r="Q449" t="str">
        <f t="shared" si="128"/>
        <v>Red</v>
      </c>
      <c r="R449" t="str">
        <f t="shared" si="129"/>
        <v>Green</v>
      </c>
      <c r="S449" t="str">
        <f t="shared" si="130"/>
        <v>Red</v>
      </c>
      <c r="T449" t="str">
        <f t="shared" si="131"/>
        <v>Green</v>
      </c>
      <c r="U449" t="str">
        <f t="shared" si="132"/>
        <v>Red</v>
      </c>
      <c r="V449" t="str">
        <f t="shared" si="133"/>
        <v>Green</v>
      </c>
      <c r="W449" t="str">
        <f t="shared" si="134"/>
        <v>Red</v>
      </c>
      <c r="X449" t="str">
        <f t="shared" si="135"/>
        <v>Red</v>
      </c>
      <c r="Y449" t="str">
        <f t="shared" si="136"/>
        <v>Green</v>
      </c>
      <c r="Z449" t="str">
        <f t="shared" si="137"/>
        <v>Red</v>
      </c>
      <c r="AA449" t="str">
        <f t="shared" si="138"/>
        <v>Green</v>
      </c>
      <c r="AB449" t="str">
        <f t="shared" si="139"/>
        <v>Green</v>
      </c>
      <c r="AC449" t="str">
        <f t="shared" si="140"/>
        <v>Red</v>
      </c>
      <c r="AD449" t="str">
        <f t="shared" si="141"/>
        <v>Green</v>
      </c>
    </row>
    <row r="450" spans="1:30" x14ac:dyDescent="0.25">
      <c r="A450" t="str">
        <f t="shared" si="122"/>
        <v>22/07/2026Spokane Velocity FCCharlotte Independence</v>
      </c>
      <c r="D450" s="2">
        <v>46226</v>
      </c>
      <c r="E450" s="3">
        <v>4.1666666666666664E-2</v>
      </c>
      <c r="F450" t="s">
        <v>1901</v>
      </c>
      <c r="G450" t="s">
        <v>1902</v>
      </c>
      <c r="H450">
        <v>0</v>
      </c>
      <c r="I450">
        <v>0</v>
      </c>
      <c r="J450">
        <v>3</v>
      </c>
      <c r="K450">
        <v>0</v>
      </c>
      <c r="L450" s="30" t="str">
        <f t="shared" si="142"/>
        <v>22/07/2026</v>
      </c>
      <c r="M450" s="31">
        <f t="shared" si="143"/>
        <v>0.91666666666666663</v>
      </c>
      <c r="N450" t="str">
        <f t="shared" si="125"/>
        <v>3 - 0</v>
      </c>
      <c r="O450" t="str">
        <f t="shared" si="126"/>
        <v>Green</v>
      </c>
      <c r="P450" t="str">
        <f t="shared" si="127"/>
        <v>Red</v>
      </c>
      <c r="Q450" t="str">
        <f t="shared" si="128"/>
        <v>Red</v>
      </c>
      <c r="R450" t="str">
        <f t="shared" si="129"/>
        <v>Green</v>
      </c>
      <c r="S450" t="str">
        <f t="shared" si="130"/>
        <v>Red</v>
      </c>
      <c r="T450" t="str">
        <f t="shared" si="131"/>
        <v>Green</v>
      </c>
      <c r="U450" t="str">
        <f t="shared" si="132"/>
        <v>Red</v>
      </c>
      <c r="V450" t="str">
        <f t="shared" si="133"/>
        <v>Green</v>
      </c>
      <c r="W450" t="str">
        <f t="shared" si="134"/>
        <v>Red</v>
      </c>
      <c r="X450" t="str">
        <f t="shared" si="135"/>
        <v>Red</v>
      </c>
      <c r="Y450" t="str">
        <f t="shared" si="136"/>
        <v>Green</v>
      </c>
      <c r="Z450" t="str">
        <f t="shared" si="137"/>
        <v>Green</v>
      </c>
      <c r="AA450" t="str">
        <f t="shared" si="138"/>
        <v>Red</v>
      </c>
      <c r="AB450" t="str">
        <f t="shared" si="139"/>
        <v>Green</v>
      </c>
      <c r="AC450" t="str">
        <f t="shared" si="140"/>
        <v>Red</v>
      </c>
      <c r="AD450" t="str">
        <f t="shared" si="141"/>
        <v>Green</v>
      </c>
    </row>
    <row r="451" spans="1:30" x14ac:dyDescent="0.25">
      <c r="A451" t="str">
        <f t="shared" ref="A451:A514" si="144">L451&amp;F451&amp;G451</f>
        <v>22/07/2026Vancouver Whitecaps IIAustin FC II</v>
      </c>
      <c r="D451" s="2">
        <v>46226</v>
      </c>
      <c r="E451" s="3">
        <v>4.1666666666666664E-2</v>
      </c>
      <c r="F451" t="s">
        <v>85</v>
      </c>
      <c r="G451" t="s">
        <v>86</v>
      </c>
      <c r="H451">
        <v>0</v>
      </c>
      <c r="I451">
        <v>3</v>
      </c>
      <c r="J451">
        <v>0</v>
      </c>
      <c r="K451">
        <v>4</v>
      </c>
      <c r="L451" s="30" t="str">
        <f t="shared" si="142"/>
        <v>22/07/2026</v>
      </c>
      <c r="M451" s="31">
        <f t="shared" si="143"/>
        <v>0.91666666666666663</v>
      </c>
      <c r="N451" t="str">
        <f t="shared" ref="N451:N514" si="145">J451&amp;" - "&amp;K451</f>
        <v>0 - 4</v>
      </c>
      <c r="O451" t="str">
        <f t="shared" ref="O451:O514" si="146">IF($J451&gt;$K451,"Green","Red")</f>
        <v>Red</v>
      </c>
      <c r="P451" t="str">
        <f t="shared" ref="P451:P514" si="147">IF($J451=$K451,"Green","Red")</f>
        <v>Red</v>
      </c>
      <c r="Q451" t="str">
        <f t="shared" ref="Q451:Q514" si="148">IF($J451&lt;$K451,"Green","Red")</f>
        <v>Green</v>
      </c>
      <c r="R451" t="str">
        <f t="shared" ref="R451:R514" si="149">IF($J451&gt;=$K451,"Green","Red")</f>
        <v>Red</v>
      </c>
      <c r="S451" t="str">
        <f t="shared" ref="S451:S514" si="150">IF($J451&lt;=$K451,"Green","Red")</f>
        <v>Green</v>
      </c>
      <c r="T451" t="str">
        <f t="shared" ref="T451:T514" si="151">IF(OR($J451&gt;$K451,$J451&lt;$K451),"Green","Red")</f>
        <v>Green</v>
      </c>
      <c r="U451" t="str">
        <f t="shared" ref="U451:U514" si="152">IF($H451&gt;$I451,"Green","Red")</f>
        <v>Red</v>
      </c>
      <c r="V451" t="str">
        <f t="shared" ref="V451:V514" si="153">IF($H451=$I451,"Green","Red")</f>
        <v>Red</v>
      </c>
      <c r="W451" t="str">
        <f t="shared" ref="W451:W514" si="154">IF($H451&lt;$I451,"Green","Red")</f>
        <v>Green</v>
      </c>
      <c r="X451" t="str">
        <f t="shared" ref="X451:X514" si="155">IF($H451+$I451&gt;0,"Green","Red")</f>
        <v>Green</v>
      </c>
      <c r="Y451" t="str">
        <f t="shared" ref="Y451:Y514" si="156">IF($J451+$K451&gt;1.5,"Green","Red")</f>
        <v>Green</v>
      </c>
      <c r="Z451" t="str">
        <f t="shared" ref="Z451:Z514" si="157">IF($J451+$K451&gt;2.5,"Green","Red")</f>
        <v>Green</v>
      </c>
      <c r="AA451" t="str">
        <f t="shared" ref="AA451:AA514" si="158">IF($J451+$K451&lt;2.5,"Green","Red")</f>
        <v>Red</v>
      </c>
      <c r="AB451" t="str">
        <f t="shared" ref="AB451:AB514" si="159">IF($J451+$K451&lt;3.5,"Green","Red")</f>
        <v>Red</v>
      </c>
      <c r="AC451" t="str">
        <f t="shared" ref="AC451:AC514" si="160">IF(AND($J451&gt;0,$K451&gt;0),"Green","Red")</f>
        <v>Red</v>
      </c>
      <c r="AD451" t="str">
        <f t="shared" ref="AD451:AD514" si="161">IF(OR($J451=0,$K451=0),"Green","Red")</f>
        <v>Green</v>
      </c>
    </row>
    <row r="452" spans="1:30" x14ac:dyDescent="0.25">
      <c r="A452" t="str">
        <f t="shared" si="144"/>
        <v>22/07/2026Austin FCSeattle Sounders FC</v>
      </c>
      <c r="D452" s="2">
        <v>46226</v>
      </c>
      <c r="E452" s="3">
        <v>6.25E-2</v>
      </c>
      <c r="F452" t="s">
        <v>75</v>
      </c>
      <c r="G452" t="s">
        <v>76</v>
      </c>
      <c r="H452">
        <v>1</v>
      </c>
      <c r="I452">
        <v>1</v>
      </c>
      <c r="J452">
        <v>3</v>
      </c>
      <c r="K452">
        <v>1</v>
      </c>
      <c r="L452" s="30" t="str">
        <f t="shared" si="142"/>
        <v>22/07/2026</v>
      </c>
      <c r="M452" s="31">
        <f t="shared" si="143"/>
        <v>0.9375</v>
      </c>
      <c r="N452" t="str">
        <f t="shared" si="145"/>
        <v>3 - 1</v>
      </c>
      <c r="O452" t="str">
        <f t="shared" si="146"/>
        <v>Green</v>
      </c>
      <c r="P452" t="str">
        <f t="shared" si="147"/>
        <v>Red</v>
      </c>
      <c r="Q452" t="str">
        <f t="shared" si="148"/>
        <v>Red</v>
      </c>
      <c r="R452" t="str">
        <f t="shared" si="149"/>
        <v>Green</v>
      </c>
      <c r="S452" t="str">
        <f t="shared" si="150"/>
        <v>Red</v>
      </c>
      <c r="T452" t="str">
        <f t="shared" si="151"/>
        <v>Green</v>
      </c>
      <c r="U452" t="str">
        <f t="shared" si="152"/>
        <v>Red</v>
      </c>
      <c r="V452" t="str">
        <f t="shared" si="153"/>
        <v>Green</v>
      </c>
      <c r="W452" t="str">
        <f t="shared" si="154"/>
        <v>Red</v>
      </c>
      <c r="X452" t="str">
        <f t="shared" si="155"/>
        <v>Green</v>
      </c>
      <c r="Y452" t="str">
        <f t="shared" si="156"/>
        <v>Green</v>
      </c>
      <c r="Z452" t="str">
        <f t="shared" si="157"/>
        <v>Green</v>
      </c>
      <c r="AA452" t="str">
        <f t="shared" si="158"/>
        <v>Red</v>
      </c>
      <c r="AB452" t="str">
        <f t="shared" si="159"/>
        <v>Red</v>
      </c>
      <c r="AC452" t="str">
        <f t="shared" si="160"/>
        <v>Green</v>
      </c>
      <c r="AD452" t="str">
        <f t="shared" si="161"/>
        <v>Red</v>
      </c>
    </row>
    <row r="453" spans="1:30" x14ac:dyDescent="0.25">
      <c r="A453" t="str">
        <f t="shared" si="144"/>
        <v>22/07/2026Colorado RapidsSan Diego FC</v>
      </c>
      <c r="D453" s="2">
        <v>46226</v>
      </c>
      <c r="E453" s="3">
        <v>6.25E-2</v>
      </c>
      <c r="F453" t="s">
        <v>87</v>
      </c>
      <c r="G453" t="s">
        <v>88</v>
      </c>
      <c r="H453">
        <v>0</v>
      </c>
      <c r="I453">
        <v>0</v>
      </c>
      <c r="J453">
        <v>1</v>
      </c>
      <c r="K453">
        <v>0</v>
      </c>
      <c r="L453" s="30" t="str">
        <f t="shared" si="142"/>
        <v>22/07/2026</v>
      </c>
      <c r="M453" s="31">
        <f t="shared" si="143"/>
        <v>0.9375</v>
      </c>
      <c r="N453" t="str">
        <f t="shared" si="145"/>
        <v>1 - 0</v>
      </c>
      <c r="O453" t="str">
        <f t="shared" si="146"/>
        <v>Green</v>
      </c>
      <c r="P453" t="str">
        <f t="shared" si="147"/>
        <v>Red</v>
      </c>
      <c r="Q453" t="str">
        <f t="shared" si="148"/>
        <v>Red</v>
      </c>
      <c r="R453" t="str">
        <f t="shared" si="149"/>
        <v>Green</v>
      </c>
      <c r="S453" t="str">
        <f t="shared" si="150"/>
        <v>Red</v>
      </c>
      <c r="T453" t="str">
        <f t="shared" si="151"/>
        <v>Green</v>
      </c>
      <c r="U453" t="str">
        <f t="shared" si="152"/>
        <v>Red</v>
      </c>
      <c r="V453" t="str">
        <f t="shared" si="153"/>
        <v>Green</v>
      </c>
      <c r="W453" t="str">
        <f t="shared" si="154"/>
        <v>Red</v>
      </c>
      <c r="X453" t="str">
        <f t="shared" si="155"/>
        <v>Red</v>
      </c>
      <c r="Y453" t="str">
        <f t="shared" si="156"/>
        <v>Red</v>
      </c>
      <c r="Z453" t="str">
        <f t="shared" si="157"/>
        <v>Red</v>
      </c>
      <c r="AA453" t="str">
        <f t="shared" si="158"/>
        <v>Green</v>
      </c>
      <c r="AB453" t="str">
        <f t="shared" si="159"/>
        <v>Green</v>
      </c>
      <c r="AC453" t="str">
        <f t="shared" si="160"/>
        <v>Red</v>
      </c>
      <c r="AD453" t="str">
        <f t="shared" si="161"/>
        <v>Green</v>
      </c>
    </row>
    <row r="454" spans="1:30" x14ac:dyDescent="0.25">
      <c r="A454" t="str">
        <f t="shared" si="144"/>
        <v>22/07/2026LA GalaxySaint Louis City</v>
      </c>
      <c r="D454" s="2">
        <v>46226</v>
      </c>
      <c r="E454" s="3">
        <v>0.10416666666666667</v>
      </c>
      <c r="F454" t="s">
        <v>89</v>
      </c>
      <c r="G454" t="s">
        <v>884</v>
      </c>
      <c r="H454">
        <v>0</v>
      </c>
      <c r="I454">
        <v>2</v>
      </c>
      <c r="J454">
        <v>1</v>
      </c>
      <c r="K454">
        <v>3</v>
      </c>
      <c r="L454" s="30" t="str">
        <f t="shared" si="142"/>
        <v>22/07/2026</v>
      </c>
      <c r="M454" s="31">
        <f t="shared" si="143"/>
        <v>0.97916666666666674</v>
      </c>
      <c r="N454" t="str">
        <f t="shared" si="145"/>
        <v>1 - 3</v>
      </c>
      <c r="O454" t="str">
        <f t="shared" si="146"/>
        <v>Red</v>
      </c>
      <c r="P454" t="str">
        <f t="shared" si="147"/>
        <v>Red</v>
      </c>
      <c r="Q454" t="str">
        <f t="shared" si="148"/>
        <v>Green</v>
      </c>
      <c r="R454" t="str">
        <f t="shared" si="149"/>
        <v>Red</v>
      </c>
      <c r="S454" t="str">
        <f t="shared" si="150"/>
        <v>Green</v>
      </c>
      <c r="T454" t="str">
        <f t="shared" si="151"/>
        <v>Green</v>
      </c>
      <c r="U454" t="str">
        <f t="shared" si="152"/>
        <v>Red</v>
      </c>
      <c r="V454" t="str">
        <f t="shared" si="153"/>
        <v>Red</v>
      </c>
      <c r="W454" t="str">
        <f t="shared" si="154"/>
        <v>Green</v>
      </c>
      <c r="X454" t="str">
        <f t="shared" si="155"/>
        <v>Green</v>
      </c>
      <c r="Y454" t="str">
        <f t="shared" si="156"/>
        <v>Green</v>
      </c>
      <c r="Z454" t="str">
        <f t="shared" si="157"/>
        <v>Green</v>
      </c>
      <c r="AA454" t="str">
        <f t="shared" si="158"/>
        <v>Red</v>
      </c>
      <c r="AB454" t="str">
        <f t="shared" si="159"/>
        <v>Red</v>
      </c>
      <c r="AC454" t="str">
        <f t="shared" si="160"/>
        <v>Green</v>
      </c>
      <c r="AD454" t="str">
        <f t="shared" si="161"/>
        <v>Red</v>
      </c>
    </row>
    <row r="455" spans="1:30" x14ac:dyDescent="0.25">
      <c r="A455" t="str">
        <f t="shared" si="144"/>
        <v>22/07/2026Los Angeles FCReal Salt Lake</v>
      </c>
      <c r="D455" s="2">
        <v>46226</v>
      </c>
      <c r="E455" s="3">
        <v>0.10416666666666667</v>
      </c>
      <c r="F455" t="s">
        <v>91</v>
      </c>
      <c r="G455" t="s">
        <v>92</v>
      </c>
      <c r="H455">
        <v>2</v>
      </c>
      <c r="I455">
        <v>0</v>
      </c>
      <c r="J455">
        <v>3</v>
      </c>
      <c r="K455">
        <v>1</v>
      </c>
      <c r="L455" s="30" t="str">
        <f t="shared" si="142"/>
        <v>22/07/2026</v>
      </c>
      <c r="M455" s="31">
        <f t="shared" si="143"/>
        <v>0.97916666666666674</v>
      </c>
      <c r="N455" t="str">
        <f t="shared" si="145"/>
        <v>3 - 1</v>
      </c>
      <c r="O455" t="str">
        <f t="shared" si="146"/>
        <v>Green</v>
      </c>
      <c r="P455" t="str">
        <f t="shared" si="147"/>
        <v>Red</v>
      </c>
      <c r="Q455" t="str">
        <f t="shared" si="148"/>
        <v>Red</v>
      </c>
      <c r="R455" t="str">
        <f t="shared" si="149"/>
        <v>Green</v>
      </c>
      <c r="S455" t="str">
        <f t="shared" si="150"/>
        <v>Red</v>
      </c>
      <c r="T455" t="str">
        <f t="shared" si="151"/>
        <v>Green</v>
      </c>
      <c r="U455" t="str">
        <f t="shared" si="152"/>
        <v>Green</v>
      </c>
      <c r="V455" t="str">
        <f t="shared" si="153"/>
        <v>Red</v>
      </c>
      <c r="W455" t="str">
        <f t="shared" si="154"/>
        <v>Red</v>
      </c>
      <c r="X455" t="str">
        <f t="shared" si="155"/>
        <v>Green</v>
      </c>
      <c r="Y455" t="str">
        <f t="shared" si="156"/>
        <v>Green</v>
      </c>
      <c r="Z455" t="str">
        <f t="shared" si="157"/>
        <v>Green</v>
      </c>
      <c r="AA455" t="str">
        <f t="shared" si="158"/>
        <v>Red</v>
      </c>
      <c r="AB455" t="str">
        <f t="shared" si="159"/>
        <v>Red</v>
      </c>
      <c r="AC455" t="str">
        <f t="shared" si="160"/>
        <v>Green</v>
      </c>
      <c r="AD455" t="str">
        <f t="shared" si="161"/>
        <v>Red</v>
      </c>
    </row>
    <row r="456" spans="1:30" x14ac:dyDescent="0.25">
      <c r="A456" t="str">
        <f t="shared" si="144"/>
        <v>22/07/2026Portland TimbersDallas</v>
      </c>
      <c r="D456" s="2">
        <v>46226</v>
      </c>
      <c r="E456" s="3">
        <v>0.10416666666666667</v>
      </c>
      <c r="F456" t="s">
        <v>93</v>
      </c>
      <c r="G456" t="s">
        <v>885</v>
      </c>
      <c r="H456">
        <v>0</v>
      </c>
      <c r="I456">
        <v>1</v>
      </c>
      <c r="J456">
        <v>2</v>
      </c>
      <c r="K456">
        <v>2</v>
      </c>
      <c r="L456" s="30" t="str">
        <f t="shared" si="142"/>
        <v>22/07/2026</v>
      </c>
      <c r="M456" s="31">
        <f t="shared" si="143"/>
        <v>0.97916666666666674</v>
      </c>
      <c r="N456" t="str">
        <f t="shared" si="145"/>
        <v>2 - 2</v>
      </c>
      <c r="O456" t="str">
        <f t="shared" si="146"/>
        <v>Red</v>
      </c>
      <c r="P456" t="str">
        <f t="shared" si="147"/>
        <v>Green</v>
      </c>
      <c r="Q456" t="str">
        <f t="shared" si="148"/>
        <v>Red</v>
      </c>
      <c r="R456" t="str">
        <f t="shared" si="149"/>
        <v>Green</v>
      </c>
      <c r="S456" t="str">
        <f t="shared" si="150"/>
        <v>Green</v>
      </c>
      <c r="T456" t="str">
        <f t="shared" si="151"/>
        <v>Red</v>
      </c>
      <c r="U456" t="str">
        <f t="shared" si="152"/>
        <v>Red</v>
      </c>
      <c r="V456" t="str">
        <f t="shared" si="153"/>
        <v>Red</v>
      </c>
      <c r="W456" t="str">
        <f t="shared" si="154"/>
        <v>Green</v>
      </c>
      <c r="X456" t="str">
        <f t="shared" si="155"/>
        <v>Green</v>
      </c>
      <c r="Y456" t="str">
        <f t="shared" si="156"/>
        <v>Green</v>
      </c>
      <c r="Z456" t="str">
        <f t="shared" si="157"/>
        <v>Green</v>
      </c>
      <c r="AA456" t="str">
        <f t="shared" si="158"/>
        <v>Red</v>
      </c>
      <c r="AB456" t="str">
        <f t="shared" si="159"/>
        <v>Red</v>
      </c>
      <c r="AC456" t="str">
        <f t="shared" si="160"/>
        <v>Green</v>
      </c>
      <c r="AD456" t="str">
        <f t="shared" si="161"/>
        <v>Red</v>
      </c>
    </row>
    <row r="457" spans="1:30" x14ac:dyDescent="0.25">
      <c r="A457" t="str">
        <f t="shared" si="144"/>
        <v>22/07/2026San Jose EarthquakesOrlando City</v>
      </c>
      <c r="D457" s="2">
        <v>46226</v>
      </c>
      <c r="E457" s="3">
        <v>0.10416666666666667</v>
      </c>
      <c r="F457" t="s">
        <v>95</v>
      </c>
      <c r="G457" t="s">
        <v>886</v>
      </c>
      <c r="H457">
        <v>0</v>
      </c>
      <c r="I457">
        <v>2</v>
      </c>
      <c r="J457">
        <v>0</v>
      </c>
      <c r="K457">
        <v>4</v>
      </c>
      <c r="L457" s="30" t="str">
        <f t="shared" si="142"/>
        <v>22/07/2026</v>
      </c>
      <c r="M457" s="31">
        <f t="shared" si="143"/>
        <v>0.97916666666666674</v>
      </c>
      <c r="N457" t="str">
        <f t="shared" si="145"/>
        <v>0 - 4</v>
      </c>
      <c r="O457" t="str">
        <f t="shared" si="146"/>
        <v>Red</v>
      </c>
      <c r="P457" t="str">
        <f t="shared" si="147"/>
        <v>Red</v>
      </c>
      <c r="Q457" t="str">
        <f t="shared" si="148"/>
        <v>Green</v>
      </c>
      <c r="R457" t="str">
        <f t="shared" si="149"/>
        <v>Red</v>
      </c>
      <c r="S457" t="str">
        <f t="shared" si="150"/>
        <v>Green</v>
      </c>
      <c r="T457" t="str">
        <f t="shared" si="151"/>
        <v>Green</v>
      </c>
      <c r="U457" t="str">
        <f t="shared" si="152"/>
        <v>Red</v>
      </c>
      <c r="V457" t="str">
        <f t="shared" si="153"/>
        <v>Red</v>
      </c>
      <c r="W457" t="str">
        <f t="shared" si="154"/>
        <v>Green</v>
      </c>
      <c r="X457" t="str">
        <f t="shared" si="155"/>
        <v>Green</v>
      </c>
      <c r="Y457" t="str">
        <f t="shared" si="156"/>
        <v>Green</v>
      </c>
      <c r="Z457" t="str">
        <f t="shared" si="157"/>
        <v>Green</v>
      </c>
      <c r="AA457" t="str">
        <f t="shared" si="158"/>
        <v>Red</v>
      </c>
      <c r="AB457" t="str">
        <f t="shared" si="159"/>
        <v>Red</v>
      </c>
      <c r="AC457" t="str">
        <f t="shared" si="160"/>
        <v>Red</v>
      </c>
      <c r="AD457" t="str">
        <f t="shared" si="161"/>
        <v>Green</v>
      </c>
    </row>
    <row r="458" spans="1:30" x14ac:dyDescent="0.25">
      <c r="A458" t="str">
        <f t="shared" si="144"/>
        <v>23/07/2026FC LieferingEintracht Braunschweig</v>
      </c>
      <c r="D458" s="2">
        <v>46226</v>
      </c>
      <c r="E458" s="3">
        <v>0.35416666666666669</v>
      </c>
      <c r="F458" t="s">
        <v>2096</v>
      </c>
      <c r="G458" t="s">
        <v>2097</v>
      </c>
      <c r="L458" s="22" t="str">
        <f t="shared" ref="L451:L514" si="162">DAY(D458)&amp;"/"&amp;"07"&amp;"/"&amp;YEAR(D458)</f>
        <v>23/07/2026</v>
      </c>
      <c r="M458" s="23">
        <f t="shared" ref="M451:M514" si="163">E458-TIME(3,0,0)</f>
        <v>0.22916666666666669</v>
      </c>
      <c r="N458" t="str">
        <f t="shared" si="145"/>
        <v xml:space="preserve"> - </v>
      </c>
      <c r="O458" t="str">
        <f t="shared" si="146"/>
        <v>Red</v>
      </c>
      <c r="P458" t="str">
        <f t="shared" si="147"/>
        <v>Green</v>
      </c>
      <c r="Q458" t="str">
        <f t="shared" si="148"/>
        <v>Red</v>
      </c>
      <c r="R458" t="str">
        <f t="shared" si="149"/>
        <v>Green</v>
      </c>
      <c r="S458" t="str">
        <f t="shared" si="150"/>
        <v>Green</v>
      </c>
      <c r="T458" t="str">
        <f t="shared" si="151"/>
        <v>Red</v>
      </c>
      <c r="U458" t="str">
        <f t="shared" si="152"/>
        <v>Red</v>
      </c>
      <c r="V458" t="str">
        <f t="shared" si="153"/>
        <v>Green</v>
      </c>
      <c r="W458" t="str">
        <f t="shared" si="154"/>
        <v>Red</v>
      </c>
      <c r="X458" t="str">
        <f t="shared" si="155"/>
        <v>Red</v>
      </c>
      <c r="Y458" t="str">
        <f t="shared" si="156"/>
        <v>Red</v>
      </c>
      <c r="Z458" t="str">
        <f t="shared" si="157"/>
        <v>Red</v>
      </c>
      <c r="AA458" t="str">
        <f t="shared" si="158"/>
        <v>Green</v>
      </c>
      <c r="AB458" t="str">
        <f t="shared" si="159"/>
        <v>Green</v>
      </c>
      <c r="AC458" t="str">
        <f t="shared" si="160"/>
        <v>Red</v>
      </c>
      <c r="AD458" t="str">
        <f t="shared" si="161"/>
        <v>Green</v>
      </c>
    </row>
    <row r="459" spans="1:30" x14ac:dyDescent="0.25">
      <c r="A459" t="str">
        <f t="shared" si="144"/>
        <v>23/07/2026Hellenic AthleticPalmerston Rovers</v>
      </c>
      <c r="D459" s="2">
        <v>46226</v>
      </c>
      <c r="E459" s="3">
        <v>0.375</v>
      </c>
      <c r="F459" t="s">
        <v>1995</v>
      </c>
      <c r="G459" t="s">
        <v>1996</v>
      </c>
      <c r="H459">
        <v>1</v>
      </c>
      <c r="I459">
        <v>0</v>
      </c>
      <c r="J459">
        <v>2</v>
      </c>
      <c r="K459">
        <v>1</v>
      </c>
      <c r="L459" s="22" t="str">
        <f t="shared" si="162"/>
        <v>23/07/2026</v>
      </c>
      <c r="M459" s="23">
        <f t="shared" si="163"/>
        <v>0.25</v>
      </c>
      <c r="N459" t="str">
        <f t="shared" si="145"/>
        <v>2 - 1</v>
      </c>
      <c r="O459" t="str">
        <f t="shared" si="146"/>
        <v>Green</v>
      </c>
      <c r="P459" t="str">
        <f t="shared" si="147"/>
        <v>Red</v>
      </c>
      <c r="Q459" t="str">
        <f t="shared" si="148"/>
        <v>Red</v>
      </c>
      <c r="R459" t="str">
        <f t="shared" si="149"/>
        <v>Green</v>
      </c>
      <c r="S459" t="str">
        <f t="shared" si="150"/>
        <v>Red</v>
      </c>
      <c r="T459" t="str">
        <f t="shared" si="151"/>
        <v>Green</v>
      </c>
      <c r="U459" t="str">
        <f t="shared" si="152"/>
        <v>Green</v>
      </c>
      <c r="V459" t="str">
        <f t="shared" si="153"/>
        <v>Red</v>
      </c>
      <c r="W459" t="str">
        <f t="shared" si="154"/>
        <v>Red</v>
      </c>
      <c r="X459" t="str">
        <f t="shared" si="155"/>
        <v>Green</v>
      </c>
      <c r="Y459" t="str">
        <f t="shared" si="156"/>
        <v>Green</v>
      </c>
      <c r="Z459" t="str">
        <f t="shared" si="157"/>
        <v>Green</v>
      </c>
      <c r="AA459" t="str">
        <f t="shared" si="158"/>
        <v>Red</v>
      </c>
      <c r="AB459" t="str">
        <f t="shared" si="159"/>
        <v>Green</v>
      </c>
      <c r="AC459" t="str">
        <f t="shared" si="160"/>
        <v>Green</v>
      </c>
      <c r="AD459" t="str">
        <f t="shared" si="161"/>
        <v>Red</v>
      </c>
    </row>
    <row r="460" spans="1:30" x14ac:dyDescent="0.25">
      <c r="A460" t="str">
        <f t="shared" si="144"/>
        <v>23/07/2026Garuda DarwinDarwin Hearts</v>
      </c>
      <c r="D460" s="2">
        <v>46226</v>
      </c>
      <c r="E460" s="3">
        <v>0.45833333333333331</v>
      </c>
      <c r="F460" t="s">
        <v>1997</v>
      </c>
      <c r="G460" t="s">
        <v>1998</v>
      </c>
      <c r="H460">
        <v>0</v>
      </c>
      <c r="I460">
        <v>1</v>
      </c>
      <c r="J460">
        <v>2</v>
      </c>
      <c r="K460">
        <v>3</v>
      </c>
      <c r="L460" s="22" t="str">
        <f t="shared" si="162"/>
        <v>23/07/2026</v>
      </c>
      <c r="M460" s="23">
        <f t="shared" si="163"/>
        <v>0.33333333333333331</v>
      </c>
      <c r="N460" t="str">
        <f t="shared" si="145"/>
        <v>2 - 3</v>
      </c>
      <c r="O460" t="str">
        <f t="shared" si="146"/>
        <v>Red</v>
      </c>
      <c r="P460" t="str">
        <f t="shared" si="147"/>
        <v>Red</v>
      </c>
      <c r="Q460" t="str">
        <f t="shared" si="148"/>
        <v>Green</v>
      </c>
      <c r="R460" t="str">
        <f t="shared" si="149"/>
        <v>Red</v>
      </c>
      <c r="S460" t="str">
        <f t="shared" si="150"/>
        <v>Green</v>
      </c>
      <c r="T460" t="str">
        <f t="shared" si="151"/>
        <v>Green</v>
      </c>
      <c r="U460" t="str">
        <f t="shared" si="152"/>
        <v>Red</v>
      </c>
      <c r="V460" t="str">
        <f t="shared" si="153"/>
        <v>Red</v>
      </c>
      <c r="W460" t="str">
        <f t="shared" si="154"/>
        <v>Green</v>
      </c>
      <c r="X460" t="str">
        <f t="shared" si="155"/>
        <v>Green</v>
      </c>
      <c r="Y460" t="str">
        <f t="shared" si="156"/>
        <v>Green</v>
      </c>
      <c r="Z460" t="str">
        <f t="shared" si="157"/>
        <v>Green</v>
      </c>
      <c r="AA460" t="str">
        <f t="shared" si="158"/>
        <v>Red</v>
      </c>
      <c r="AB460" t="str">
        <f t="shared" si="159"/>
        <v>Red</v>
      </c>
      <c r="AC460" t="str">
        <f t="shared" si="160"/>
        <v>Green</v>
      </c>
      <c r="AD460" t="str">
        <f t="shared" si="161"/>
        <v>Red</v>
      </c>
    </row>
    <row r="461" spans="1:30" x14ac:dyDescent="0.25">
      <c r="A461" t="str">
        <f t="shared" si="144"/>
        <v>23/07/2026Akademiya OntustikAstana U21</v>
      </c>
      <c r="D461" s="2">
        <v>46226</v>
      </c>
      <c r="E461" s="3">
        <v>0.5</v>
      </c>
      <c r="F461" t="s">
        <v>2080</v>
      </c>
      <c r="G461" t="s">
        <v>2081</v>
      </c>
      <c r="H461">
        <v>0</v>
      </c>
      <c r="I461">
        <v>1</v>
      </c>
      <c r="J461">
        <v>2</v>
      </c>
      <c r="K461">
        <v>1</v>
      </c>
      <c r="L461" s="22" t="str">
        <f t="shared" si="162"/>
        <v>23/07/2026</v>
      </c>
      <c r="M461" s="23">
        <f t="shared" si="163"/>
        <v>0.375</v>
      </c>
      <c r="N461" t="str">
        <f t="shared" si="145"/>
        <v>2 - 1</v>
      </c>
      <c r="O461" t="str">
        <f t="shared" si="146"/>
        <v>Green</v>
      </c>
      <c r="P461" t="str">
        <f t="shared" si="147"/>
        <v>Red</v>
      </c>
      <c r="Q461" t="str">
        <f t="shared" si="148"/>
        <v>Red</v>
      </c>
      <c r="R461" t="str">
        <f t="shared" si="149"/>
        <v>Green</v>
      </c>
      <c r="S461" t="str">
        <f t="shared" si="150"/>
        <v>Red</v>
      </c>
      <c r="T461" t="str">
        <f t="shared" si="151"/>
        <v>Green</v>
      </c>
      <c r="U461" t="str">
        <f t="shared" si="152"/>
        <v>Red</v>
      </c>
      <c r="V461" t="str">
        <f t="shared" si="153"/>
        <v>Red</v>
      </c>
      <c r="W461" t="str">
        <f t="shared" si="154"/>
        <v>Green</v>
      </c>
      <c r="X461" t="str">
        <f t="shared" si="155"/>
        <v>Green</v>
      </c>
      <c r="Y461" t="str">
        <f t="shared" si="156"/>
        <v>Green</v>
      </c>
      <c r="Z461" t="str">
        <f t="shared" si="157"/>
        <v>Green</v>
      </c>
      <c r="AA461" t="str">
        <f t="shared" si="158"/>
        <v>Red</v>
      </c>
      <c r="AB461" t="str">
        <f t="shared" si="159"/>
        <v>Green</v>
      </c>
      <c r="AC461" t="str">
        <f t="shared" si="160"/>
        <v>Green</v>
      </c>
      <c r="AD461" t="str">
        <f t="shared" si="161"/>
        <v>Red</v>
      </c>
    </row>
    <row r="462" spans="1:30" x14ac:dyDescent="0.25">
      <c r="A462" t="str">
        <f t="shared" si="144"/>
        <v>23/07/2026Zlatibor CajetinaFK Grbalj</v>
      </c>
      <c r="D462" s="2">
        <v>46226</v>
      </c>
      <c r="E462" s="3">
        <v>0.5</v>
      </c>
      <c r="F462" t="s">
        <v>1447</v>
      </c>
      <c r="G462" t="s">
        <v>2098</v>
      </c>
      <c r="H462">
        <v>0</v>
      </c>
      <c r="I462">
        <v>1</v>
      </c>
      <c r="J462">
        <v>0</v>
      </c>
      <c r="K462">
        <v>1</v>
      </c>
      <c r="L462" s="22" t="str">
        <f t="shared" si="162"/>
        <v>23/07/2026</v>
      </c>
      <c r="M462" s="23">
        <f t="shared" si="163"/>
        <v>0.375</v>
      </c>
      <c r="N462" t="str">
        <f t="shared" si="145"/>
        <v>0 - 1</v>
      </c>
      <c r="O462" t="str">
        <f t="shared" si="146"/>
        <v>Red</v>
      </c>
      <c r="P462" t="str">
        <f t="shared" si="147"/>
        <v>Red</v>
      </c>
      <c r="Q462" t="str">
        <f t="shared" si="148"/>
        <v>Green</v>
      </c>
      <c r="R462" t="str">
        <f t="shared" si="149"/>
        <v>Red</v>
      </c>
      <c r="S462" t="str">
        <f t="shared" si="150"/>
        <v>Green</v>
      </c>
      <c r="T462" t="str">
        <f t="shared" si="151"/>
        <v>Green</v>
      </c>
      <c r="U462" t="str">
        <f t="shared" si="152"/>
        <v>Red</v>
      </c>
      <c r="V462" t="str">
        <f t="shared" si="153"/>
        <v>Red</v>
      </c>
      <c r="W462" t="str">
        <f t="shared" si="154"/>
        <v>Green</v>
      </c>
      <c r="X462" t="str">
        <f t="shared" si="155"/>
        <v>Green</v>
      </c>
      <c r="Y462" t="str">
        <f t="shared" si="156"/>
        <v>Red</v>
      </c>
      <c r="Z462" t="str">
        <f t="shared" si="157"/>
        <v>Red</v>
      </c>
      <c r="AA462" t="str">
        <f t="shared" si="158"/>
        <v>Green</v>
      </c>
      <c r="AB462" t="str">
        <f t="shared" si="159"/>
        <v>Green</v>
      </c>
      <c r="AC462" t="str">
        <f t="shared" si="160"/>
        <v>Red</v>
      </c>
      <c r="AD462" t="str">
        <f t="shared" si="161"/>
        <v>Green</v>
      </c>
    </row>
    <row r="463" spans="1:30" x14ac:dyDescent="0.25">
      <c r="A463" t="str">
        <f t="shared" si="144"/>
        <v>23/07/2026TromsoViktoria Plzen</v>
      </c>
      <c r="B463" t="s">
        <v>820</v>
      </c>
      <c r="C463" t="s">
        <v>1907</v>
      </c>
      <c r="D463" s="2">
        <v>46226</v>
      </c>
      <c r="E463" s="3">
        <v>0.54166666666666663</v>
      </c>
      <c r="F463" t="s">
        <v>1908</v>
      </c>
      <c r="G463" t="s">
        <v>1909</v>
      </c>
      <c r="L463" s="22" t="str">
        <f t="shared" si="162"/>
        <v>23/07/2026</v>
      </c>
      <c r="M463" s="23">
        <f t="shared" si="163"/>
        <v>0.41666666666666663</v>
      </c>
      <c r="N463" t="str">
        <f t="shared" si="145"/>
        <v xml:space="preserve"> - </v>
      </c>
      <c r="O463" t="str">
        <f t="shared" si="146"/>
        <v>Red</v>
      </c>
      <c r="P463" t="str">
        <f t="shared" si="147"/>
        <v>Green</v>
      </c>
      <c r="Q463" t="str">
        <f t="shared" si="148"/>
        <v>Red</v>
      </c>
      <c r="R463" t="str">
        <f t="shared" si="149"/>
        <v>Green</v>
      </c>
      <c r="S463" t="str">
        <f t="shared" si="150"/>
        <v>Green</v>
      </c>
      <c r="T463" t="str">
        <f t="shared" si="151"/>
        <v>Red</v>
      </c>
      <c r="U463" t="str">
        <f t="shared" si="152"/>
        <v>Red</v>
      </c>
      <c r="V463" t="str">
        <f t="shared" si="153"/>
        <v>Green</v>
      </c>
      <c r="W463" t="str">
        <f t="shared" si="154"/>
        <v>Red</v>
      </c>
      <c r="X463" t="str">
        <f t="shared" si="155"/>
        <v>Red</v>
      </c>
      <c r="Y463" t="str">
        <f t="shared" si="156"/>
        <v>Red</v>
      </c>
      <c r="Z463" t="str">
        <f t="shared" si="157"/>
        <v>Red</v>
      </c>
      <c r="AA463" t="str">
        <f t="shared" si="158"/>
        <v>Green</v>
      </c>
      <c r="AB463" t="str">
        <f t="shared" si="159"/>
        <v>Green</v>
      </c>
      <c r="AC463" t="str">
        <f t="shared" si="160"/>
        <v>Red</v>
      </c>
      <c r="AD463" t="str">
        <f t="shared" si="161"/>
        <v>Green</v>
      </c>
    </row>
    <row r="464" spans="1:30" x14ac:dyDescent="0.25">
      <c r="A464" t="str">
        <f t="shared" si="144"/>
        <v>23/07/2026Kuopio PSRiga FC</v>
      </c>
      <c r="B464" t="s">
        <v>820</v>
      </c>
      <c r="C464" t="s">
        <v>1344</v>
      </c>
      <c r="D464" s="2">
        <v>46226</v>
      </c>
      <c r="E464" s="3">
        <v>0.54166666666666663</v>
      </c>
      <c r="F464" t="s">
        <v>359</v>
      </c>
      <c r="G464" t="s">
        <v>1009</v>
      </c>
      <c r="L464" s="22" t="str">
        <f t="shared" si="162"/>
        <v>23/07/2026</v>
      </c>
      <c r="M464" s="23">
        <f t="shared" si="163"/>
        <v>0.41666666666666663</v>
      </c>
      <c r="N464" t="str">
        <f t="shared" si="145"/>
        <v xml:space="preserve"> - </v>
      </c>
      <c r="O464" t="str">
        <f t="shared" si="146"/>
        <v>Red</v>
      </c>
      <c r="P464" t="str">
        <f t="shared" si="147"/>
        <v>Green</v>
      </c>
      <c r="Q464" t="str">
        <f t="shared" si="148"/>
        <v>Red</v>
      </c>
      <c r="R464" t="str">
        <f t="shared" si="149"/>
        <v>Green</v>
      </c>
      <c r="S464" t="str">
        <f t="shared" si="150"/>
        <v>Green</v>
      </c>
      <c r="T464" t="str">
        <f t="shared" si="151"/>
        <v>Red</v>
      </c>
      <c r="U464" t="str">
        <f t="shared" si="152"/>
        <v>Red</v>
      </c>
      <c r="V464" t="str">
        <f t="shared" si="153"/>
        <v>Green</v>
      </c>
      <c r="W464" t="str">
        <f t="shared" si="154"/>
        <v>Red</v>
      </c>
      <c r="X464" t="str">
        <f t="shared" si="155"/>
        <v>Red</v>
      </c>
      <c r="Y464" t="str">
        <f t="shared" si="156"/>
        <v>Red</v>
      </c>
      <c r="Z464" t="str">
        <f t="shared" si="157"/>
        <v>Red</v>
      </c>
      <c r="AA464" t="str">
        <f t="shared" si="158"/>
        <v>Green</v>
      </c>
      <c r="AB464" t="str">
        <f t="shared" si="159"/>
        <v>Green</v>
      </c>
      <c r="AC464" t="str">
        <f t="shared" si="160"/>
        <v>Red</v>
      </c>
      <c r="AD464" t="str">
        <f t="shared" si="161"/>
        <v>Green</v>
      </c>
    </row>
    <row r="465" spans="1:30" x14ac:dyDescent="0.25">
      <c r="A465" t="str">
        <f t="shared" si="144"/>
        <v>23/07/2026NK VarazdinHradec Kralove</v>
      </c>
      <c r="B465" t="s">
        <v>820</v>
      </c>
      <c r="C465" t="s">
        <v>1344</v>
      </c>
      <c r="D465" s="2">
        <v>46226</v>
      </c>
      <c r="E465" s="3">
        <v>0.54166666666666663</v>
      </c>
      <c r="F465" t="s">
        <v>1924</v>
      </c>
      <c r="G465" t="s">
        <v>1917</v>
      </c>
      <c r="L465" s="22" t="str">
        <f t="shared" si="162"/>
        <v>23/07/2026</v>
      </c>
      <c r="M465" s="23">
        <f t="shared" si="163"/>
        <v>0.41666666666666663</v>
      </c>
      <c r="N465" t="str">
        <f t="shared" si="145"/>
        <v xml:space="preserve"> - </v>
      </c>
      <c r="O465" t="str">
        <f t="shared" si="146"/>
        <v>Red</v>
      </c>
      <c r="P465" t="str">
        <f t="shared" si="147"/>
        <v>Green</v>
      </c>
      <c r="Q465" t="str">
        <f t="shared" si="148"/>
        <v>Red</v>
      </c>
      <c r="R465" t="str">
        <f t="shared" si="149"/>
        <v>Green</v>
      </c>
      <c r="S465" t="str">
        <f t="shared" si="150"/>
        <v>Green</v>
      </c>
      <c r="T465" t="str">
        <f t="shared" si="151"/>
        <v>Red</v>
      </c>
      <c r="U465" t="str">
        <f t="shared" si="152"/>
        <v>Red</v>
      </c>
      <c r="V465" t="str">
        <f t="shared" si="153"/>
        <v>Green</v>
      </c>
      <c r="W465" t="str">
        <f t="shared" si="154"/>
        <v>Red</v>
      </c>
      <c r="X465" t="str">
        <f t="shared" si="155"/>
        <v>Red</v>
      </c>
      <c r="Y465" t="str">
        <f t="shared" si="156"/>
        <v>Red</v>
      </c>
      <c r="Z465" t="str">
        <f t="shared" si="157"/>
        <v>Red</v>
      </c>
      <c r="AA465" t="str">
        <f t="shared" si="158"/>
        <v>Green</v>
      </c>
      <c r="AB465" t="str">
        <f t="shared" si="159"/>
        <v>Green</v>
      </c>
      <c r="AC465" t="str">
        <f t="shared" si="160"/>
        <v>Red</v>
      </c>
      <c r="AD465" t="str">
        <f t="shared" si="161"/>
        <v>Green</v>
      </c>
    </row>
    <row r="466" spans="1:30" x14ac:dyDescent="0.25">
      <c r="A466" t="str">
        <f t="shared" si="144"/>
        <v>23/07/2026Akzhayik UralskKhan Tengry</v>
      </c>
      <c r="D466" s="2">
        <v>46226</v>
      </c>
      <c r="E466" s="3">
        <v>0.54166666666666663</v>
      </c>
      <c r="F466" t="s">
        <v>2082</v>
      </c>
      <c r="G466" t="s">
        <v>2083</v>
      </c>
      <c r="H466">
        <v>1</v>
      </c>
      <c r="I466">
        <v>0</v>
      </c>
      <c r="J466">
        <v>2</v>
      </c>
      <c r="K466">
        <v>0</v>
      </c>
      <c r="L466" s="22" t="str">
        <f t="shared" si="162"/>
        <v>23/07/2026</v>
      </c>
      <c r="M466" s="23">
        <f t="shared" si="163"/>
        <v>0.41666666666666663</v>
      </c>
      <c r="N466" t="str">
        <f t="shared" si="145"/>
        <v>2 - 0</v>
      </c>
      <c r="O466" t="str">
        <f t="shared" si="146"/>
        <v>Green</v>
      </c>
      <c r="P466" t="str">
        <f t="shared" si="147"/>
        <v>Red</v>
      </c>
      <c r="Q466" t="str">
        <f t="shared" si="148"/>
        <v>Red</v>
      </c>
      <c r="R466" t="str">
        <f t="shared" si="149"/>
        <v>Green</v>
      </c>
      <c r="S466" t="str">
        <f t="shared" si="150"/>
        <v>Red</v>
      </c>
      <c r="T466" t="str">
        <f t="shared" si="151"/>
        <v>Green</v>
      </c>
      <c r="U466" t="str">
        <f t="shared" si="152"/>
        <v>Green</v>
      </c>
      <c r="V466" t="str">
        <f t="shared" si="153"/>
        <v>Red</v>
      </c>
      <c r="W466" t="str">
        <f t="shared" si="154"/>
        <v>Red</v>
      </c>
      <c r="X466" t="str">
        <f t="shared" si="155"/>
        <v>Green</v>
      </c>
      <c r="Y466" t="str">
        <f t="shared" si="156"/>
        <v>Green</v>
      </c>
      <c r="Z466" t="str">
        <f t="shared" si="157"/>
        <v>Red</v>
      </c>
      <c r="AA466" t="str">
        <f t="shared" si="158"/>
        <v>Green</v>
      </c>
      <c r="AB466" t="str">
        <f t="shared" si="159"/>
        <v>Green</v>
      </c>
      <c r="AC466" t="str">
        <f t="shared" si="160"/>
        <v>Red</v>
      </c>
      <c r="AD466" t="str">
        <f t="shared" si="161"/>
        <v>Green</v>
      </c>
    </row>
    <row r="467" spans="1:30" x14ac:dyDescent="0.25">
      <c r="A467" t="str">
        <f t="shared" si="144"/>
        <v>23/07/2026FK Kaspyi Aktau U21Ekibastuz</v>
      </c>
      <c r="D467" s="2">
        <v>46226</v>
      </c>
      <c r="E467" s="3">
        <v>0.54166666666666663</v>
      </c>
      <c r="F467" t="s">
        <v>2084</v>
      </c>
      <c r="G467" t="s">
        <v>2085</v>
      </c>
      <c r="H467">
        <v>2</v>
      </c>
      <c r="I467">
        <v>0</v>
      </c>
      <c r="J467">
        <v>3</v>
      </c>
      <c r="K467">
        <v>0</v>
      </c>
      <c r="L467" s="22" t="str">
        <f t="shared" si="162"/>
        <v>23/07/2026</v>
      </c>
      <c r="M467" s="23">
        <f t="shared" si="163"/>
        <v>0.41666666666666663</v>
      </c>
      <c r="N467" t="str">
        <f t="shared" si="145"/>
        <v>3 - 0</v>
      </c>
      <c r="O467" t="str">
        <f t="shared" si="146"/>
        <v>Green</v>
      </c>
      <c r="P467" t="str">
        <f t="shared" si="147"/>
        <v>Red</v>
      </c>
      <c r="Q467" t="str">
        <f t="shared" si="148"/>
        <v>Red</v>
      </c>
      <c r="R467" t="str">
        <f t="shared" si="149"/>
        <v>Green</v>
      </c>
      <c r="S467" t="str">
        <f t="shared" si="150"/>
        <v>Red</v>
      </c>
      <c r="T467" t="str">
        <f t="shared" si="151"/>
        <v>Green</v>
      </c>
      <c r="U467" t="str">
        <f t="shared" si="152"/>
        <v>Green</v>
      </c>
      <c r="V467" t="str">
        <f t="shared" si="153"/>
        <v>Red</v>
      </c>
      <c r="W467" t="str">
        <f t="shared" si="154"/>
        <v>Red</v>
      </c>
      <c r="X467" t="str">
        <f t="shared" si="155"/>
        <v>Green</v>
      </c>
      <c r="Y467" t="str">
        <f t="shared" si="156"/>
        <v>Green</v>
      </c>
      <c r="Z467" t="str">
        <f t="shared" si="157"/>
        <v>Green</v>
      </c>
      <c r="AA467" t="str">
        <f t="shared" si="158"/>
        <v>Red</v>
      </c>
      <c r="AB467" t="str">
        <f t="shared" si="159"/>
        <v>Green</v>
      </c>
      <c r="AC467" t="str">
        <f t="shared" si="160"/>
        <v>Red</v>
      </c>
      <c r="AD467" t="str">
        <f t="shared" si="161"/>
        <v>Green</v>
      </c>
    </row>
    <row r="468" spans="1:30" x14ac:dyDescent="0.25">
      <c r="A468" t="str">
        <f t="shared" si="144"/>
        <v>23/07/2026Waldhof MannheimFC Liefering</v>
      </c>
      <c r="D468" s="2">
        <v>46226</v>
      </c>
      <c r="E468" s="3">
        <v>0.54166666666666663</v>
      </c>
      <c r="F468" t="s">
        <v>2099</v>
      </c>
      <c r="G468" t="s">
        <v>2096</v>
      </c>
      <c r="H468">
        <v>0</v>
      </c>
      <c r="I468">
        <v>0</v>
      </c>
      <c r="J468">
        <v>4</v>
      </c>
      <c r="K468">
        <v>1</v>
      </c>
      <c r="L468" s="22" t="str">
        <f t="shared" si="162"/>
        <v>23/07/2026</v>
      </c>
      <c r="M468" s="23">
        <f t="shared" si="163"/>
        <v>0.41666666666666663</v>
      </c>
      <c r="N468" t="str">
        <f t="shared" si="145"/>
        <v>4 - 1</v>
      </c>
      <c r="O468" t="str">
        <f t="shared" si="146"/>
        <v>Green</v>
      </c>
      <c r="P468" t="str">
        <f t="shared" si="147"/>
        <v>Red</v>
      </c>
      <c r="Q468" t="str">
        <f t="shared" si="148"/>
        <v>Red</v>
      </c>
      <c r="R468" t="str">
        <f t="shared" si="149"/>
        <v>Green</v>
      </c>
      <c r="S468" t="str">
        <f t="shared" si="150"/>
        <v>Red</v>
      </c>
      <c r="T468" t="str">
        <f t="shared" si="151"/>
        <v>Green</v>
      </c>
      <c r="U468" t="str">
        <f t="shared" si="152"/>
        <v>Red</v>
      </c>
      <c r="V468" t="str">
        <f t="shared" si="153"/>
        <v>Green</v>
      </c>
      <c r="W468" t="str">
        <f t="shared" si="154"/>
        <v>Red</v>
      </c>
      <c r="X468" t="str">
        <f t="shared" si="155"/>
        <v>Red</v>
      </c>
      <c r="Y468" t="str">
        <f t="shared" si="156"/>
        <v>Green</v>
      </c>
      <c r="Z468" t="str">
        <f t="shared" si="157"/>
        <v>Green</v>
      </c>
      <c r="AA468" t="str">
        <f t="shared" si="158"/>
        <v>Red</v>
      </c>
      <c r="AB468" t="str">
        <f t="shared" si="159"/>
        <v>Red</v>
      </c>
      <c r="AC468" t="str">
        <f t="shared" si="160"/>
        <v>Green</v>
      </c>
      <c r="AD468" t="str">
        <f t="shared" si="161"/>
        <v>Red</v>
      </c>
    </row>
    <row r="469" spans="1:30" x14ac:dyDescent="0.25">
      <c r="A469" t="str">
        <f t="shared" si="144"/>
        <v>23/07/2026Agama FCHardrock</v>
      </c>
      <c r="D469" s="2">
        <v>46226</v>
      </c>
      <c r="E469" s="3">
        <v>0.54166666666666663</v>
      </c>
      <c r="F469" t="s">
        <v>2117</v>
      </c>
      <c r="G469" t="s">
        <v>2118</v>
      </c>
      <c r="H469">
        <v>0</v>
      </c>
      <c r="I469">
        <v>0</v>
      </c>
      <c r="J469">
        <v>0</v>
      </c>
      <c r="K469">
        <v>2</v>
      </c>
      <c r="L469" s="22" t="str">
        <f t="shared" si="162"/>
        <v>23/07/2026</v>
      </c>
      <c r="M469" s="23">
        <f t="shared" si="163"/>
        <v>0.41666666666666663</v>
      </c>
      <c r="N469" t="str">
        <f t="shared" si="145"/>
        <v>0 - 2</v>
      </c>
      <c r="O469" t="str">
        <f t="shared" si="146"/>
        <v>Red</v>
      </c>
      <c r="P469" t="str">
        <f t="shared" si="147"/>
        <v>Red</v>
      </c>
      <c r="Q469" t="str">
        <f t="shared" si="148"/>
        <v>Green</v>
      </c>
      <c r="R469" t="str">
        <f t="shared" si="149"/>
        <v>Red</v>
      </c>
      <c r="S469" t="str">
        <f t="shared" si="150"/>
        <v>Green</v>
      </c>
      <c r="T469" t="str">
        <f t="shared" si="151"/>
        <v>Green</v>
      </c>
      <c r="U469" t="str">
        <f t="shared" si="152"/>
        <v>Red</v>
      </c>
      <c r="V469" t="str">
        <f t="shared" si="153"/>
        <v>Green</v>
      </c>
      <c r="W469" t="str">
        <f t="shared" si="154"/>
        <v>Red</v>
      </c>
      <c r="X469" t="str">
        <f t="shared" si="155"/>
        <v>Red</v>
      </c>
      <c r="Y469" t="str">
        <f t="shared" si="156"/>
        <v>Green</v>
      </c>
      <c r="Z469" t="str">
        <f t="shared" si="157"/>
        <v>Red</v>
      </c>
      <c r="AA469" t="str">
        <f t="shared" si="158"/>
        <v>Green</v>
      </c>
      <c r="AB469" t="str">
        <f t="shared" si="159"/>
        <v>Green</v>
      </c>
      <c r="AC469" t="str">
        <f t="shared" si="160"/>
        <v>Red</v>
      </c>
      <c r="AD469" t="str">
        <f t="shared" si="161"/>
        <v>Green</v>
      </c>
    </row>
    <row r="470" spans="1:30" x14ac:dyDescent="0.25">
      <c r="A470" t="str">
        <f t="shared" si="144"/>
        <v>23/07/2026CAPS UnitedHunters 2020</v>
      </c>
      <c r="D470" s="2">
        <v>46226</v>
      </c>
      <c r="E470" s="3">
        <v>0.54166666666666663</v>
      </c>
      <c r="F470" t="s">
        <v>2119</v>
      </c>
      <c r="G470" t="s">
        <v>2120</v>
      </c>
      <c r="H470">
        <v>0</v>
      </c>
      <c r="I470">
        <v>0</v>
      </c>
      <c r="J470">
        <v>0</v>
      </c>
      <c r="K470">
        <v>1</v>
      </c>
      <c r="L470" s="22" t="str">
        <f t="shared" si="162"/>
        <v>23/07/2026</v>
      </c>
      <c r="M470" s="23">
        <f t="shared" si="163"/>
        <v>0.41666666666666663</v>
      </c>
      <c r="N470" t="str">
        <f t="shared" si="145"/>
        <v>0 - 1</v>
      </c>
      <c r="O470" t="str">
        <f t="shared" si="146"/>
        <v>Red</v>
      </c>
      <c r="P470" t="str">
        <f t="shared" si="147"/>
        <v>Red</v>
      </c>
      <c r="Q470" t="str">
        <f t="shared" si="148"/>
        <v>Green</v>
      </c>
      <c r="R470" t="str">
        <f t="shared" si="149"/>
        <v>Red</v>
      </c>
      <c r="S470" t="str">
        <f t="shared" si="150"/>
        <v>Green</v>
      </c>
      <c r="T470" t="str">
        <f t="shared" si="151"/>
        <v>Green</v>
      </c>
      <c r="U470" t="str">
        <f t="shared" si="152"/>
        <v>Red</v>
      </c>
      <c r="V470" t="str">
        <f t="shared" si="153"/>
        <v>Green</v>
      </c>
      <c r="W470" t="str">
        <f t="shared" si="154"/>
        <v>Red</v>
      </c>
      <c r="X470" t="str">
        <f t="shared" si="155"/>
        <v>Red</v>
      </c>
      <c r="Y470" t="str">
        <f t="shared" si="156"/>
        <v>Red</v>
      </c>
      <c r="Z470" t="str">
        <f t="shared" si="157"/>
        <v>Red</v>
      </c>
      <c r="AA470" t="str">
        <f t="shared" si="158"/>
        <v>Green</v>
      </c>
      <c r="AB470" t="str">
        <f t="shared" si="159"/>
        <v>Green</v>
      </c>
      <c r="AC470" t="str">
        <f t="shared" si="160"/>
        <v>Red</v>
      </c>
      <c r="AD470" t="str">
        <f t="shared" si="161"/>
        <v>Green</v>
      </c>
    </row>
    <row r="471" spans="1:30" x14ac:dyDescent="0.25">
      <c r="A471" t="str">
        <f t="shared" si="144"/>
        <v>23/07/2026Triangle UnitedNgezi Platinum FC</v>
      </c>
      <c r="D471" s="2">
        <v>46226</v>
      </c>
      <c r="E471" s="3">
        <v>0.54166666666666663</v>
      </c>
      <c r="F471" t="s">
        <v>2121</v>
      </c>
      <c r="G471" t="s">
        <v>2122</v>
      </c>
      <c r="H471">
        <v>0</v>
      </c>
      <c r="I471">
        <v>0</v>
      </c>
      <c r="J471">
        <v>1</v>
      </c>
      <c r="K471">
        <v>1</v>
      </c>
      <c r="L471" s="22" t="str">
        <f t="shared" si="162"/>
        <v>23/07/2026</v>
      </c>
      <c r="M471" s="23">
        <f t="shared" si="163"/>
        <v>0.41666666666666663</v>
      </c>
      <c r="N471" t="str">
        <f t="shared" si="145"/>
        <v>1 - 1</v>
      </c>
      <c r="O471" t="str">
        <f t="shared" si="146"/>
        <v>Red</v>
      </c>
      <c r="P471" t="str">
        <f t="shared" si="147"/>
        <v>Green</v>
      </c>
      <c r="Q471" t="str">
        <f t="shared" si="148"/>
        <v>Red</v>
      </c>
      <c r="R471" t="str">
        <f t="shared" si="149"/>
        <v>Green</v>
      </c>
      <c r="S471" t="str">
        <f t="shared" si="150"/>
        <v>Green</v>
      </c>
      <c r="T471" t="str">
        <f t="shared" si="151"/>
        <v>Red</v>
      </c>
      <c r="U471" t="str">
        <f t="shared" si="152"/>
        <v>Red</v>
      </c>
      <c r="V471" t="str">
        <f t="shared" si="153"/>
        <v>Green</v>
      </c>
      <c r="W471" t="str">
        <f t="shared" si="154"/>
        <v>Red</v>
      </c>
      <c r="X471" t="str">
        <f t="shared" si="155"/>
        <v>Red</v>
      </c>
      <c r="Y471" t="str">
        <f t="shared" si="156"/>
        <v>Green</v>
      </c>
      <c r="Z471" t="str">
        <f t="shared" si="157"/>
        <v>Red</v>
      </c>
      <c r="AA471" t="str">
        <f t="shared" si="158"/>
        <v>Green</v>
      </c>
      <c r="AB471" t="str">
        <f t="shared" si="159"/>
        <v>Green</v>
      </c>
      <c r="AC471" t="str">
        <f t="shared" si="160"/>
        <v>Green</v>
      </c>
      <c r="AD471" t="str">
        <f t="shared" si="161"/>
        <v>Red</v>
      </c>
    </row>
    <row r="472" spans="1:30" x14ac:dyDescent="0.25">
      <c r="A472" t="str">
        <f t="shared" si="144"/>
        <v>23/07/2026MalishevaHibernian</v>
      </c>
      <c r="B472" t="s">
        <v>820</v>
      </c>
      <c r="C472" t="s">
        <v>1344</v>
      </c>
      <c r="D472" s="2">
        <v>46226</v>
      </c>
      <c r="E472" s="3">
        <v>0.60416666666666663</v>
      </c>
      <c r="F472" t="s">
        <v>1925</v>
      </c>
      <c r="G472" t="s">
        <v>1926</v>
      </c>
      <c r="H472">
        <v>1</v>
      </c>
      <c r="I472">
        <v>0</v>
      </c>
      <c r="J472">
        <v>2</v>
      </c>
      <c r="K472">
        <v>0</v>
      </c>
      <c r="L472" s="22" t="str">
        <f t="shared" si="162"/>
        <v>23/07/2026</v>
      </c>
      <c r="M472" s="23">
        <f t="shared" si="163"/>
        <v>0.47916666666666663</v>
      </c>
      <c r="N472" t="str">
        <f t="shared" si="145"/>
        <v>2 - 0</v>
      </c>
      <c r="O472" t="str">
        <f t="shared" si="146"/>
        <v>Green</v>
      </c>
      <c r="P472" t="str">
        <f t="shared" si="147"/>
        <v>Red</v>
      </c>
      <c r="Q472" t="str">
        <f t="shared" si="148"/>
        <v>Red</v>
      </c>
      <c r="R472" t="str">
        <f t="shared" si="149"/>
        <v>Green</v>
      </c>
      <c r="S472" t="str">
        <f t="shared" si="150"/>
        <v>Red</v>
      </c>
      <c r="T472" t="str">
        <f t="shared" si="151"/>
        <v>Green</v>
      </c>
      <c r="U472" t="str">
        <f t="shared" si="152"/>
        <v>Green</v>
      </c>
      <c r="V472" t="str">
        <f t="shared" si="153"/>
        <v>Red</v>
      </c>
      <c r="W472" t="str">
        <f t="shared" si="154"/>
        <v>Red</v>
      </c>
      <c r="X472" t="str">
        <f t="shared" si="155"/>
        <v>Green</v>
      </c>
      <c r="Y472" t="str">
        <f t="shared" si="156"/>
        <v>Green</v>
      </c>
      <c r="Z472" t="str">
        <f t="shared" si="157"/>
        <v>Red</v>
      </c>
      <c r="AA472" t="str">
        <f t="shared" si="158"/>
        <v>Green</v>
      </c>
      <c r="AB472" t="str">
        <f t="shared" si="159"/>
        <v>Green</v>
      </c>
      <c r="AC472" t="str">
        <f t="shared" si="160"/>
        <v>Red</v>
      </c>
      <c r="AD472" t="str">
        <f t="shared" si="161"/>
        <v>Green</v>
      </c>
    </row>
    <row r="473" spans="1:30" x14ac:dyDescent="0.25">
      <c r="A473" t="str">
        <f t="shared" si="144"/>
        <v>23/07/2026FK GazalkentMetallurg Bekabad</v>
      </c>
      <c r="D473" s="2">
        <v>46226</v>
      </c>
      <c r="E473" s="3">
        <v>0.60416666666666663</v>
      </c>
      <c r="F473" t="s">
        <v>2094</v>
      </c>
      <c r="G473" t="s">
        <v>2095</v>
      </c>
      <c r="H473">
        <v>0</v>
      </c>
      <c r="I473">
        <v>0</v>
      </c>
      <c r="J473">
        <v>3</v>
      </c>
      <c r="K473">
        <v>2</v>
      </c>
      <c r="L473" s="22" t="str">
        <f t="shared" si="162"/>
        <v>23/07/2026</v>
      </c>
      <c r="M473" s="23">
        <f t="shared" si="163"/>
        <v>0.47916666666666663</v>
      </c>
      <c r="N473" t="str">
        <f t="shared" si="145"/>
        <v>3 - 2</v>
      </c>
      <c r="O473" t="str">
        <f t="shared" si="146"/>
        <v>Green</v>
      </c>
      <c r="P473" t="str">
        <f t="shared" si="147"/>
        <v>Red</v>
      </c>
      <c r="Q473" t="str">
        <f t="shared" si="148"/>
        <v>Red</v>
      </c>
      <c r="R473" t="str">
        <f t="shared" si="149"/>
        <v>Green</v>
      </c>
      <c r="S473" t="str">
        <f t="shared" si="150"/>
        <v>Red</v>
      </c>
      <c r="T473" t="str">
        <f t="shared" si="151"/>
        <v>Green</v>
      </c>
      <c r="U473" t="str">
        <f t="shared" si="152"/>
        <v>Red</v>
      </c>
      <c r="V473" t="str">
        <f t="shared" si="153"/>
        <v>Green</v>
      </c>
      <c r="W473" t="str">
        <f t="shared" si="154"/>
        <v>Red</v>
      </c>
      <c r="X473" t="str">
        <f t="shared" si="155"/>
        <v>Red</v>
      </c>
      <c r="Y473" t="str">
        <f t="shared" si="156"/>
        <v>Green</v>
      </c>
      <c r="Z473" t="str">
        <f t="shared" si="157"/>
        <v>Green</v>
      </c>
      <c r="AA473" t="str">
        <f t="shared" si="158"/>
        <v>Red</v>
      </c>
      <c r="AB473" t="str">
        <f t="shared" si="159"/>
        <v>Red</v>
      </c>
      <c r="AC473" t="str">
        <f t="shared" si="160"/>
        <v>Green</v>
      </c>
      <c r="AD473" t="str">
        <f t="shared" si="161"/>
        <v>Red</v>
      </c>
    </row>
    <row r="474" spans="1:30" x14ac:dyDescent="0.25">
      <c r="A474" t="str">
        <f t="shared" si="144"/>
        <v>23/07/2026AlashkertCFR Cluj</v>
      </c>
      <c r="B474" t="s">
        <v>820</v>
      </c>
      <c r="C474" t="s">
        <v>1344</v>
      </c>
      <c r="D474" s="2">
        <v>46226</v>
      </c>
      <c r="E474" s="3">
        <v>0.625</v>
      </c>
      <c r="F474" t="s">
        <v>1927</v>
      </c>
      <c r="G474" t="s">
        <v>1928</v>
      </c>
      <c r="H474">
        <v>1</v>
      </c>
      <c r="I474">
        <v>0</v>
      </c>
      <c r="J474">
        <v>1</v>
      </c>
      <c r="K474">
        <v>1</v>
      </c>
      <c r="L474" s="22" t="str">
        <f t="shared" si="162"/>
        <v>23/07/2026</v>
      </c>
      <c r="M474" s="23">
        <f t="shared" si="163"/>
        <v>0.5</v>
      </c>
      <c r="N474" t="str">
        <f t="shared" si="145"/>
        <v>1 - 1</v>
      </c>
      <c r="O474" t="str">
        <f t="shared" si="146"/>
        <v>Red</v>
      </c>
      <c r="P474" t="str">
        <f t="shared" si="147"/>
        <v>Green</v>
      </c>
      <c r="Q474" t="str">
        <f t="shared" si="148"/>
        <v>Red</v>
      </c>
      <c r="R474" t="str">
        <f t="shared" si="149"/>
        <v>Green</v>
      </c>
      <c r="S474" t="str">
        <f t="shared" si="150"/>
        <v>Green</v>
      </c>
      <c r="T474" t="str">
        <f t="shared" si="151"/>
        <v>Red</v>
      </c>
      <c r="U474" t="str">
        <f t="shared" si="152"/>
        <v>Green</v>
      </c>
      <c r="V474" t="str">
        <f t="shared" si="153"/>
        <v>Red</v>
      </c>
      <c r="W474" t="str">
        <f t="shared" si="154"/>
        <v>Red</v>
      </c>
      <c r="X474" t="str">
        <f t="shared" si="155"/>
        <v>Green</v>
      </c>
      <c r="Y474" t="str">
        <f t="shared" si="156"/>
        <v>Green</v>
      </c>
      <c r="Z474" t="str">
        <f t="shared" si="157"/>
        <v>Red</v>
      </c>
      <c r="AA474" t="str">
        <f t="shared" si="158"/>
        <v>Green</v>
      </c>
      <c r="AB474" t="str">
        <f t="shared" si="159"/>
        <v>Green</v>
      </c>
      <c r="AC474" t="str">
        <f t="shared" si="160"/>
        <v>Green</v>
      </c>
      <c r="AD474" t="str">
        <f t="shared" si="161"/>
        <v>Red</v>
      </c>
    </row>
    <row r="475" spans="1:30" x14ac:dyDescent="0.25">
      <c r="A475" t="str">
        <f t="shared" si="144"/>
        <v>23/07/2026FK LiepajaAustria Wien</v>
      </c>
      <c r="B475" t="s">
        <v>820</v>
      </c>
      <c r="C475" t="s">
        <v>1344</v>
      </c>
      <c r="D475" s="2">
        <v>46226</v>
      </c>
      <c r="E475" s="3">
        <v>0.625</v>
      </c>
      <c r="F475" t="s">
        <v>1094</v>
      </c>
      <c r="G475" t="s">
        <v>1929</v>
      </c>
      <c r="H475">
        <v>0</v>
      </c>
      <c r="I475">
        <v>1</v>
      </c>
      <c r="J475">
        <v>0</v>
      </c>
      <c r="K475">
        <v>2</v>
      </c>
      <c r="L475" s="22" t="str">
        <f t="shared" si="162"/>
        <v>23/07/2026</v>
      </c>
      <c r="M475" s="23">
        <f t="shared" si="163"/>
        <v>0.5</v>
      </c>
      <c r="N475" t="str">
        <f t="shared" si="145"/>
        <v>0 - 2</v>
      </c>
      <c r="O475" t="str">
        <f t="shared" si="146"/>
        <v>Red</v>
      </c>
      <c r="P475" t="str">
        <f t="shared" si="147"/>
        <v>Red</v>
      </c>
      <c r="Q475" t="str">
        <f t="shared" si="148"/>
        <v>Green</v>
      </c>
      <c r="R475" t="str">
        <f t="shared" si="149"/>
        <v>Red</v>
      </c>
      <c r="S475" t="str">
        <f t="shared" si="150"/>
        <v>Green</v>
      </c>
      <c r="T475" t="str">
        <f t="shared" si="151"/>
        <v>Green</v>
      </c>
      <c r="U475" t="str">
        <f t="shared" si="152"/>
        <v>Red</v>
      </c>
      <c r="V475" t="str">
        <f t="shared" si="153"/>
        <v>Red</v>
      </c>
      <c r="W475" t="str">
        <f t="shared" si="154"/>
        <v>Green</v>
      </c>
      <c r="X475" t="str">
        <f t="shared" si="155"/>
        <v>Green</v>
      </c>
      <c r="Y475" t="str">
        <f t="shared" si="156"/>
        <v>Green</v>
      </c>
      <c r="Z475" t="str">
        <f t="shared" si="157"/>
        <v>Red</v>
      </c>
      <c r="AA475" t="str">
        <f t="shared" si="158"/>
        <v>Green</v>
      </c>
      <c r="AB475" t="str">
        <f t="shared" si="159"/>
        <v>Green</v>
      </c>
      <c r="AC475" t="str">
        <f t="shared" si="160"/>
        <v>Red</v>
      </c>
      <c r="AD475" t="str">
        <f t="shared" si="161"/>
        <v>Green</v>
      </c>
    </row>
    <row r="476" spans="1:30" x14ac:dyDescent="0.25">
      <c r="A476" t="str">
        <f t="shared" si="144"/>
        <v>23/07/2026Toolon TaistoTIPS Vantaa</v>
      </c>
      <c r="D476" s="2">
        <v>46226</v>
      </c>
      <c r="E476" s="3">
        <v>0.625</v>
      </c>
      <c r="F476" t="s">
        <v>2039</v>
      </c>
      <c r="G476" t="s">
        <v>2040</v>
      </c>
      <c r="H476">
        <v>0</v>
      </c>
      <c r="I476">
        <v>0</v>
      </c>
      <c r="J476">
        <v>1</v>
      </c>
      <c r="K476">
        <v>1</v>
      </c>
      <c r="L476" s="22" t="str">
        <f t="shared" si="162"/>
        <v>23/07/2026</v>
      </c>
      <c r="M476" s="23">
        <f t="shared" si="163"/>
        <v>0.5</v>
      </c>
      <c r="N476" t="str">
        <f t="shared" si="145"/>
        <v>1 - 1</v>
      </c>
      <c r="O476" t="str">
        <f t="shared" si="146"/>
        <v>Red</v>
      </c>
      <c r="P476" t="str">
        <f t="shared" si="147"/>
        <v>Green</v>
      </c>
      <c r="Q476" t="str">
        <f t="shared" si="148"/>
        <v>Red</v>
      </c>
      <c r="R476" t="str">
        <f t="shared" si="149"/>
        <v>Green</v>
      </c>
      <c r="S476" t="str">
        <f t="shared" si="150"/>
        <v>Green</v>
      </c>
      <c r="T476" t="str">
        <f t="shared" si="151"/>
        <v>Red</v>
      </c>
      <c r="U476" t="str">
        <f t="shared" si="152"/>
        <v>Red</v>
      </c>
      <c r="V476" t="str">
        <f t="shared" si="153"/>
        <v>Green</v>
      </c>
      <c r="W476" t="str">
        <f t="shared" si="154"/>
        <v>Red</v>
      </c>
      <c r="X476" t="str">
        <f t="shared" si="155"/>
        <v>Red</v>
      </c>
      <c r="Y476" t="str">
        <f t="shared" si="156"/>
        <v>Green</v>
      </c>
      <c r="Z476" t="str">
        <f t="shared" si="157"/>
        <v>Red</v>
      </c>
      <c r="AA476" t="str">
        <f t="shared" si="158"/>
        <v>Green</v>
      </c>
      <c r="AB476" t="str">
        <f t="shared" si="159"/>
        <v>Green</v>
      </c>
      <c r="AC476" t="str">
        <f t="shared" si="160"/>
        <v>Green</v>
      </c>
      <c r="AD476" t="str">
        <f t="shared" si="161"/>
        <v>Red</v>
      </c>
    </row>
    <row r="477" spans="1:30" x14ac:dyDescent="0.25">
      <c r="A477" t="str">
        <f t="shared" si="144"/>
        <v>23/07/2026New England Revolution IINew York City II</v>
      </c>
      <c r="D477" s="2">
        <v>46226</v>
      </c>
      <c r="E477" s="3">
        <v>0.625</v>
      </c>
      <c r="F477" t="s">
        <v>98</v>
      </c>
      <c r="G477" t="s">
        <v>2089</v>
      </c>
      <c r="H477">
        <v>3</v>
      </c>
      <c r="I477">
        <v>0</v>
      </c>
      <c r="J477">
        <v>3</v>
      </c>
      <c r="K477">
        <v>0</v>
      </c>
      <c r="L477" s="22" t="str">
        <f t="shared" si="162"/>
        <v>23/07/2026</v>
      </c>
      <c r="M477" s="23">
        <f t="shared" si="163"/>
        <v>0.5</v>
      </c>
      <c r="N477" t="str">
        <f t="shared" si="145"/>
        <v>3 - 0</v>
      </c>
      <c r="O477" t="str">
        <f t="shared" si="146"/>
        <v>Green</v>
      </c>
      <c r="P477" t="str">
        <f t="shared" si="147"/>
        <v>Red</v>
      </c>
      <c r="Q477" t="str">
        <f t="shared" si="148"/>
        <v>Red</v>
      </c>
      <c r="R477" t="str">
        <f t="shared" si="149"/>
        <v>Green</v>
      </c>
      <c r="S477" t="str">
        <f t="shared" si="150"/>
        <v>Red</v>
      </c>
      <c r="T477" t="str">
        <f t="shared" si="151"/>
        <v>Green</v>
      </c>
      <c r="U477" t="str">
        <f t="shared" si="152"/>
        <v>Green</v>
      </c>
      <c r="V477" t="str">
        <f t="shared" si="153"/>
        <v>Red</v>
      </c>
      <c r="W477" t="str">
        <f t="shared" si="154"/>
        <v>Red</v>
      </c>
      <c r="X477" t="str">
        <f t="shared" si="155"/>
        <v>Green</v>
      </c>
      <c r="Y477" t="str">
        <f t="shared" si="156"/>
        <v>Green</v>
      </c>
      <c r="Z477" t="str">
        <f t="shared" si="157"/>
        <v>Green</v>
      </c>
      <c r="AA477" t="str">
        <f t="shared" si="158"/>
        <v>Red</v>
      </c>
      <c r="AB477" t="str">
        <f t="shared" si="159"/>
        <v>Green</v>
      </c>
      <c r="AC477" t="str">
        <f t="shared" si="160"/>
        <v>Red</v>
      </c>
      <c r="AD477" t="str">
        <f t="shared" si="161"/>
        <v>Green</v>
      </c>
    </row>
    <row r="478" spans="1:30" x14ac:dyDescent="0.25">
      <c r="A478" t="str">
        <f t="shared" si="144"/>
        <v>23/07/2026Navbahor NamanganQizilqum Zarafshon</v>
      </c>
      <c r="D478" s="2">
        <v>46226</v>
      </c>
      <c r="E478" s="3">
        <v>0.625</v>
      </c>
      <c r="F478" t="s">
        <v>2090</v>
      </c>
      <c r="G478" t="s">
        <v>2091</v>
      </c>
      <c r="H478">
        <v>1</v>
      </c>
      <c r="I478">
        <v>1</v>
      </c>
      <c r="J478">
        <v>1</v>
      </c>
      <c r="K478">
        <v>1</v>
      </c>
      <c r="L478" s="22" t="str">
        <f t="shared" si="162"/>
        <v>23/07/2026</v>
      </c>
      <c r="M478" s="23">
        <f t="shared" si="163"/>
        <v>0.5</v>
      </c>
      <c r="N478" t="str">
        <f t="shared" si="145"/>
        <v>1 - 1</v>
      </c>
      <c r="O478" t="str">
        <f t="shared" si="146"/>
        <v>Red</v>
      </c>
      <c r="P478" t="str">
        <f t="shared" si="147"/>
        <v>Green</v>
      </c>
      <c r="Q478" t="str">
        <f t="shared" si="148"/>
        <v>Red</v>
      </c>
      <c r="R478" t="str">
        <f t="shared" si="149"/>
        <v>Green</v>
      </c>
      <c r="S478" t="str">
        <f t="shared" si="150"/>
        <v>Green</v>
      </c>
      <c r="T478" t="str">
        <f t="shared" si="151"/>
        <v>Red</v>
      </c>
      <c r="U478" t="str">
        <f t="shared" si="152"/>
        <v>Red</v>
      </c>
      <c r="V478" t="str">
        <f t="shared" si="153"/>
        <v>Green</v>
      </c>
      <c r="W478" t="str">
        <f t="shared" si="154"/>
        <v>Red</v>
      </c>
      <c r="X478" t="str">
        <f t="shared" si="155"/>
        <v>Green</v>
      </c>
      <c r="Y478" t="str">
        <f t="shared" si="156"/>
        <v>Green</v>
      </c>
      <c r="Z478" t="str">
        <f t="shared" si="157"/>
        <v>Red</v>
      </c>
      <c r="AA478" t="str">
        <f t="shared" si="158"/>
        <v>Green</v>
      </c>
      <c r="AB478" t="str">
        <f t="shared" si="159"/>
        <v>Green</v>
      </c>
      <c r="AC478" t="str">
        <f t="shared" si="160"/>
        <v>Green</v>
      </c>
      <c r="AD478" t="str">
        <f t="shared" si="161"/>
        <v>Red</v>
      </c>
    </row>
    <row r="479" spans="1:30" x14ac:dyDescent="0.25">
      <c r="A479" t="str">
        <f t="shared" si="144"/>
        <v>23/07/2026Termez SurkhonDinamo Samarqand</v>
      </c>
      <c r="D479" s="2">
        <v>46226</v>
      </c>
      <c r="E479" s="3">
        <v>0.625</v>
      </c>
      <c r="F479" t="s">
        <v>2092</v>
      </c>
      <c r="G479" t="s">
        <v>2093</v>
      </c>
      <c r="H479">
        <v>0</v>
      </c>
      <c r="I479">
        <v>1</v>
      </c>
      <c r="J479">
        <v>1</v>
      </c>
      <c r="K479">
        <v>2</v>
      </c>
      <c r="L479" s="22" t="str">
        <f t="shared" si="162"/>
        <v>23/07/2026</v>
      </c>
      <c r="M479" s="23">
        <f t="shared" si="163"/>
        <v>0.5</v>
      </c>
      <c r="N479" t="str">
        <f t="shared" si="145"/>
        <v>1 - 2</v>
      </c>
      <c r="O479" t="str">
        <f t="shared" si="146"/>
        <v>Red</v>
      </c>
      <c r="P479" t="str">
        <f t="shared" si="147"/>
        <v>Red</v>
      </c>
      <c r="Q479" t="str">
        <f t="shared" si="148"/>
        <v>Green</v>
      </c>
      <c r="R479" t="str">
        <f t="shared" si="149"/>
        <v>Red</v>
      </c>
      <c r="S479" t="str">
        <f t="shared" si="150"/>
        <v>Green</v>
      </c>
      <c r="T479" t="str">
        <f t="shared" si="151"/>
        <v>Green</v>
      </c>
      <c r="U479" t="str">
        <f t="shared" si="152"/>
        <v>Red</v>
      </c>
      <c r="V479" t="str">
        <f t="shared" si="153"/>
        <v>Red</v>
      </c>
      <c r="W479" t="str">
        <f t="shared" si="154"/>
        <v>Green</v>
      </c>
      <c r="X479" t="str">
        <f t="shared" si="155"/>
        <v>Green</v>
      </c>
      <c r="Y479" t="str">
        <f t="shared" si="156"/>
        <v>Green</v>
      </c>
      <c r="Z479" t="str">
        <f t="shared" si="157"/>
        <v>Green</v>
      </c>
      <c r="AA479" t="str">
        <f t="shared" si="158"/>
        <v>Red</v>
      </c>
      <c r="AB479" t="str">
        <f t="shared" si="159"/>
        <v>Green</v>
      </c>
      <c r="AC479" t="str">
        <f t="shared" si="160"/>
        <v>Green</v>
      </c>
      <c r="AD479" t="str">
        <f t="shared" si="161"/>
        <v>Red</v>
      </c>
    </row>
    <row r="480" spans="1:30" x14ac:dyDescent="0.25">
      <c r="A480" t="str">
        <f t="shared" si="144"/>
        <v>23/07/2026CagliariSampdoria</v>
      </c>
      <c r="D480" s="2">
        <v>46226</v>
      </c>
      <c r="E480" s="3">
        <v>0.625</v>
      </c>
      <c r="F480" t="s">
        <v>2100</v>
      </c>
      <c r="G480" t="s">
        <v>2101</v>
      </c>
      <c r="H480">
        <v>0</v>
      </c>
      <c r="I480">
        <v>0</v>
      </c>
      <c r="J480">
        <v>0</v>
      </c>
      <c r="K480">
        <v>0</v>
      </c>
      <c r="L480" s="22" t="str">
        <f t="shared" si="162"/>
        <v>23/07/2026</v>
      </c>
      <c r="M480" s="23">
        <f t="shared" si="163"/>
        <v>0.5</v>
      </c>
      <c r="N480" t="str">
        <f t="shared" si="145"/>
        <v>0 - 0</v>
      </c>
      <c r="O480" t="str">
        <f t="shared" si="146"/>
        <v>Red</v>
      </c>
      <c r="P480" t="str">
        <f t="shared" si="147"/>
        <v>Green</v>
      </c>
      <c r="Q480" t="str">
        <f t="shared" si="148"/>
        <v>Red</v>
      </c>
      <c r="R480" t="str">
        <f t="shared" si="149"/>
        <v>Green</v>
      </c>
      <c r="S480" t="str">
        <f t="shared" si="150"/>
        <v>Green</v>
      </c>
      <c r="T480" t="str">
        <f t="shared" si="151"/>
        <v>Red</v>
      </c>
      <c r="U480" t="str">
        <f t="shared" si="152"/>
        <v>Red</v>
      </c>
      <c r="V480" t="str">
        <f t="shared" si="153"/>
        <v>Green</v>
      </c>
      <c r="W480" t="str">
        <f t="shared" si="154"/>
        <v>Red</v>
      </c>
      <c r="X480" t="str">
        <f t="shared" si="155"/>
        <v>Red</v>
      </c>
      <c r="Y480" t="str">
        <f t="shared" si="156"/>
        <v>Red</v>
      </c>
      <c r="Z480" t="str">
        <f t="shared" si="157"/>
        <v>Red</v>
      </c>
      <c r="AA480" t="str">
        <f t="shared" si="158"/>
        <v>Green</v>
      </c>
      <c r="AB480" t="str">
        <f t="shared" si="159"/>
        <v>Green</v>
      </c>
      <c r="AC480" t="str">
        <f t="shared" si="160"/>
        <v>Red</v>
      </c>
      <c r="AD480" t="str">
        <f t="shared" si="161"/>
        <v>Green</v>
      </c>
    </row>
    <row r="481" spans="1:30" x14ac:dyDescent="0.25">
      <c r="A481" t="str">
        <f t="shared" si="144"/>
        <v>23/07/2026Zorya LuhanskGoztepe</v>
      </c>
      <c r="D481" s="2">
        <v>46226</v>
      </c>
      <c r="E481" s="3">
        <v>0.625</v>
      </c>
      <c r="F481" t="s">
        <v>2102</v>
      </c>
      <c r="G481" t="s">
        <v>2103</v>
      </c>
      <c r="H481">
        <v>0</v>
      </c>
      <c r="I481">
        <v>1</v>
      </c>
      <c r="J481">
        <v>1</v>
      </c>
      <c r="K481">
        <v>2</v>
      </c>
      <c r="L481" s="22" t="str">
        <f t="shared" si="162"/>
        <v>23/07/2026</v>
      </c>
      <c r="M481" s="23">
        <f t="shared" si="163"/>
        <v>0.5</v>
      </c>
      <c r="N481" t="str">
        <f t="shared" si="145"/>
        <v>1 - 2</v>
      </c>
      <c r="O481" t="str">
        <f t="shared" si="146"/>
        <v>Red</v>
      </c>
      <c r="P481" t="str">
        <f t="shared" si="147"/>
        <v>Red</v>
      </c>
      <c r="Q481" t="str">
        <f t="shared" si="148"/>
        <v>Green</v>
      </c>
      <c r="R481" t="str">
        <f t="shared" si="149"/>
        <v>Red</v>
      </c>
      <c r="S481" t="str">
        <f t="shared" si="150"/>
        <v>Green</v>
      </c>
      <c r="T481" t="str">
        <f t="shared" si="151"/>
        <v>Green</v>
      </c>
      <c r="U481" t="str">
        <f t="shared" si="152"/>
        <v>Red</v>
      </c>
      <c r="V481" t="str">
        <f t="shared" si="153"/>
        <v>Red</v>
      </c>
      <c r="W481" t="str">
        <f t="shared" si="154"/>
        <v>Green</v>
      </c>
      <c r="X481" t="str">
        <f t="shared" si="155"/>
        <v>Green</v>
      </c>
      <c r="Y481" t="str">
        <f t="shared" si="156"/>
        <v>Green</v>
      </c>
      <c r="Z481" t="str">
        <f t="shared" si="157"/>
        <v>Green</v>
      </c>
      <c r="AA481" t="str">
        <f t="shared" si="158"/>
        <v>Red</v>
      </c>
      <c r="AB481" t="str">
        <f t="shared" si="159"/>
        <v>Green</v>
      </c>
      <c r="AC481" t="str">
        <f t="shared" si="160"/>
        <v>Green</v>
      </c>
      <c r="AD481" t="str">
        <f t="shared" si="161"/>
        <v>Red</v>
      </c>
    </row>
    <row r="482" spans="1:30" x14ac:dyDescent="0.25">
      <c r="A482" t="str">
        <f t="shared" si="144"/>
        <v>23/07/2026JyTy TurkuMasku</v>
      </c>
      <c r="D482" s="2">
        <v>46226</v>
      </c>
      <c r="E482" s="3">
        <v>0.63541666666666663</v>
      </c>
      <c r="F482" t="s">
        <v>2041</v>
      </c>
      <c r="G482" t="s">
        <v>2042</v>
      </c>
      <c r="H482">
        <v>0</v>
      </c>
      <c r="I482">
        <v>0</v>
      </c>
      <c r="J482">
        <v>1</v>
      </c>
      <c r="K482">
        <v>1</v>
      </c>
      <c r="L482" s="22" t="str">
        <f t="shared" si="162"/>
        <v>23/07/2026</v>
      </c>
      <c r="M482" s="23">
        <f t="shared" si="163"/>
        <v>0.51041666666666663</v>
      </c>
      <c r="N482" t="str">
        <f t="shared" si="145"/>
        <v>1 - 1</v>
      </c>
      <c r="O482" t="str">
        <f t="shared" si="146"/>
        <v>Red</v>
      </c>
      <c r="P482" t="str">
        <f t="shared" si="147"/>
        <v>Green</v>
      </c>
      <c r="Q482" t="str">
        <f t="shared" si="148"/>
        <v>Red</v>
      </c>
      <c r="R482" t="str">
        <f t="shared" si="149"/>
        <v>Green</v>
      </c>
      <c r="S482" t="str">
        <f t="shared" si="150"/>
        <v>Green</v>
      </c>
      <c r="T482" t="str">
        <f t="shared" si="151"/>
        <v>Red</v>
      </c>
      <c r="U482" t="str">
        <f t="shared" si="152"/>
        <v>Red</v>
      </c>
      <c r="V482" t="str">
        <f t="shared" si="153"/>
        <v>Green</v>
      </c>
      <c r="W482" t="str">
        <f t="shared" si="154"/>
        <v>Red</v>
      </c>
      <c r="X482" t="str">
        <f t="shared" si="155"/>
        <v>Red</v>
      </c>
      <c r="Y482" t="str">
        <f t="shared" si="156"/>
        <v>Green</v>
      </c>
      <c r="Z482" t="str">
        <f t="shared" si="157"/>
        <v>Red</v>
      </c>
      <c r="AA482" t="str">
        <f t="shared" si="158"/>
        <v>Green</v>
      </c>
      <c r="AB482" t="str">
        <f t="shared" si="159"/>
        <v>Green</v>
      </c>
      <c r="AC482" t="str">
        <f t="shared" si="160"/>
        <v>Green</v>
      </c>
      <c r="AD482" t="str">
        <f t="shared" si="161"/>
        <v>Red</v>
      </c>
    </row>
    <row r="483" spans="1:30" x14ac:dyDescent="0.25">
      <c r="A483" t="str">
        <f t="shared" si="144"/>
        <v>23/07/2026FK PanevezysFC Tobol</v>
      </c>
      <c r="B483" t="s">
        <v>820</v>
      </c>
      <c r="C483" t="s">
        <v>1344</v>
      </c>
      <c r="D483" s="2">
        <v>46226</v>
      </c>
      <c r="E483" s="3">
        <v>0.64583333333333337</v>
      </c>
      <c r="F483" t="s">
        <v>1930</v>
      </c>
      <c r="G483" t="s">
        <v>1931</v>
      </c>
      <c r="H483">
        <v>1</v>
      </c>
      <c r="I483">
        <v>0</v>
      </c>
      <c r="J483">
        <v>1</v>
      </c>
      <c r="K483">
        <v>1</v>
      </c>
      <c r="L483" s="22" t="str">
        <f t="shared" si="162"/>
        <v>23/07/2026</v>
      </c>
      <c r="M483" s="23">
        <f t="shared" si="163"/>
        <v>0.52083333333333337</v>
      </c>
      <c r="N483" t="str">
        <f t="shared" si="145"/>
        <v>1 - 1</v>
      </c>
      <c r="O483" t="str">
        <f t="shared" si="146"/>
        <v>Red</v>
      </c>
      <c r="P483" t="str">
        <f t="shared" si="147"/>
        <v>Green</v>
      </c>
      <c r="Q483" t="str">
        <f t="shared" si="148"/>
        <v>Red</v>
      </c>
      <c r="R483" t="str">
        <f t="shared" si="149"/>
        <v>Green</v>
      </c>
      <c r="S483" t="str">
        <f t="shared" si="150"/>
        <v>Green</v>
      </c>
      <c r="T483" t="str">
        <f t="shared" si="151"/>
        <v>Red</v>
      </c>
      <c r="U483" t="str">
        <f t="shared" si="152"/>
        <v>Green</v>
      </c>
      <c r="V483" t="str">
        <f t="shared" si="153"/>
        <v>Red</v>
      </c>
      <c r="W483" t="str">
        <f t="shared" si="154"/>
        <v>Red</v>
      </c>
      <c r="X483" t="str">
        <f t="shared" si="155"/>
        <v>Green</v>
      </c>
      <c r="Y483" t="str">
        <f t="shared" si="156"/>
        <v>Green</v>
      </c>
      <c r="Z483" t="str">
        <f t="shared" si="157"/>
        <v>Red</v>
      </c>
      <c r="AA483" t="str">
        <f t="shared" si="158"/>
        <v>Green</v>
      </c>
      <c r="AB483" t="str">
        <f t="shared" si="159"/>
        <v>Green</v>
      </c>
      <c r="AC483" t="str">
        <f t="shared" si="160"/>
        <v>Green</v>
      </c>
      <c r="AD483" t="str">
        <f t="shared" si="161"/>
        <v>Red</v>
      </c>
    </row>
    <row r="484" spans="1:30" x14ac:dyDescent="0.25">
      <c r="A484" t="str">
        <f t="shared" si="144"/>
        <v>23/07/2026Tornion Pallo 47JS Hercules</v>
      </c>
      <c r="D484" s="2">
        <v>46226</v>
      </c>
      <c r="E484" s="3">
        <v>0.64583333333333337</v>
      </c>
      <c r="F484" t="s">
        <v>2037</v>
      </c>
      <c r="G484" t="s">
        <v>2038</v>
      </c>
      <c r="H484">
        <v>0</v>
      </c>
      <c r="I484">
        <v>0</v>
      </c>
      <c r="J484">
        <v>0</v>
      </c>
      <c r="K484">
        <v>1</v>
      </c>
      <c r="L484" s="22" t="str">
        <f t="shared" si="162"/>
        <v>23/07/2026</v>
      </c>
      <c r="M484" s="23">
        <f t="shared" si="163"/>
        <v>0.52083333333333337</v>
      </c>
      <c r="N484" t="str">
        <f t="shared" si="145"/>
        <v>0 - 1</v>
      </c>
      <c r="O484" t="str">
        <f t="shared" si="146"/>
        <v>Red</v>
      </c>
      <c r="P484" t="str">
        <f t="shared" si="147"/>
        <v>Red</v>
      </c>
      <c r="Q484" t="str">
        <f t="shared" si="148"/>
        <v>Green</v>
      </c>
      <c r="R484" t="str">
        <f t="shared" si="149"/>
        <v>Red</v>
      </c>
      <c r="S484" t="str">
        <f t="shared" si="150"/>
        <v>Green</v>
      </c>
      <c r="T484" t="str">
        <f t="shared" si="151"/>
        <v>Green</v>
      </c>
      <c r="U484" t="str">
        <f t="shared" si="152"/>
        <v>Red</v>
      </c>
      <c r="V484" t="str">
        <f t="shared" si="153"/>
        <v>Green</v>
      </c>
      <c r="W484" t="str">
        <f t="shared" si="154"/>
        <v>Red</v>
      </c>
      <c r="X484" t="str">
        <f t="shared" si="155"/>
        <v>Red</v>
      </c>
      <c r="Y484" t="str">
        <f t="shared" si="156"/>
        <v>Red</v>
      </c>
      <c r="Z484" t="str">
        <f t="shared" si="157"/>
        <v>Red</v>
      </c>
      <c r="AA484" t="str">
        <f t="shared" si="158"/>
        <v>Green</v>
      </c>
      <c r="AB484" t="str">
        <f t="shared" si="159"/>
        <v>Green</v>
      </c>
      <c r="AC484" t="str">
        <f t="shared" si="160"/>
        <v>Red</v>
      </c>
      <c r="AD484" t="str">
        <f t="shared" si="161"/>
        <v>Green</v>
      </c>
    </row>
    <row r="485" spans="1:30" x14ac:dyDescent="0.25">
      <c r="A485" t="str">
        <f t="shared" si="144"/>
        <v>23/07/2026KoPaPeKa</v>
      </c>
      <c r="D485" s="2">
        <v>46226</v>
      </c>
      <c r="E485" s="3">
        <v>0.64583333333333337</v>
      </c>
      <c r="F485" t="s">
        <v>2043</v>
      </c>
      <c r="G485" t="s">
        <v>2044</v>
      </c>
      <c r="H485">
        <v>0</v>
      </c>
      <c r="I485">
        <v>0</v>
      </c>
      <c r="J485">
        <v>2</v>
      </c>
      <c r="K485">
        <v>2</v>
      </c>
      <c r="L485" s="22" t="str">
        <f t="shared" si="162"/>
        <v>23/07/2026</v>
      </c>
      <c r="M485" s="23">
        <f t="shared" si="163"/>
        <v>0.52083333333333337</v>
      </c>
      <c r="N485" t="str">
        <f t="shared" si="145"/>
        <v>2 - 2</v>
      </c>
      <c r="O485" t="str">
        <f t="shared" si="146"/>
        <v>Red</v>
      </c>
      <c r="P485" t="str">
        <f t="shared" si="147"/>
        <v>Green</v>
      </c>
      <c r="Q485" t="str">
        <f t="shared" si="148"/>
        <v>Red</v>
      </c>
      <c r="R485" t="str">
        <f t="shared" si="149"/>
        <v>Green</v>
      </c>
      <c r="S485" t="str">
        <f t="shared" si="150"/>
        <v>Green</v>
      </c>
      <c r="T485" t="str">
        <f t="shared" si="151"/>
        <v>Red</v>
      </c>
      <c r="U485" t="str">
        <f t="shared" si="152"/>
        <v>Red</v>
      </c>
      <c r="V485" t="str">
        <f t="shared" si="153"/>
        <v>Green</v>
      </c>
      <c r="W485" t="str">
        <f t="shared" si="154"/>
        <v>Red</v>
      </c>
      <c r="X485" t="str">
        <f t="shared" si="155"/>
        <v>Red</v>
      </c>
      <c r="Y485" t="str">
        <f t="shared" si="156"/>
        <v>Green</v>
      </c>
      <c r="Z485" t="str">
        <f t="shared" si="157"/>
        <v>Green</v>
      </c>
      <c r="AA485" t="str">
        <f t="shared" si="158"/>
        <v>Red</v>
      </c>
      <c r="AB485" t="str">
        <f t="shared" si="159"/>
        <v>Red</v>
      </c>
      <c r="AC485" t="str">
        <f t="shared" si="160"/>
        <v>Green</v>
      </c>
      <c r="AD485" t="str">
        <f t="shared" si="161"/>
        <v>Red</v>
      </c>
    </row>
    <row r="486" spans="1:30" x14ac:dyDescent="0.25">
      <c r="A486" t="str">
        <f t="shared" si="144"/>
        <v>23/07/2026VG-62Abo CF</v>
      </c>
      <c r="D486" s="2">
        <v>46226</v>
      </c>
      <c r="E486" s="3">
        <v>0.64583333333333337</v>
      </c>
      <c r="F486" t="s">
        <v>2045</v>
      </c>
      <c r="G486" t="s">
        <v>2046</v>
      </c>
      <c r="H486">
        <v>0</v>
      </c>
      <c r="I486">
        <v>0</v>
      </c>
      <c r="J486">
        <v>3</v>
      </c>
      <c r="K486">
        <v>0</v>
      </c>
      <c r="L486" s="22" t="str">
        <f t="shared" si="162"/>
        <v>23/07/2026</v>
      </c>
      <c r="M486" s="23">
        <f t="shared" si="163"/>
        <v>0.52083333333333337</v>
      </c>
      <c r="N486" t="str">
        <f t="shared" si="145"/>
        <v>3 - 0</v>
      </c>
      <c r="O486" t="str">
        <f t="shared" si="146"/>
        <v>Green</v>
      </c>
      <c r="P486" t="str">
        <f t="shared" si="147"/>
        <v>Red</v>
      </c>
      <c r="Q486" t="str">
        <f t="shared" si="148"/>
        <v>Red</v>
      </c>
      <c r="R486" t="str">
        <f t="shared" si="149"/>
        <v>Green</v>
      </c>
      <c r="S486" t="str">
        <f t="shared" si="150"/>
        <v>Red</v>
      </c>
      <c r="T486" t="str">
        <f t="shared" si="151"/>
        <v>Green</v>
      </c>
      <c r="U486" t="str">
        <f t="shared" si="152"/>
        <v>Red</v>
      </c>
      <c r="V486" t="str">
        <f t="shared" si="153"/>
        <v>Green</v>
      </c>
      <c r="W486" t="str">
        <f t="shared" si="154"/>
        <v>Red</v>
      </c>
      <c r="X486" t="str">
        <f t="shared" si="155"/>
        <v>Red</v>
      </c>
      <c r="Y486" t="str">
        <f t="shared" si="156"/>
        <v>Green</v>
      </c>
      <c r="Z486" t="str">
        <f t="shared" si="157"/>
        <v>Green</v>
      </c>
      <c r="AA486" t="str">
        <f t="shared" si="158"/>
        <v>Red</v>
      </c>
      <c r="AB486" t="str">
        <f t="shared" si="159"/>
        <v>Green</v>
      </c>
      <c r="AC486" t="str">
        <f t="shared" si="160"/>
        <v>Red</v>
      </c>
      <c r="AD486" t="str">
        <f t="shared" si="161"/>
        <v>Green</v>
      </c>
    </row>
    <row r="487" spans="1:30" x14ac:dyDescent="0.25">
      <c r="A487" t="str">
        <f t="shared" si="144"/>
        <v>23/07/2026Venezia FCVis Pesaro</v>
      </c>
      <c r="D487" s="2">
        <v>46226</v>
      </c>
      <c r="E487" s="3">
        <v>0.64583333333333337</v>
      </c>
      <c r="F487" t="s">
        <v>2104</v>
      </c>
      <c r="G487" t="s">
        <v>2105</v>
      </c>
      <c r="H487">
        <v>3</v>
      </c>
      <c r="I487">
        <v>0</v>
      </c>
      <c r="J487">
        <v>8</v>
      </c>
      <c r="K487">
        <v>0</v>
      </c>
      <c r="L487" s="22" t="str">
        <f t="shared" si="162"/>
        <v>23/07/2026</v>
      </c>
      <c r="M487" s="23">
        <f t="shared" si="163"/>
        <v>0.52083333333333337</v>
      </c>
      <c r="N487" t="str">
        <f t="shared" si="145"/>
        <v>8 - 0</v>
      </c>
      <c r="O487" t="str">
        <f t="shared" si="146"/>
        <v>Green</v>
      </c>
      <c r="P487" t="str">
        <f t="shared" si="147"/>
        <v>Red</v>
      </c>
      <c r="Q487" t="str">
        <f t="shared" si="148"/>
        <v>Red</v>
      </c>
      <c r="R487" t="str">
        <f t="shared" si="149"/>
        <v>Green</v>
      </c>
      <c r="S487" t="str">
        <f t="shared" si="150"/>
        <v>Red</v>
      </c>
      <c r="T487" t="str">
        <f t="shared" si="151"/>
        <v>Green</v>
      </c>
      <c r="U487" t="str">
        <f t="shared" si="152"/>
        <v>Green</v>
      </c>
      <c r="V487" t="str">
        <f t="shared" si="153"/>
        <v>Red</v>
      </c>
      <c r="W487" t="str">
        <f t="shared" si="154"/>
        <v>Red</v>
      </c>
      <c r="X487" t="str">
        <f t="shared" si="155"/>
        <v>Green</v>
      </c>
      <c r="Y487" t="str">
        <f t="shared" si="156"/>
        <v>Green</v>
      </c>
      <c r="Z487" t="str">
        <f t="shared" si="157"/>
        <v>Green</v>
      </c>
      <c r="AA487" t="str">
        <f t="shared" si="158"/>
        <v>Red</v>
      </c>
      <c r="AB487" t="str">
        <f t="shared" si="159"/>
        <v>Red</v>
      </c>
      <c r="AC487" t="str">
        <f t="shared" si="160"/>
        <v>Red</v>
      </c>
      <c r="AD487" t="str">
        <f t="shared" si="161"/>
        <v>Green</v>
      </c>
    </row>
    <row r="488" spans="1:30" x14ac:dyDescent="0.25">
      <c r="A488" t="str">
        <f t="shared" si="144"/>
        <v>23/07/2026Qarabag FKCSKA</v>
      </c>
      <c r="B488" t="s">
        <v>820</v>
      </c>
      <c r="C488" t="s">
        <v>1907</v>
      </c>
      <c r="D488" s="2">
        <v>46226</v>
      </c>
      <c r="E488" s="3">
        <v>0.66666666666666663</v>
      </c>
      <c r="F488" t="s">
        <v>1910</v>
      </c>
      <c r="G488" t="s">
        <v>305</v>
      </c>
      <c r="H488">
        <v>0</v>
      </c>
      <c r="I488">
        <v>0</v>
      </c>
      <c r="J488">
        <v>0</v>
      </c>
      <c r="K488">
        <v>0</v>
      </c>
      <c r="L488" s="22" t="str">
        <f t="shared" si="162"/>
        <v>23/07/2026</v>
      </c>
      <c r="M488" s="23">
        <f t="shared" si="163"/>
        <v>0.54166666666666663</v>
      </c>
      <c r="N488" t="str">
        <f t="shared" si="145"/>
        <v>0 - 0</v>
      </c>
      <c r="O488" t="str">
        <f t="shared" si="146"/>
        <v>Red</v>
      </c>
      <c r="P488" t="str">
        <f t="shared" si="147"/>
        <v>Green</v>
      </c>
      <c r="Q488" t="str">
        <f t="shared" si="148"/>
        <v>Red</v>
      </c>
      <c r="R488" t="str">
        <f t="shared" si="149"/>
        <v>Green</v>
      </c>
      <c r="S488" t="str">
        <f t="shared" si="150"/>
        <v>Green</v>
      </c>
      <c r="T488" t="str">
        <f t="shared" si="151"/>
        <v>Red</v>
      </c>
      <c r="U488" t="str">
        <f t="shared" si="152"/>
        <v>Red</v>
      </c>
      <c r="V488" t="str">
        <f t="shared" si="153"/>
        <v>Green</v>
      </c>
      <c r="W488" t="str">
        <f t="shared" si="154"/>
        <v>Red</v>
      </c>
      <c r="X488" t="str">
        <f t="shared" si="155"/>
        <v>Red</v>
      </c>
      <c r="Y488" t="str">
        <f t="shared" si="156"/>
        <v>Red</v>
      </c>
      <c r="Z488" t="str">
        <f t="shared" si="157"/>
        <v>Red</v>
      </c>
      <c r="AA488" t="str">
        <f t="shared" si="158"/>
        <v>Green</v>
      </c>
      <c r="AB488" t="str">
        <f t="shared" si="159"/>
        <v>Green</v>
      </c>
      <c r="AC488" t="str">
        <f t="shared" si="160"/>
        <v>Red</v>
      </c>
      <c r="AD488" t="str">
        <f t="shared" si="161"/>
        <v>Green</v>
      </c>
    </row>
    <row r="489" spans="1:30" x14ac:dyDescent="0.25">
      <c r="A489" t="str">
        <f t="shared" si="144"/>
        <v>23/07/2026Debreceni VSCPyunik Yerevan</v>
      </c>
      <c r="B489" t="s">
        <v>820</v>
      </c>
      <c r="C489" t="s">
        <v>1344</v>
      </c>
      <c r="D489" s="2">
        <v>46226</v>
      </c>
      <c r="E489" s="3">
        <v>0.66666666666666663</v>
      </c>
      <c r="F489" t="s">
        <v>1107</v>
      </c>
      <c r="G489" t="s">
        <v>1932</v>
      </c>
      <c r="H489">
        <v>0</v>
      </c>
      <c r="I489">
        <v>0</v>
      </c>
      <c r="J489">
        <v>1</v>
      </c>
      <c r="K489">
        <v>0</v>
      </c>
      <c r="L489" s="22" t="str">
        <f t="shared" si="162"/>
        <v>23/07/2026</v>
      </c>
      <c r="M489" s="23">
        <f t="shared" si="163"/>
        <v>0.54166666666666663</v>
      </c>
      <c r="N489" t="str">
        <f t="shared" si="145"/>
        <v>1 - 0</v>
      </c>
      <c r="O489" t="str">
        <f t="shared" si="146"/>
        <v>Green</v>
      </c>
      <c r="P489" t="str">
        <f t="shared" si="147"/>
        <v>Red</v>
      </c>
      <c r="Q489" t="str">
        <f t="shared" si="148"/>
        <v>Red</v>
      </c>
      <c r="R489" t="str">
        <f t="shared" si="149"/>
        <v>Green</v>
      </c>
      <c r="S489" t="str">
        <f t="shared" si="150"/>
        <v>Red</v>
      </c>
      <c r="T489" t="str">
        <f t="shared" si="151"/>
        <v>Green</v>
      </c>
      <c r="U489" t="str">
        <f t="shared" si="152"/>
        <v>Red</v>
      </c>
      <c r="V489" t="str">
        <f t="shared" si="153"/>
        <v>Green</v>
      </c>
      <c r="W489" t="str">
        <f t="shared" si="154"/>
        <v>Red</v>
      </c>
      <c r="X489" t="str">
        <f t="shared" si="155"/>
        <v>Red</v>
      </c>
      <c r="Y489" t="str">
        <f t="shared" si="156"/>
        <v>Red</v>
      </c>
      <c r="Z489" t="str">
        <f t="shared" si="157"/>
        <v>Red</v>
      </c>
      <c r="AA489" t="str">
        <f t="shared" si="158"/>
        <v>Green</v>
      </c>
      <c r="AB489" t="str">
        <f t="shared" si="159"/>
        <v>Green</v>
      </c>
      <c r="AC489" t="str">
        <f t="shared" si="160"/>
        <v>Red</v>
      </c>
      <c r="AD489" t="str">
        <f t="shared" si="161"/>
        <v>Green</v>
      </c>
    </row>
    <row r="490" spans="1:30" x14ac:dyDescent="0.25">
      <c r="A490" t="str">
        <f t="shared" si="144"/>
        <v>23/07/2026Dila GoriApollon Limassol</v>
      </c>
      <c r="B490" t="s">
        <v>820</v>
      </c>
      <c r="C490" t="s">
        <v>1344</v>
      </c>
      <c r="D490" s="2">
        <v>46226</v>
      </c>
      <c r="E490" s="3">
        <v>0.66666666666666663</v>
      </c>
      <c r="F490" t="s">
        <v>1933</v>
      </c>
      <c r="G490" t="s">
        <v>1934</v>
      </c>
      <c r="H490">
        <v>0</v>
      </c>
      <c r="I490">
        <v>2</v>
      </c>
      <c r="J490">
        <v>0</v>
      </c>
      <c r="K490">
        <v>4</v>
      </c>
      <c r="L490" s="22" t="str">
        <f t="shared" si="162"/>
        <v>23/07/2026</v>
      </c>
      <c r="M490" s="23">
        <f t="shared" si="163"/>
        <v>0.54166666666666663</v>
      </c>
      <c r="N490" t="str">
        <f t="shared" si="145"/>
        <v>0 - 4</v>
      </c>
      <c r="O490" t="str">
        <f t="shared" si="146"/>
        <v>Red</v>
      </c>
      <c r="P490" t="str">
        <f t="shared" si="147"/>
        <v>Red</v>
      </c>
      <c r="Q490" t="str">
        <f t="shared" si="148"/>
        <v>Green</v>
      </c>
      <c r="R490" t="str">
        <f t="shared" si="149"/>
        <v>Red</v>
      </c>
      <c r="S490" t="str">
        <f t="shared" si="150"/>
        <v>Green</v>
      </c>
      <c r="T490" t="str">
        <f t="shared" si="151"/>
        <v>Green</v>
      </c>
      <c r="U490" t="str">
        <f t="shared" si="152"/>
        <v>Red</v>
      </c>
      <c r="V490" t="str">
        <f t="shared" si="153"/>
        <v>Red</v>
      </c>
      <c r="W490" t="str">
        <f t="shared" si="154"/>
        <v>Green</v>
      </c>
      <c r="X490" t="str">
        <f t="shared" si="155"/>
        <v>Green</v>
      </c>
      <c r="Y490" t="str">
        <f t="shared" si="156"/>
        <v>Green</v>
      </c>
      <c r="Z490" t="str">
        <f t="shared" si="157"/>
        <v>Green</v>
      </c>
      <c r="AA490" t="str">
        <f t="shared" si="158"/>
        <v>Red</v>
      </c>
      <c r="AB490" t="str">
        <f t="shared" si="159"/>
        <v>Red</v>
      </c>
      <c r="AC490" t="str">
        <f t="shared" si="160"/>
        <v>Red</v>
      </c>
      <c r="AD490" t="str">
        <f t="shared" si="161"/>
        <v>Green</v>
      </c>
    </row>
    <row r="491" spans="1:30" x14ac:dyDescent="0.25">
      <c r="A491" t="str">
        <f t="shared" si="144"/>
        <v>23/07/2026Flora TallinnThe New Saints</v>
      </c>
      <c r="B491" t="s">
        <v>820</v>
      </c>
      <c r="C491" t="s">
        <v>1344</v>
      </c>
      <c r="D491" s="2">
        <v>46226</v>
      </c>
      <c r="E491" s="3">
        <v>0.66666666666666663</v>
      </c>
      <c r="F491" t="s">
        <v>1935</v>
      </c>
      <c r="G491" t="s">
        <v>1936</v>
      </c>
      <c r="H491">
        <v>1</v>
      </c>
      <c r="I491">
        <v>0</v>
      </c>
      <c r="J491">
        <v>1</v>
      </c>
      <c r="K491">
        <v>0</v>
      </c>
      <c r="L491" s="22" t="str">
        <f t="shared" si="162"/>
        <v>23/07/2026</v>
      </c>
      <c r="M491" s="23">
        <f t="shared" si="163"/>
        <v>0.54166666666666663</v>
      </c>
      <c r="N491" t="str">
        <f t="shared" si="145"/>
        <v>1 - 0</v>
      </c>
      <c r="O491" t="str">
        <f t="shared" si="146"/>
        <v>Green</v>
      </c>
      <c r="P491" t="str">
        <f t="shared" si="147"/>
        <v>Red</v>
      </c>
      <c r="Q491" t="str">
        <f t="shared" si="148"/>
        <v>Red</v>
      </c>
      <c r="R491" t="str">
        <f t="shared" si="149"/>
        <v>Green</v>
      </c>
      <c r="S491" t="str">
        <f t="shared" si="150"/>
        <v>Red</v>
      </c>
      <c r="T491" t="str">
        <f t="shared" si="151"/>
        <v>Green</v>
      </c>
      <c r="U491" t="str">
        <f t="shared" si="152"/>
        <v>Green</v>
      </c>
      <c r="V491" t="str">
        <f t="shared" si="153"/>
        <v>Red</v>
      </c>
      <c r="W491" t="str">
        <f t="shared" si="154"/>
        <v>Red</v>
      </c>
      <c r="X491" t="str">
        <f t="shared" si="155"/>
        <v>Green</v>
      </c>
      <c r="Y491" t="str">
        <f t="shared" si="156"/>
        <v>Red</v>
      </c>
      <c r="Z491" t="str">
        <f t="shared" si="157"/>
        <v>Red</v>
      </c>
      <c r="AA491" t="str">
        <f t="shared" si="158"/>
        <v>Green</v>
      </c>
      <c r="AB491" t="str">
        <f t="shared" si="159"/>
        <v>Green</v>
      </c>
      <c r="AC491" t="str">
        <f t="shared" si="160"/>
        <v>Red</v>
      </c>
      <c r="AD491" t="str">
        <f t="shared" si="161"/>
        <v>Green</v>
      </c>
    </row>
    <row r="492" spans="1:30" x14ac:dyDescent="0.25">
      <c r="A492" t="str">
        <f t="shared" si="144"/>
        <v>23/07/2026HJK HelsinkiColeraine</v>
      </c>
      <c r="B492" t="s">
        <v>820</v>
      </c>
      <c r="C492" t="s">
        <v>1344</v>
      </c>
      <c r="D492" s="2">
        <v>46226</v>
      </c>
      <c r="E492" s="3">
        <v>0.66666666666666663</v>
      </c>
      <c r="F492" t="s">
        <v>1054</v>
      </c>
      <c r="G492" t="s">
        <v>1937</v>
      </c>
      <c r="H492">
        <v>2</v>
      </c>
      <c r="I492">
        <v>0</v>
      </c>
      <c r="J492">
        <v>5</v>
      </c>
      <c r="K492">
        <v>0</v>
      </c>
      <c r="L492" s="22" t="str">
        <f t="shared" si="162"/>
        <v>23/07/2026</v>
      </c>
      <c r="M492" s="23">
        <f t="shared" si="163"/>
        <v>0.54166666666666663</v>
      </c>
      <c r="N492" t="str">
        <f t="shared" si="145"/>
        <v>5 - 0</v>
      </c>
      <c r="O492" t="str">
        <f t="shared" si="146"/>
        <v>Green</v>
      </c>
      <c r="P492" t="str">
        <f t="shared" si="147"/>
        <v>Red</v>
      </c>
      <c r="Q492" t="str">
        <f t="shared" si="148"/>
        <v>Red</v>
      </c>
      <c r="R492" t="str">
        <f t="shared" si="149"/>
        <v>Green</v>
      </c>
      <c r="S492" t="str">
        <f t="shared" si="150"/>
        <v>Red</v>
      </c>
      <c r="T492" t="str">
        <f t="shared" si="151"/>
        <v>Green</v>
      </c>
      <c r="U492" t="str">
        <f t="shared" si="152"/>
        <v>Green</v>
      </c>
      <c r="V492" t="str">
        <f t="shared" si="153"/>
        <v>Red</v>
      </c>
      <c r="W492" t="str">
        <f t="shared" si="154"/>
        <v>Red</v>
      </c>
      <c r="X492" t="str">
        <f t="shared" si="155"/>
        <v>Green</v>
      </c>
      <c r="Y492" t="str">
        <f t="shared" si="156"/>
        <v>Green</v>
      </c>
      <c r="Z492" t="str">
        <f t="shared" si="157"/>
        <v>Green</v>
      </c>
      <c r="AA492" t="str">
        <f t="shared" si="158"/>
        <v>Red</v>
      </c>
      <c r="AB492" t="str">
        <f t="shared" si="159"/>
        <v>Red</v>
      </c>
      <c r="AC492" t="str">
        <f t="shared" si="160"/>
        <v>Red</v>
      </c>
      <c r="AD492" t="str">
        <f t="shared" si="161"/>
        <v>Green</v>
      </c>
    </row>
    <row r="493" spans="1:30" x14ac:dyDescent="0.25">
      <c r="A493" t="str">
        <f t="shared" si="144"/>
        <v>23/07/2026Paide LinnameeskondZira IK</v>
      </c>
      <c r="B493" t="s">
        <v>820</v>
      </c>
      <c r="C493" t="s">
        <v>1344</v>
      </c>
      <c r="D493" s="2">
        <v>46226</v>
      </c>
      <c r="E493" s="3">
        <v>0.66666666666666663</v>
      </c>
      <c r="F493" t="s">
        <v>1938</v>
      </c>
      <c r="G493" t="s">
        <v>1939</v>
      </c>
      <c r="H493">
        <v>0</v>
      </c>
      <c r="I493">
        <v>0</v>
      </c>
      <c r="J493">
        <v>1</v>
      </c>
      <c r="K493">
        <v>0</v>
      </c>
      <c r="L493" s="22" t="str">
        <f t="shared" si="162"/>
        <v>23/07/2026</v>
      </c>
      <c r="M493" s="23">
        <f t="shared" si="163"/>
        <v>0.54166666666666663</v>
      </c>
      <c r="N493" t="str">
        <f t="shared" si="145"/>
        <v>1 - 0</v>
      </c>
      <c r="O493" t="str">
        <f t="shared" si="146"/>
        <v>Green</v>
      </c>
      <c r="P493" t="str">
        <f t="shared" si="147"/>
        <v>Red</v>
      </c>
      <c r="Q493" t="str">
        <f t="shared" si="148"/>
        <v>Red</v>
      </c>
      <c r="R493" t="str">
        <f t="shared" si="149"/>
        <v>Green</v>
      </c>
      <c r="S493" t="str">
        <f t="shared" si="150"/>
        <v>Red</v>
      </c>
      <c r="T493" t="str">
        <f t="shared" si="151"/>
        <v>Green</v>
      </c>
      <c r="U493" t="str">
        <f t="shared" si="152"/>
        <v>Red</v>
      </c>
      <c r="V493" t="str">
        <f t="shared" si="153"/>
        <v>Green</v>
      </c>
      <c r="W493" t="str">
        <f t="shared" si="154"/>
        <v>Red</v>
      </c>
      <c r="X493" t="str">
        <f t="shared" si="155"/>
        <v>Red</v>
      </c>
      <c r="Y493" t="str">
        <f t="shared" si="156"/>
        <v>Red</v>
      </c>
      <c r="Z493" t="str">
        <f t="shared" si="157"/>
        <v>Red</v>
      </c>
      <c r="AA493" t="str">
        <f t="shared" si="158"/>
        <v>Green</v>
      </c>
      <c r="AB493" t="str">
        <f t="shared" si="159"/>
        <v>Green</v>
      </c>
      <c r="AC493" t="str">
        <f t="shared" si="160"/>
        <v>Red</v>
      </c>
      <c r="AD493" t="str">
        <f t="shared" si="161"/>
        <v>Green</v>
      </c>
    </row>
    <row r="494" spans="1:30" x14ac:dyDescent="0.25">
      <c r="A494" t="str">
        <f t="shared" si="144"/>
        <v>23/07/2026FC Helios TartuFC Soccernet Tallinn</v>
      </c>
      <c r="D494" s="2">
        <v>46226</v>
      </c>
      <c r="E494" s="3">
        <v>0.66666666666666663</v>
      </c>
      <c r="F494" t="s">
        <v>2021</v>
      </c>
      <c r="G494" t="s">
        <v>2022</v>
      </c>
      <c r="H494">
        <v>0</v>
      </c>
      <c r="I494">
        <v>0</v>
      </c>
      <c r="J494">
        <v>0</v>
      </c>
      <c r="K494">
        <v>0</v>
      </c>
      <c r="L494" s="22" t="str">
        <f t="shared" si="162"/>
        <v>23/07/2026</v>
      </c>
      <c r="M494" s="23">
        <f t="shared" si="163"/>
        <v>0.54166666666666663</v>
      </c>
      <c r="N494" t="str">
        <f t="shared" si="145"/>
        <v>0 - 0</v>
      </c>
      <c r="O494" t="str">
        <f t="shared" si="146"/>
        <v>Red</v>
      </c>
      <c r="P494" t="str">
        <f t="shared" si="147"/>
        <v>Green</v>
      </c>
      <c r="Q494" t="str">
        <f t="shared" si="148"/>
        <v>Red</v>
      </c>
      <c r="R494" t="str">
        <f t="shared" si="149"/>
        <v>Green</v>
      </c>
      <c r="S494" t="str">
        <f t="shared" si="150"/>
        <v>Green</v>
      </c>
      <c r="T494" t="str">
        <f t="shared" si="151"/>
        <v>Red</v>
      </c>
      <c r="U494" t="str">
        <f t="shared" si="152"/>
        <v>Red</v>
      </c>
      <c r="V494" t="str">
        <f t="shared" si="153"/>
        <v>Green</v>
      </c>
      <c r="W494" t="str">
        <f t="shared" si="154"/>
        <v>Red</v>
      </c>
      <c r="X494" t="str">
        <f t="shared" si="155"/>
        <v>Red</v>
      </c>
      <c r="Y494" t="str">
        <f t="shared" si="156"/>
        <v>Red</v>
      </c>
      <c r="Z494" t="str">
        <f t="shared" si="157"/>
        <v>Red</v>
      </c>
      <c r="AA494" t="str">
        <f t="shared" si="158"/>
        <v>Green</v>
      </c>
      <c r="AB494" t="str">
        <f t="shared" si="159"/>
        <v>Green</v>
      </c>
      <c r="AC494" t="str">
        <f t="shared" si="160"/>
        <v>Red</v>
      </c>
      <c r="AD494" t="str">
        <f t="shared" si="161"/>
        <v>Green</v>
      </c>
    </row>
    <row r="495" spans="1:30" x14ac:dyDescent="0.25">
      <c r="A495" t="str">
        <f t="shared" si="144"/>
        <v>23/07/2026Harju JalgpallikoolRae Spordikool</v>
      </c>
      <c r="D495" s="2">
        <v>46226</v>
      </c>
      <c r="E495" s="3">
        <v>0.66666666666666663</v>
      </c>
      <c r="F495" t="s">
        <v>2023</v>
      </c>
      <c r="G495" t="s">
        <v>2024</v>
      </c>
      <c r="H495">
        <v>2</v>
      </c>
      <c r="I495">
        <v>0</v>
      </c>
      <c r="J495">
        <v>8</v>
      </c>
      <c r="K495">
        <v>0</v>
      </c>
      <c r="L495" s="22" t="str">
        <f t="shared" si="162"/>
        <v>23/07/2026</v>
      </c>
      <c r="M495" s="23">
        <f t="shared" si="163"/>
        <v>0.54166666666666663</v>
      </c>
      <c r="N495" t="str">
        <f t="shared" si="145"/>
        <v>8 - 0</v>
      </c>
      <c r="O495" t="str">
        <f t="shared" si="146"/>
        <v>Green</v>
      </c>
      <c r="P495" t="str">
        <f t="shared" si="147"/>
        <v>Red</v>
      </c>
      <c r="Q495" t="str">
        <f t="shared" si="148"/>
        <v>Red</v>
      </c>
      <c r="R495" t="str">
        <f t="shared" si="149"/>
        <v>Green</v>
      </c>
      <c r="S495" t="str">
        <f t="shared" si="150"/>
        <v>Red</v>
      </c>
      <c r="T495" t="str">
        <f t="shared" si="151"/>
        <v>Green</v>
      </c>
      <c r="U495" t="str">
        <f t="shared" si="152"/>
        <v>Green</v>
      </c>
      <c r="V495" t="str">
        <f t="shared" si="153"/>
        <v>Red</v>
      </c>
      <c r="W495" t="str">
        <f t="shared" si="154"/>
        <v>Red</v>
      </c>
      <c r="X495" t="str">
        <f t="shared" si="155"/>
        <v>Green</v>
      </c>
      <c r="Y495" t="str">
        <f t="shared" si="156"/>
        <v>Green</v>
      </c>
      <c r="Z495" t="str">
        <f t="shared" si="157"/>
        <v>Green</v>
      </c>
      <c r="AA495" t="str">
        <f t="shared" si="158"/>
        <v>Red</v>
      </c>
      <c r="AB495" t="str">
        <f t="shared" si="159"/>
        <v>Red</v>
      </c>
      <c r="AC495" t="str">
        <f t="shared" si="160"/>
        <v>Red</v>
      </c>
      <c r="AD495" t="str">
        <f t="shared" si="161"/>
        <v>Green</v>
      </c>
    </row>
    <row r="496" spans="1:30" x14ac:dyDescent="0.25">
      <c r="A496" t="str">
        <f t="shared" si="144"/>
        <v>23/07/2026JK Nomme UnitedRaplamaa JK</v>
      </c>
      <c r="D496" s="2">
        <v>46226</v>
      </c>
      <c r="E496" s="3">
        <v>0.66666666666666663</v>
      </c>
      <c r="F496" t="s">
        <v>2025</v>
      </c>
      <c r="G496" t="s">
        <v>2026</v>
      </c>
      <c r="H496">
        <v>6</v>
      </c>
      <c r="I496">
        <v>0</v>
      </c>
      <c r="J496">
        <v>12</v>
      </c>
      <c r="K496">
        <v>0</v>
      </c>
      <c r="L496" s="22" t="str">
        <f t="shared" si="162"/>
        <v>23/07/2026</v>
      </c>
      <c r="M496" s="23">
        <f t="shared" si="163"/>
        <v>0.54166666666666663</v>
      </c>
      <c r="N496" t="str">
        <f t="shared" si="145"/>
        <v>12 - 0</v>
      </c>
      <c r="O496" t="str">
        <f t="shared" si="146"/>
        <v>Green</v>
      </c>
      <c r="P496" t="str">
        <f t="shared" si="147"/>
        <v>Red</v>
      </c>
      <c r="Q496" t="str">
        <f t="shared" si="148"/>
        <v>Red</v>
      </c>
      <c r="R496" t="str">
        <f t="shared" si="149"/>
        <v>Green</v>
      </c>
      <c r="S496" t="str">
        <f t="shared" si="150"/>
        <v>Red</v>
      </c>
      <c r="T496" t="str">
        <f t="shared" si="151"/>
        <v>Green</v>
      </c>
      <c r="U496" t="str">
        <f t="shared" si="152"/>
        <v>Green</v>
      </c>
      <c r="V496" t="str">
        <f t="shared" si="153"/>
        <v>Red</v>
      </c>
      <c r="W496" t="str">
        <f t="shared" si="154"/>
        <v>Red</v>
      </c>
      <c r="X496" t="str">
        <f t="shared" si="155"/>
        <v>Green</v>
      </c>
      <c r="Y496" t="str">
        <f t="shared" si="156"/>
        <v>Green</v>
      </c>
      <c r="Z496" t="str">
        <f t="shared" si="157"/>
        <v>Green</v>
      </c>
      <c r="AA496" t="str">
        <f t="shared" si="158"/>
        <v>Red</v>
      </c>
      <c r="AB496" t="str">
        <f t="shared" si="159"/>
        <v>Red</v>
      </c>
      <c r="AC496" t="str">
        <f t="shared" si="160"/>
        <v>Red</v>
      </c>
      <c r="AD496" t="str">
        <f t="shared" si="161"/>
        <v>Green</v>
      </c>
    </row>
    <row r="497" spans="1:30" x14ac:dyDescent="0.25">
      <c r="A497" t="str">
        <f t="shared" si="144"/>
        <v>23/07/2026JK PoseidonTeam Helm</v>
      </c>
      <c r="D497" s="2">
        <v>46226</v>
      </c>
      <c r="E497" s="3">
        <v>0.66666666666666663</v>
      </c>
      <c r="F497" t="s">
        <v>2027</v>
      </c>
      <c r="G497" t="s">
        <v>2028</v>
      </c>
      <c r="H497">
        <v>1</v>
      </c>
      <c r="I497">
        <v>1</v>
      </c>
      <c r="J497">
        <v>2</v>
      </c>
      <c r="K497">
        <v>2</v>
      </c>
      <c r="L497" s="22" t="str">
        <f t="shared" si="162"/>
        <v>23/07/2026</v>
      </c>
      <c r="M497" s="23">
        <f t="shared" si="163"/>
        <v>0.54166666666666663</v>
      </c>
      <c r="N497" t="str">
        <f t="shared" si="145"/>
        <v>2 - 2</v>
      </c>
      <c r="O497" t="str">
        <f t="shared" si="146"/>
        <v>Red</v>
      </c>
      <c r="P497" t="str">
        <f t="shared" si="147"/>
        <v>Green</v>
      </c>
      <c r="Q497" t="str">
        <f t="shared" si="148"/>
        <v>Red</v>
      </c>
      <c r="R497" t="str">
        <f t="shared" si="149"/>
        <v>Green</v>
      </c>
      <c r="S497" t="str">
        <f t="shared" si="150"/>
        <v>Green</v>
      </c>
      <c r="T497" t="str">
        <f t="shared" si="151"/>
        <v>Red</v>
      </c>
      <c r="U497" t="str">
        <f t="shared" si="152"/>
        <v>Red</v>
      </c>
      <c r="V497" t="str">
        <f t="shared" si="153"/>
        <v>Green</v>
      </c>
      <c r="W497" t="str">
        <f t="shared" si="154"/>
        <v>Red</v>
      </c>
      <c r="X497" t="str">
        <f t="shared" si="155"/>
        <v>Green</v>
      </c>
      <c r="Y497" t="str">
        <f t="shared" si="156"/>
        <v>Green</v>
      </c>
      <c r="Z497" t="str">
        <f t="shared" si="157"/>
        <v>Green</v>
      </c>
      <c r="AA497" t="str">
        <f t="shared" si="158"/>
        <v>Red</v>
      </c>
      <c r="AB497" t="str">
        <f t="shared" si="159"/>
        <v>Red</v>
      </c>
      <c r="AC497" t="str">
        <f t="shared" si="160"/>
        <v>Green</v>
      </c>
      <c r="AD497" t="str">
        <f t="shared" si="161"/>
        <v>Red</v>
      </c>
    </row>
    <row r="498" spans="1:30" x14ac:dyDescent="0.25">
      <c r="A498" t="str">
        <f t="shared" si="144"/>
        <v>23/07/2026KuressaareTartu JK Welco X</v>
      </c>
      <c r="D498" s="2">
        <v>46226</v>
      </c>
      <c r="E498" s="3">
        <v>0.66666666666666663</v>
      </c>
      <c r="F498" t="s">
        <v>2029</v>
      </c>
      <c r="G498" t="s">
        <v>2030</v>
      </c>
      <c r="H498">
        <v>3</v>
      </c>
      <c r="I498">
        <v>1</v>
      </c>
      <c r="J498">
        <v>5</v>
      </c>
      <c r="K498">
        <v>1</v>
      </c>
      <c r="L498" s="22" t="str">
        <f t="shared" si="162"/>
        <v>23/07/2026</v>
      </c>
      <c r="M498" s="23">
        <f t="shared" si="163"/>
        <v>0.54166666666666663</v>
      </c>
      <c r="N498" t="str">
        <f t="shared" si="145"/>
        <v>5 - 1</v>
      </c>
      <c r="O498" t="str">
        <f t="shared" si="146"/>
        <v>Green</v>
      </c>
      <c r="P498" t="str">
        <f t="shared" si="147"/>
        <v>Red</v>
      </c>
      <c r="Q498" t="str">
        <f t="shared" si="148"/>
        <v>Red</v>
      </c>
      <c r="R498" t="str">
        <f t="shared" si="149"/>
        <v>Green</v>
      </c>
      <c r="S498" t="str">
        <f t="shared" si="150"/>
        <v>Red</v>
      </c>
      <c r="T498" t="str">
        <f t="shared" si="151"/>
        <v>Green</v>
      </c>
      <c r="U498" t="str">
        <f t="shared" si="152"/>
        <v>Green</v>
      </c>
      <c r="V498" t="str">
        <f t="shared" si="153"/>
        <v>Red</v>
      </c>
      <c r="W498" t="str">
        <f t="shared" si="154"/>
        <v>Red</v>
      </c>
      <c r="X498" t="str">
        <f t="shared" si="155"/>
        <v>Green</v>
      </c>
      <c r="Y498" t="str">
        <f t="shared" si="156"/>
        <v>Green</v>
      </c>
      <c r="Z498" t="str">
        <f t="shared" si="157"/>
        <v>Green</v>
      </c>
      <c r="AA498" t="str">
        <f t="shared" si="158"/>
        <v>Red</v>
      </c>
      <c r="AB498" t="str">
        <f t="shared" si="159"/>
        <v>Red</v>
      </c>
      <c r="AC498" t="str">
        <f t="shared" si="160"/>
        <v>Green</v>
      </c>
      <c r="AD498" t="str">
        <f t="shared" si="161"/>
        <v>Red</v>
      </c>
    </row>
    <row r="499" spans="1:30" x14ac:dyDescent="0.25">
      <c r="A499" t="str">
        <f t="shared" si="144"/>
        <v>23/07/2026Rumori Calcio IIJk Welco Elekter</v>
      </c>
      <c r="D499" s="2">
        <v>46226</v>
      </c>
      <c r="E499" s="3">
        <v>0.66666666666666663</v>
      </c>
      <c r="F499" t="s">
        <v>2031</v>
      </c>
      <c r="G499" t="s">
        <v>2032</v>
      </c>
      <c r="H499">
        <v>0</v>
      </c>
      <c r="I499">
        <v>4</v>
      </c>
      <c r="J499">
        <v>0</v>
      </c>
      <c r="K499">
        <v>12</v>
      </c>
      <c r="L499" s="22" t="str">
        <f t="shared" si="162"/>
        <v>23/07/2026</v>
      </c>
      <c r="M499" s="23">
        <f t="shared" si="163"/>
        <v>0.54166666666666663</v>
      </c>
      <c r="N499" t="str">
        <f t="shared" si="145"/>
        <v>0 - 12</v>
      </c>
      <c r="O499" t="str">
        <f t="shared" si="146"/>
        <v>Red</v>
      </c>
      <c r="P499" t="str">
        <f t="shared" si="147"/>
        <v>Red</v>
      </c>
      <c r="Q499" t="str">
        <f t="shared" si="148"/>
        <v>Green</v>
      </c>
      <c r="R499" t="str">
        <f t="shared" si="149"/>
        <v>Red</v>
      </c>
      <c r="S499" t="str">
        <f t="shared" si="150"/>
        <v>Green</v>
      </c>
      <c r="T499" t="str">
        <f t="shared" si="151"/>
        <v>Green</v>
      </c>
      <c r="U499" t="str">
        <f t="shared" si="152"/>
        <v>Red</v>
      </c>
      <c r="V499" t="str">
        <f t="shared" si="153"/>
        <v>Red</v>
      </c>
      <c r="W499" t="str">
        <f t="shared" si="154"/>
        <v>Green</v>
      </c>
      <c r="X499" t="str">
        <f t="shared" si="155"/>
        <v>Green</v>
      </c>
      <c r="Y499" t="str">
        <f t="shared" si="156"/>
        <v>Green</v>
      </c>
      <c r="Z499" t="str">
        <f t="shared" si="157"/>
        <v>Green</v>
      </c>
      <c r="AA499" t="str">
        <f t="shared" si="158"/>
        <v>Red</v>
      </c>
      <c r="AB499" t="str">
        <f t="shared" si="159"/>
        <v>Red</v>
      </c>
      <c r="AC499" t="str">
        <f t="shared" si="160"/>
        <v>Red</v>
      </c>
      <c r="AD499" t="str">
        <f t="shared" si="161"/>
        <v>Green</v>
      </c>
    </row>
    <row r="500" spans="1:30" x14ac:dyDescent="0.25">
      <c r="A500" t="str">
        <f t="shared" si="144"/>
        <v>23/07/2026Tartu KalevJK Kuusalu Kalev</v>
      </c>
      <c r="D500" s="2">
        <v>46226</v>
      </c>
      <c r="E500" s="3">
        <v>0.66666666666666663</v>
      </c>
      <c r="F500" t="s">
        <v>2033</v>
      </c>
      <c r="G500" t="s">
        <v>2034</v>
      </c>
      <c r="H500">
        <v>5</v>
      </c>
      <c r="I500">
        <v>0</v>
      </c>
      <c r="J500">
        <v>7</v>
      </c>
      <c r="K500">
        <v>0</v>
      </c>
      <c r="L500" s="22" t="str">
        <f t="shared" si="162"/>
        <v>23/07/2026</v>
      </c>
      <c r="M500" s="23">
        <f t="shared" si="163"/>
        <v>0.54166666666666663</v>
      </c>
      <c r="N500" t="str">
        <f t="shared" si="145"/>
        <v>7 - 0</v>
      </c>
      <c r="O500" t="str">
        <f t="shared" si="146"/>
        <v>Green</v>
      </c>
      <c r="P500" t="str">
        <f t="shared" si="147"/>
        <v>Red</v>
      </c>
      <c r="Q500" t="str">
        <f t="shared" si="148"/>
        <v>Red</v>
      </c>
      <c r="R500" t="str">
        <f t="shared" si="149"/>
        <v>Green</v>
      </c>
      <c r="S500" t="str">
        <f t="shared" si="150"/>
        <v>Red</v>
      </c>
      <c r="T500" t="str">
        <f t="shared" si="151"/>
        <v>Green</v>
      </c>
      <c r="U500" t="str">
        <f t="shared" si="152"/>
        <v>Green</v>
      </c>
      <c r="V500" t="str">
        <f t="shared" si="153"/>
        <v>Red</v>
      </c>
      <c r="W500" t="str">
        <f t="shared" si="154"/>
        <v>Red</v>
      </c>
      <c r="X500" t="str">
        <f t="shared" si="155"/>
        <v>Green</v>
      </c>
      <c r="Y500" t="str">
        <f t="shared" si="156"/>
        <v>Green</v>
      </c>
      <c r="Z500" t="str">
        <f t="shared" si="157"/>
        <v>Green</v>
      </c>
      <c r="AA500" t="str">
        <f t="shared" si="158"/>
        <v>Red</v>
      </c>
      <c r="AB500" t="str">
        <f t="shared" si="159"/>
        <v>Red</v>
      </c>
      <c r="AC500" t="str">
        <f t="shared" si="160"/>
        <v>Red</v>
      </c>
      <c r="AD500" t="str">
        <f t="shared" si="161"/>
        <v>Green</v>
      </c>
    </row>
    <row r="501" spans="1:30" x14ac:dyDescent="0.25">
      <c r="A501" t="str">
        <f t="shared" si="144"/>
        <v>23/07/2026Saku Sporting WomenHarju Jalgpallikooli Women</v>
      </c>
      <c r="D501" s="2">
        <v>46226</v>
      </c>
      <c r="E501" s="3">
        <v>0.66666666666666663</v>
      </c>
      <c r="F501" t="s">
        <v>2035</v>
      </c>
      <c r="G501" t="s">
        <v>2036</v>
      </c>
      <c r="H501">
        <v>2</v>
      </c>
      <c r="I501">
        <v>0</v>
      </c>
      <c r="J501">
        <v>2</v>
      </c>
      <c r="K501">
        <v>1</v>
      </c>
      <c r="L501" s="22" t="str">
        <f t="shared" si="162"/>
        <v>23/07/2026</v>
      </c>
      <c r="M501" s="23">
        <f t="shared" si="163"/>
        <v>0.54166666666666663</v>
      </c>
      <c r="N501" t="str">
        <f t="shared" si="145"/>
        <v>2 - 1</v>
      </c>
      <c r="O501" t="str">
        <f t="shared" si="146"/>
        <v>Green</v>
      </c>
      <c r="P501" t="str">
        <f t="shared" si="147"/>
        <v>Red</v>
      </c>
      <c r="Q501" t="str">
        <f t="shared" si="148"/>
        <v>Red</v>
      </c>
      <c r="R501" t="str">
        <f t="shared" si="149"/>
        <v>Green</v>
      </c>
      <c r="S501" t="str">
        <f t="shared" si="150"/>
        <v>Red</v>
      </c>
      <c r="T501" t="str">
        <f t="shared" si="151"/>
        <v>Green</v>
      </c>
      <c r="U501" t="str">
        <f t="shared" si="152"/>
        <v>Green</v>
      </c>
      <c r="V501" t="str">
        <f t="shared" si="153"/>
        <v>Red</v>
      </c>
      <c r="W501" t="str">
        <f t="shared" si="154"/>
        <v>Red</v>
      </c>
      <c r="X501" t="str">
        <f t="shared" si="155"/>
        <v>Green</v>
      </c>
      <c r="Y501" t="str">
        <f t="shared" si="156"/>
        <v>Green</v>
      </c>
      <c r="Z501" t="str">
        <f t="shared" si="157"/>
        <v>Green</v>
      </c>
      <c r="AA501" t="str">
        <f t="shared" si="158"/>
        <v>Red</v>
      </c>
      <c r="AB501" t="str">
        <f t="shared" si="159"/>
        <v>Green</v>
      </c>
      <c r="AC501" t="str">
        <f t="shared" si="160"/>
        <v>Green</v>
      </c>
      <c r="AD501" t="str">
        <f t="shared" si="161"/>
        <v>Red</v>
      </c>
    </row>
    <row r="502" spans="1:30" x14ac:dyDescent="0.25">
      <c r="A502" t="str">
        <f t="shared" si="144"/>
        <v>23/07/2026Atlantis/PMFC Kontu</v>
      </c>
      <c r="D502" s="2">
        <v>46226</v>
      </c>
      <c r="E502" s="3">
        <v>0.66666666666666663</v>
      </c>
      <c r="F502" t="s">
        <v>2047</v>
      </c>
      <c r="G502" t="s">
        <v>2048</v>
      </c>
      <c r="H502">
        <v>0</v>
      </c>
      <c r="I502">
        <v>0</v>
      </c>
      <c r="J502">
        <v>3</v>
      </c>
      <c r="K502">
        <v>2</v>
      </c>
      <c r="L502" s="22" t="str">
        <f t="shared" si="162"/>
        <v>23/07/2026</v>
      </c>
      <c r="M502" s="23">
        <f t="shared" si="163"/>
        <v>0.54166666666666663</v>
      </c>
      <c r="N502" t="str">
        <f t="shared" si="145"/>
        <v>3 - 2</v>
      </c>
      <c r="O502" t="str">
        <f t="shared" si="146"/>
        <v>Green</v>
      </c>
      <c r="P502" t="str">
        <f t="shared" si="147"/>
        <v>Red</v>
      </c>
      <c r="Q502" t="str">
        <f t="shared" si="148"/>
        <v>Red</v>
      </c>
      <c r="R502" t="str">
        <f t="shared" si="149"/>
        <v>Green</v>
      </c>
      <c r="S502" t="str">
        <f t="shared" si="150"/>
        <v>Red</v>
      </c>
      <c r="T502" t="str">
        <f t="shared" si="151"/>
        <v>Green</v>
      </c>
      <c r="U502" t="str">
        <f t="shared" si="152"/>
        <v>Red</v>
      </c>
      <c r="V502" t="str">
        <f t="shared" si="153"/>
        <v>Green</v>
      </c>
      <c r="W502" t="str">
        <f t="shared" si="154"/>
        <v>Red</v>
      </c>
      <c r="X502" t="str">
        <f t="shared" si="155"/>
        <v>Red</v>
      </c>
      <c r="Y502" t="str">
        <f t="shared" si="156"/>
        <v>Green</v>
      </c>
      <c r="Z502" t="str">
        <f t="shared" si="157"/>
        <v>Green</v>
      </c>
      <c r="AA502" t="str">
        <f t="shared" si="158"/>
        <v>Red</v>
      </c>
      <c r="AB502" t="str">
        <f t="shared" si="159"/>
        <v>Red</v>
      </c>
      <c r="AC502" t="str">
        <f t="shared" si="160"/>
        <v>Green</v>
      </c>
      <c r="AD502" t="str">
        <f t="shared" si="161"/>
        <v>Red</v>
      </c>
    </row>
    <row r="503" spans="1:30" x14ac:dyDescent="0.25">
      <c r="A503" t="str">
        <f t="shared" si="144"/>
        <v>23/07/2026FC KiistoYPA</v>
      </c>
      <c r="D503" s="2">
        <v>46226</v>
      </c>
      <c r="E503" s="3">
        <v>0.66666666666666663</v>
      </c>
      <c r="F503" t="s">
        <v>2057</v>
      </c>
      <c r="G503" t="s">
        <v>2058</v>
      </c>
      <c r="H503">
        <v>0</v>
      </c>
      <c r="I503">
        <v>0</v>
      </c>
      <c r="J503">
        <v>0</v>
      </c>
      <c r="K503">
        <v>1</v>
      </c>
      <c r="L503" s="22" t="str">
        <f t="shared" si="162"/>
        <v>23/07/2026</v>
      </c>
      <c r="M503" s="23">
        <f t="shared" si="163"/>
        <v>0.54166666666666663</v>
      </c>
      <c r="N503" t="str">
        <f t="shared" si="145"/>
        <v>0 - 1</v>
      </c>
      <c r="O503" t="str">
        <f t="shared" si="146"/>
        <v>Red</v>
      </c>
      <c r="P503" t="str">
        <f t="shared" si="147"/>
        <v>Red</v>
      </c>
      <c r="Q503" t="str">
        <f t="shared" si="148"/>
        <v>Green</v>
      </c>
      <c r="R503" t="str">
        <f t="shared" si="149"/>
        <v>Red</v>
      </c>
      <c r="S503" t="str">
        <f t="shared" si="150"/>
        <v>Green</v>
      </c>
      <c r="T503" t="str">
        <f t="shared" si="151"/>
        <v>Green</v>
      </c>
      <c r="U503" t="str">
        <f t="shared" si="152"/>
        <v>Red</v>
      </c>
      <c r="V503" t="str">
        <f t="shared" si="153"/>
        <v>Green</v>
      </c>
      <c r="W503" t="str">
        <f t="shared" si="154"/>
        <v>Red</v>
      </c>
      <c r="X503" t="str">
        <f t="shared" si="155"/>
        <v>Red</v>
      </c>
      <c r="Y503" t="str">
        <f t="shared" si="156"/>
        <v>Red</v>
      </c>
      <c r="Z503" t="str">
        <f t="shared" si="157"/>
        <v>Red</v>
      </c>
      <c r="AA503" t="str">
        <f t="shared" si="158"/>
        <v>Green</v>
      </c>
      <c r="AB503" t="str">
        <f t="shared" si="159"/>
        <v>Green</v>
      </c>
      <c r="AC503" t="str">
        <f t="shared" si="160"/>
        <v>Red</v>
      </c>
      <c r="AD503" t="str">
        <f t="shared" si="161"/>
        <v>Green</v>
      </c>
    </row>
    <row r="504" spans="1:30" x14ac:dyDescent="0.25">
      <c r="A504" t="str">
        <f t="shared" si="144"/>
        <v>23/07/2026KPV AkatemiaVPV Pallo-Veikot</v>
      </c>
      <c r="D504" s="2">
        <v>46226</v>
      </c>
      <c r="E504" s="3">
        <v>0.66666666666666663</v>
      </c>
      <c r="F504" t="s">
        <v>2059</v>
      </c>
      <c r="G504" t="s">
        <v>2060</v>
      </c>
      <c r="H504">
        <v>0</v>
      </c>
      <c r="I504">
        <v>0</v>
      </c>
      <c r="J504">
        <v>2</v>
      </c>
      <c r="K504">
        <v>1</v>
      </c>
      <c r="L504" s="22" t="str">
        <f t="shared" si="162"/>
        <v>23/07/2026</v>
      </c>
      <c r="M504" s="23">
        <f t="shared" si="163"/>
        <v>0.54166666666666663</v>
      </c>
      <c r="N504" t="str">
        <f t="shared" si="145"/>
        <v>2 - 1</v>
      </c>
      <c r="O504" t="str">
        <f t="shared" si="146"/>
        <v>Green</v>
      </c>
      <c r="P504" t="str">
        <f t="shared" si="147"/>
        <v>Red</v>
      </c>
      <c r="Q504" t="str">
        <f t="shared" si="148"/>
        <v>Red</v>
      </c>
      <c r="R504" t="str">
        <f t="shared" si="149"/>
        <v>Green</v>
      </c>
      <c r="S504" t="str">
        <f t="shared" si="150"/>
        <v>Red</v>
      </c>
      <c r="T504" t="str">
        <f t="shared" si="151"/>
        <v>Green</v>
      </c>
      <c r="U504" t="str">
        <f t="shared" si="152"/>
        <v>Red</v>
      </c>
      <c r="V504" t="str">
        <f t="shared" si="153"/>
        <v>Green</v>
      </c>
      <c r="W504" t="str">
        <f t="shared" si="154"/>
        <v>Red</v>
      </c>
      <c r="X504" t="str">
        <f t="shared" si="155"/>
        <v>Red</v>
      </c>
      <c r="Y504" t="str">
        <f t="shared" si="156"/>
        <v>Green</v>
      </c>
      <c r="Z504" t="str">
        <f t="shared" si="157"/>
        <v>Green</v>
      </c>
      <c r="AA504" t="str">
        <f t="shared" si="158"/>
        <v>Red</v>
      </c>
      <c r="AB504" t="str">
        <f t="shared" si="159"/>
        <v>Green</v>
      </c>
      <c r="AC504" t="str">
        <f t="shared" si="160"/>
        <v>Green</v>
      </c>
      <c r="AD504" t="str">
        <f t="shared" si="161"/>
        <v>Red</v>
      </c>
    </row>
    <row r="505" spans="1:30" x14ac:dyDescent="0.25">
      <c r="A505" t="str">
        <f t="shared" si="144"/>
        <v>23/07/2026Nykarleby IKVasa IFK</v>
      </c>
      <c r="D505" s="2">
        <v>46226</v>
      </c>
      <c r="E505" s="3">
        <v>0.66666666666666663</v>
      </c>
      <c r="F505" t="s">
        <v>2061</v>
      </c>
      <c r="G505" t="s">
        <v>2062</v>
      </c>
      <c r="H505">
        <v>0</v>
      </c>
      <c r="I505">
        <v>0</v>
      </c>
      <c r="J505">
        <v>1</v>
      </c>
      <c r="K505">
        <v>3</v>
      </c>
      <c r="L505" s="22" t="str">
        <f t="shared" si="162"/>
        <v>23/07/2026</v>
      </c>
      <c r="M505" s="23">
        <f t="shared" si="163"/>
        <v>0.54166666666666663</v>
      </c>
      <c r="N505" t="str">
        <f t="shared" si="145"/>
        <v>1 - 3</v>
      </c>
      <c r="O505" t="str">
        <f t="shared" si="146"/>
        <v>Red</v>
      </c>
      <c r="P505" t="str">
        <f t="shared" si="147"/>
        <v>Red</v>
      </c>
      <c r="Q505" t="str">
        <f t="shared" si="148"/>
        <v>Green</v>
      </c>
      <c r="R505" t="str">
        <f t="shared" si="149"/>
        <v>Red</v>
      </c>
      <c r="S505" t="str">
        <f t="shared" si="150"/>
        <v>Green</v>
      </c>
      <c r="T505" t="str">
        <f t="shared" si="151"/>
        <v>Green</v>
      </c>
      <c r="U505" t="str">
        <f t="shared" si="152"/>
        <v>Red</v>
      </c>
      <c r="V505" t="str">
        <f t="shared" si="153"/>
        <v>Green</v>
      </c>
      <c r="W505" t="str">
        <f t="shared" si="154"/>
        <v>Red</v>
      </c>
      <c r="X505" t="str">
        <f t="shared" si="155"/>
        <v>Red</v>
      </c>
      <c r="Y505" t="str">
        <f t="shared" si="156"/>
        <v>Green</v>
      </c>
      <c r="Z505" t="str">
        <f t="shared" si="157"/>
        <v>Green</v>
      </c>
      <c r="AA505" t="str">
        <f t="shared" si="158"/>
        <v>Red</v>
      </c>
      <c r="AB505" t="str">
        <f t="shared" si="159"/>
        <v>Red</v>
      </c>
      <c r="AC505" t="str">
        <f t="shared" si="160"/>
        <v>Green</v>
      </c>
      <c r="AD505" t="str">
        <f t="shared" si="161"/>
        <v>Red</v>
      </c>
    </row>
    <row r="506" spans="1:30" x14ac:dyDescent="0.25">
      <c r="A506" t="str">
        <f t="shared" si="144"/>
        <v>23/07/2026AscoliUS Grosseto</v>
      </c>
      <c r="D506" s="2">
        <v>46226</v>
      </c>
      <c r="E506" s="3">
        <v>0.66666666666666663</v>
      </c>
      <c r="F506" t="s">
        <v>2106</v>
      </c>
      <c r="G506" t="s">
        <v>2107</v>
      </c>
      <c r="L506" s="22" t="str">
        <f t="shared" si="162"/>
        <v>23/07/2026</v>
      </c>
      <c r="M506" s="23">
        <f t="shared" si="163"/>
        <v>0.54166666666666663</v>
      </c>
      <c r="N506" t="str">
        <f t="shared" si="145"/>
        <v xml:space="preserve"> - </v>
      </c>
      <c r="O506" t="str">
        <f t="shared" si="146"/>
        <v>Red</v>
      </c>
      <c r="P506" t="str">
        <f t="shared" si="147"/>
        <v>Green</v>
      </c>
      <c r="Q506" t="str">
        <f t="shared" si="148"/>
        <v>Red</v>
      </c>
      <c r="R506" t="str">
        <f t="shared" si="149"/>
        <v>Green</v>
      </c>
      <c r="S506" t="str">
        <f t="shared" si="150"/>
        <v>Green</v>
      </c>
      <c r="T506" t="str">
        <f t="shared" si="151"/>
        <v>Red</v>
      </c>
      <c r="U506" t="str">
        <f t="shared" si="152"/>
        <v>Red</v>
      </c>
      <c r="V506" t="str">
        <f t="shared" si="153"/>
        <v>Green</v>
      </c>
      <c r="W506" t="str">
        <f t="shared" si="154"/>
        <v>Red</v>
      </c>
      <c r="X506" t="str">
        <f t="shared" si="155"/>
        <v>Red</v>
      </c>
      <c r="Y506" t="str">
        <f t="shared" si="156"/>
        <v>Red</v>
      </c>
      <c r="Z506" t="str">
        <f t="shared" si="157"/>
        <v>Red</v>
      </c>
      <c r="AA506" t="str">
        <f t="shared" si="158"/>
        <v>Green</v>
      </c>
      <c r="AB506" t="str">
        <f t="shared" si="159"/>
        <v>Green</v>
      </c>
      <c r="AC506" t="str">
        <f t="shared" si="160"/>
        <v>Red</v>
      </c>
      <c r="AD506" t="str">
        <f t="shared" si="161"/>
        <v>Green</v>
      </c>
    </row>
    <row r="507" spans="1:30" x14ac:dyDescent="0.25">
      <c r="A507" t="str">
        <f t="shared" si="144"/>
        <v>23/07/2026Bergisch GladbachFC Cologne</v>
      </c>
      <c r="D507" s="2">
        <v>46226</v>
      </c>
      <c r="E507" s="3">
        <v>0.66666666666666663</v>
      </c>
      <c r="F507" t="s">
        <v>2108</v>
      </c>
      <c r="G507" t="s">
        <v>2109</v>
      </c>
      <c r="H507">
        <v>0</v>
      </c>
      <c r="I507">
        <v>2</v>
      </c>
      <c r="J507">
        <v>0</v>
      </c>
      <c r="K507">
        <v>8</v>
      </c>
      <c r="L507" s="22" t="str">
        <f t="shared" si="162"/>
        <v>23/07/2026</v>
      </c>
      <c r="M507" s="23">
        <f t="shared" si="163"/>
        <v>0.54166666666666663</v>
      </c>
      <c r="N507" t="str">
        <f t="shared" si="145"/>
        <v>0 - 8</v>
      </c>
      <c r="O507" t="str">
        <f t="shared" si="146"/>
        <v>Red</v>
      </c>
      <c r="P507" t="str">
        <f t="shared" si="147"/>
        <v>Red</v>
      </c>
      <c r="Q507" t="str">
        <f t="shared" si="148"/>
        <v>Green</v>
      </c>
      <c r="R507" t="str">
        <f t="shared" si="149"/>
        <v>Red</v>
      </c>
      <c r="S507" t="str">
        <f t="shared" si="150"/>
        <v>Green</v>
      </c>
      <c r="T507" t="str">
        <f t="shared" si="151"/>
        <v>Green</v>
      </c>
      <c r="U507" t="str">
        <f t="shared" si="152"/>
        <v>Red</v>
      </c>
      <c r="V507" t="str">
        <f t="shared" si="153"/>
        <v>Red</v>
      </c>
      <c r="W507" t="str">
        <f t="shared" si="154"/>
        <v>Green</v>
      </c>
      <c r="X507" t="str">
        <f t="shared" si="155"/>
        <v>Green</v>
      </c>
      <c r="Y507" t="str">
        <f t="shared" si="156"/>
        <v>Green</v>
      </c>
      <c r="Z507" t="str">
        <f t="shared" si="157"/>
        <v>Green</v>
      </c>
      <c r="AA507" t="str">
        <f t="shared" si="158"/>
        <v>Red</v>
      </c>
      <c r="AB507" t="str">
        <f t="shared" si="159"/>
        <v>Red</v>
      </c>
      <c r="AC507" t="str">
        <f t="shared" si="160"/>
        <v>Red</v>
      </c>
      <c r="AD507" t="str">
        <f t="shared" si="161"/>
        <v>Green</v>
      </c>
    </row>
    <row r="508" spans="1:30" x14ac:dyDescent="0.25">
      <c r="A508" t="str">
        <f t="shared" si="144"/>
        <v>23/07/2026Shakhtar DonetskHNK Gorica</v>
      </c>
      <c r="D508" s="2">
        <v>46226</v>
      </c>
      <c r="E508" s="3">
        <v>0.66666666666666663</v>
      </c>
      <c r="F508" t="s">
        <v>1465</v>
      </c>
      <c r="G508" t="s">
        <v>2110</v>
      </c>
      <c r="H508">
        <v>1</v>
      </c>
      <c r="I508">
        <v>0</v>
      </c>
      <c r="J508">
        <v>2</v>
      </c>
      <c r="K508">
        <v>0</v>
      </c>
      <c r="L508" s="22" t="str">
        <f t="shared" si="162"/>
        <v>23/07/2026</v>
      </c>
      <c r="M508" s="23">
        <f t="shared" si="163"/>
        <v>0.54166666666666663</v>
      </c>
      <c r="N508" t="str">
        <f t="shared" si="145"/>
        <v>2 - 0</v>
      </c>
      <c r="O508" t="str">
        <f t="shared" si="146"/>
        <v>Green</v>
      </c>
      <c r="P508" t="str">
        <f t="shared" si="147"/>
        <v>Red</v>
      </c>
      <c r="Q508" t="str">
        <f t="shared" si="148"/>
        <v>Red</v>
      </c>
      <c r="R508" t="str">
        <f t="shared" si="149"/>
        <v>Green</v>
      </c>
      <c r="S508" t="str">
        <f t="shared" si="150"/>
        <v>Red</v>
      </c>
      <c r="T508" t="str">
        <f t="shared" si="151"/>
        <v>Green</v>
      </c>
      <c r="U508" t="str">
        <f t="shared" si="152"/>
        <v>Green</v>
      </c>
      <c r="V508" t="str">
        <f t="shared" si="153"/>
        <v>Red</v>
      </c>
      <c r="W508" t="str">
        <f t="shared" si="154"/>
        <v>Red</v>
      </c>
      <c r="X508" t="str">
        <f t="shared" si="155"/>
        <v>Green</v>
      </c>
      <c r="Y508" t="str">
        <f t="shared" si="156"/>
        <v>Green</v>
      </c>
      <c r="Z508" t="str">
        <f t="shared" si="157"/>
        <v>Red</v>
      </c>
      <c r="AA508" t="str">
        <f t="shared" si="158"/>
        <v>Green</v>
      </c>
      <c r="AB508" t="str">
        <f t="shared" si="159"/>
        <v>Green</v>
      </c>
      <c r="AC508" t="str">
        <f t="shared" si="160"/>
        <v>Red</v>
      </c>
      <c r="AD508" t="str">
        <f t="shared" si="161"/>
        <v>Green</v>
      </c>
    </row>
    <row r="509" spans="1:30" x14ac:dyDescent="0.25">
      <c r="A509" t="str">
        <f t="shared" si="144"/>
        <v>23/07/2026TIPS Vantaa IIAtlantis FC/Akatemia</v>
      </c>
      <c r="D509" s="2">
        <v>46226</v>
      </c>
      <c r="E509" s="3">
        <v>0.67708333333333337</v>
      </c>
      <c r="F509" t="s">
        <v>2049</v>
      </c>
      <c r="G509" t="s">
        <v>2050</v>
      </c>
      <c r="H509">
        <v>0</v>
      </c>
      <c r="I509">
        <v>0</v>
      </c>
      <c r="J509">
        <v>3</v>
      </c>
      <c r="K509">
        <v>2</v>
      </c>
      <c r="L509" s="22" t="str">
        <f t="shared" si="162"/>
        <v>23/07/2026</v>
      </c>
      <c r="M509" s="23">
        <f t="shared" si="163"/>
        <v>0.55208333333333337</v>
      </c>
      <c r="N509" t="str">
        <f t="shared" si="145"/>
        <v>3 - 2</v>
      </c>
      <c r="O509" t="str">
        <f t="shared" si="146"/>
        <v>Green</v>
      </c>
      <c r="P509" t="str">
        <f t="shared" si="147"/>
        <v>Red</v>
      </c>
      <c r="Q509" t="str">
        <f t="shared" si="148"/>
        <v>Red</v>
      </c>
      <c r="R509" t="str">
        <f t="shared" si="149"/>
        <v>Green</v>
      </c>
      <c r="S509" t="str">
        <f t="shared" si="150"/>
        <v>Red</v>
      </c>
      <c r="T509" t="str">
        <f t="shared" si="151"/>
        <v>Green</v>
      </c>
      <c r="U509" t="str">
        <f t="shared" si="152"/>
        <v>Red</v>
      </c>
      <c r="V509" t="str">
        <f t="shared" si="153"/>
        <v>Green</v>
      </c>
      <c r="W509" t="str">
        <f t="shared" si="154"/>
        <v>Red</v>
      </c>
      <c r="X509" t="str">
        <f t="shared" si="155"/>
        <v>Red</v>
      </c>
      <c r="Y509" t="str">
        <f t="shared" si="156"/>
        <v>Green</v>
      </c>
      <c r="Z509" t="str">
        <f t="shared" si="157"/>
        <v>Green</v>
      </c>
      <c r="AA509" t="str">
        <f t="shared" si="158"/>
        <v>Red</v>
      </c>
      <c r="AB509" t="str">
        <f t="shared" si="159"/>
        <v>Red</v>
      </c>
      <c r="AC509" t="str">
        <f t="shared" si="160"/>
        <v>Green</v>
      </c>
      <c r="AD509" t="str">
        <f t="shared" si="161"/>
        <v>Red</v>
      </c>
    </row>
    <row r="510" spans="1:30" x14ac:dyDescent="0.25">
      <c r="A510" t="str">
        <f t="shared" si="144"/>
        <v>23/07/2026AEK LarnacaBeitar Jerusalem</v>
      </c>
      <c r="B510" t="s">
        <v>820</v>
      </c>
      <c r="C510" t="s">
        <v>1344</v>
      </c>
      <c r="D510" s="2">
        <v>46226</v>
      </c>
      <c r="E510" s="3">
        <v>0.6875</v>
      </c>
      <c r="F510" t="s">
        <v>1940</v>
      </c>
      <c r="G510" t="s">
        <v>1941</v>
      </c>
      <c r="H510">
        <v>0</v>
      </c>
      <c r="I510">
        <v>0</v>
      </c>
      <c r="J510">
        <v>0</v>
      </c>
      <c r="K510">
        <v>1</v>
      </c>
      <c r="L510" s="22" t="str">
        <f t="shared" si="162"/>
        <v>23/07/2026</v>
      </c>
      <c r="M510" s="23">
        <f t="shared" si="163"/>
        <v>0.5625</v>
      </c>
      <c r="N510" t="str">
        <f t="shared" si="145"/>
        <v>0 - 1</v>
      </c>
      <c r="O510" t="str">
        <f t="shared" si="146"/>
        <v>Red</v>
      </c>
      <c r="P510" t="str">
        <f t="shared" si="147"/>
        <v>Red</v>
      </c>
      <c r="Q510" t="str">
        <f t="shared" si="148"/>
        <v>Green</v>
      </c>
      <c r="R510" t="str">
        <f t="shared" si="149"/>
        <v>Red</v>
      </c>
      <c r="S510" t="str">
        <f t="shared" si="150"/>
        <v>Green</v>
      </c>
      <c r="T510" t="str">
        <f t="shared" si="151"/>
        <v>Green</v>
      </c>
      <c r="U510" t="str">
        <f t="shared" si="152"/>
        <v>Red</v>
      </c>
      <c r="V510" t="str">
        <f t="shared" si="153"/>
        <v>Green</v>
      </c>
      <c r="W510" t="str">
        <f t="shared" si="154"/>
        <v>Red</v>
      </c>
      <c r="X510" t="str">
        <f t="shared" si="155"/>
        <v>Red</v>
      </c>
      <c r="Y510" t="str">
        <f t="shared" si="156"/>
        <v>Red</v>
      </c>
      <c r="Z510" t="str">
        <f t="shared" si="157"/>
        <v>Red</v>
      </c>
      <c r="AA510" t="str">
        <f t="shared" si="158"/>
        <v>Green</v>
      </c>
      <c r="AB510" t="str">
        <f t="shared" si="159"/>
        <v>Green</v>
      </c>
      <c r="AC510" t="str">
        <f t="shared" si="160"/>
        <v>Red</v>
      </c>
      <c r="AD510" t="str">
        <f t="shared" si="161"/>
        <v>Green</v>
      </c>
    </row>
    <row r="511" spans="1:30" x14ac:dyDescent="0.25">
      <c r="A511" t="str">
        <f t="shared" si="144"/>
        <v>23/07/2026Dunajska StredaFK Velez Mostar</v>
      </c>
      <c r="B511" t="s">
        <v>820</v>
      </c>
      <c r="C511" t="s">
        <v>1344</v>
      </c>
      <c r="D511" s="2">
        <v>46226</v>
      </c>
      <c r="E511" s="3">
        <v>0.6875</v>
      </c>
      <c r="F511" t="s">
        <v>1942</v>
      </c>
      <c r="G511" t="s">
        <v>1943</v>
      </c>
      <c r="H511">
        <v>0</v>
      </c>
      <c r="I511">
        <v>0</v>
      </c>
      <c r="J511">
        <v>1</v>
      </c>
      <c r="K511">
        <v>0</v>
      </c>
      <c r="L511" s="22" t="str">
        <f t="shared" si="162"/>
        <v>23/07/2026</v>
      </c>
      <c r="M511" s="23">
        <f t="shared" si="163"/>
        <v>0.5625</v>
      </c>
      <c r="N511" t="str">
        <f t="shared" si="145"/>
        <v>1 - 0</v>
      </c>
      <c r="O511" t="str">
        <f t="shared" si="146"/>
        <v>Green</v>
      </c>
      <c r="P511" t="str">
        <f t="shared" si="147"/>
        <v>Red</v>
      </c>
      <c r="Q511" t="str">
        <f t="shared" si="148"/>
        <v>Red</v>
      </c>
      <c r="R511" t="str">
        <f t="shared" si="149"/>
        <v>Green</v>
      </c>
      <c r="S511" t="str">
        <f t="shared" si="150"/>
        <v>Red</v>
      </c>
      <c r="T511" t="str">
        <f t="shared" si="151"/>
        <v>Green</v>
      </c>
      <c r="U511" t="str">
        <f t="shared" si="152"/>
        <v>Red</v>
      </c>
      <c r="V511" t="str">
        <f t="shared" si="153"/>
        <v>Green</v>
      </c>
      <c r="W511" t="str">
        <f t="shared" si="154"/>
        <v>Red</v>
      </c>
      <c r="X511" t="str">
        <f t="shared" si="155"/>
        <v>Red</v>
      </c>
      <c r="Y511" t="str">
        <f t="shared" si="156"/>
        <v>Red</v>
      </c>
      <c r="Z511" t="str">
        <f t="shared" si="157"/>
        <v>Red</v>
      </c>
      <c r="AA511" t="str">
        <f t="shared" si="158"/>
        <v>Green</v>
      </c>
      <c r="AB511" t="str">
        <f t="shared" si="159"/>
        <v>Green</v>
      </c>
      <c r="AC511" t="str">
        <f t="shared" si="160"/>
        <v>Red</v>
      </c>
      <c r="AD511" t="str">
        <f t="shared" si="161"/>
        <v>Green</v>
      </c>
    </row>
    <row r="512" spans="1:30" x14ac:dyDescent="0.25">
      <c r="A512" t="str">
        <f t="shared" si="144"/>
        <v>23/07/2026Rakow CzestochowaValletta</v>
      </c>
      <c r="B512" t="s">
        <v>820</v>
      </c>
      <c r="C512" t="s">
        <v>1344</v>
      </c>
      <c r="D512" s="2">
        <v>46226</v>
      </c>
      <c r="E512" s="3">
        <v>0.6875</v>
      </c>
      <c r="F512" t="s">
        <v>1034</v>
      </c>
      <c r="G512" t="s">
        <v>1944</v>
      </c>
      <c r="H512">
        <v>0</v>
      </c>
      <c r="I512">
        <v>1</v>
      </c>
      <c r="J512">
        <v>3</v>
      </c>
      <c r="K512">
        <v>1</v>
      </c>
      <c r="L512" s="22" t="str">
        <f t="shared" si="162"/>
        <v>23/07/2026</v>
      </c>
      <c r="M512" s="23">
        <f t="shared" si="163"/>
        <v>0.5625</v>
      </c>
      <c r="N512" t="str">
        <f t="shared" si="145"/>
        <v>3 - 1</v>
      </c>
      <c r="O512" t="str">
        <f t="shared" si="146"/>
        <v>Green</v>
      </c>
      <c r="P512" t="str">
        <f t="shared" si="147"/>
        <v>Red</v>
      </c>
      <c r="Q512" t="str">
        <f t="shared" si="148"/>
        <v>Red</v>
      </c>
      <c r="R512" t="str">
        <f t="shared" si="149"/>
        <v>Green</v>
      </c>
      <c r="S512" t="str">
        <f t="shared" si="150"/>
        <v>Red</v>
      </c>
      <c r="T512" t="str">
        <f t="shared" si="151"/>
        <v>Green</v>
      </c>
      <c r="U512" t="str">
        <f t="shared" si="152"/>
        <v>Red</v>
      </c>
      <c r="V512" t="str">
        <f t="shared" si="153"/>
        <v>Red</v>
      </c>
      <c r="W512" t="str">
        <f t="shared" si="154"/>
        <v>Green</v>
      </c>
      <c r="X512" t="str">
        <f t="shared" si="155"/>
        <v>Green</v>
      </c>
      <c r="Y512" t="str">
        <f t="shared" si="156"/>
        <v>Green</v>
      </c>
      <c r="Z512" t="str">
        <f t="shared" si="157"/>
        <v>Green</v>
      </c>
      <c r="AA512" t="str">
        <f t="shared" si="158"/>
        <v>Red</v>
      </c>
      <c r="AB512" t="str">
        <f t="shared" si="159"/>
        <v>Red</v>
      </c>
      <c r="AC512" t="str">
        <f t="shared" si="160"/>
        <v>Green</v>
      </c>
      <c r="AD512" t="str">
        <f t="shared" si="161"/>
        <v>Red</v>
      </c>
    </row>
    <row r="513" spans="1:30" x14ac:dyDescent="0.25">
      <c r="A513" t="str">
        <f t="shared" si="144"/>
        <v>23/07/2026Rigas Futbola SkolaIF Vestri</v>
      </c>
      <c r="B513" t="s">
        <v>820</v>
      </c>
      <c r="C513" t="s">
        <v>1344</v>
      </c>
      <c r="D513" s="2">
        <v>46226</v>
      </c>
      <c r="E513" s="3">
        <v>0.6875</v>
      </c>
      <c r="F513" t="s">
        <v>292</v>
      </c>
      <c r="G513" t="s">
        <v>267</v>
      </c>
      <c r="H513">
        <v>3</v>
      </c>
      <c r="I513">
        <v>0</v>
      </c>
      <c r="J513">
        <v>4</v>
      </c>
      <c r="K513">
        <v>1</v>
      </c>
      <c r="L513" s="22" t="str">
        <f t="shared" si="162"/>
        <v>23/07/2026</v>
      </c>
      <c r="M513" s="23">
        <f t="shared" si="163"/>
        <v>0.5625</v>
      </c>
      <c r="N513" t="str">
        <f t="shared" si="145"/>
        <v>4 - 1</v>
      </c>
      <c r="O513" t="str">
        <f t="shared" si="146"/>
        <v>Green</v>
      </c>
      <c r="P513" t="str">
        <f t="shared" si="147"/>
        <v>Red</v>
      </c>
      <c r="Q513" t="str">
        <f t="shared" si="148"/>
        <v>Red</v>
      </c>
      <c r="R513" t="str">
        <f t="shared" si="149"/>
        <v>Green</v>
      </c>
      <c r="S513" t="str">
        <f t="shared" si="150"/>
        <v>Red</v>
      </c>
      <c r="T513" t="str">
        <f t="shared" si="151"/>
        <v>Green</v>
      </c>
      <c r="U513" t="str">
        <f t="shared" si="152"/>
        <v>Green</v>
      </c>
      <c r="V513" t="str">
        <f t="shared" si="153"/>
        <v>Red</v>
      </c>
      <c r="W513" t="str">
        <f t="shared" si="154"/>
        <v>Red</v>
      </c>
      <c r="X513" t="str">
        <f t="shared" si="155"/>
        <v>Green</v>
      </c>
      <c r="Y513" t="str">
        <f t="shared" si="156"/>
        <v>Green</v>
      </c>
      <c r="Z513" t="str">
        <f t="shared" si="157"/>
        <v>Green</v>
      </c>
      <c r="AA513" t="str">
        <f t="shared" si="158"/>
        <v>Red</v>
      </c>
      <c r="AB513" t="str">
        <f t="shared" si="159"/>
        <v>Red</v>
      </c>
      <c r="AC513" t="str">
        <f t="shared" si="160"/>
        <v>Green</v>
      </c>
      <c r="AD513" t="str">
        <f t="shared" si="161"/>
        <v>Red</v>
      </c>
    </row>
    <row r="514" spans="1:30" x14ac:dyDescent="0.25">
      <c r="A514" t="str">
        <f t="shared" si="144"/>
        <v>23/07/2026Dynamo KievPAOK FC</v>
      </c>
      <c r="B514" t="s">
        <v>820</v>
      </c>
      <c r="C514" t="s">
        <v>1907</v>
      </c>
      <c r="D514" s="2">
        <v>46226</v>
      </c>
      <c r="E514" s="3">
        <v>0.70833333333333337</v>
      </c>
      <c r="F514" t="s">
        <v>1911</v>
      </c>
      <c r="G514" t="s">
        <v>1912</v>
      </c>
      <c r="H514">
        <v>1</v>
      </c>
      <c r="I514">
        <v>2</v>
      </c>
      <c r="J514">
        <v>2</v>
      </c>
      <c r="K514">
        <v>3</v>
      </c>
      <c r="L514" s="22" t="str">
        <f t="shared" si="162"/>
        <v>23/07/2026</v>
      </c>
      <c r="M514" s="23">
        <f t="shared" si="163"/>
        <v>0.58333333333333337</v>
      </c>
      <c r="N514" t="str">
        <f t="shared" si="145"/>
        <v>2 - 3</v>
      </c>
      <c r="O514" t="str">
        <f t="shared" si="146"/>
        <v>Red</v>
      </c>
      <c r="P514" t="str">
        <f t="shared" si="147"/>
        <v>Red</v>
      </c>
      <c r="Q514" t="str">
        <f t="shared" si="148"/>
        <v>Green</v>
      </c>
      <c r="R514" t="str">
        <f t="shared" si="149"/>
        <v>Red</v>
      </c>
      <c r="S514" t="str">
        <f t="shared" si="150"/>
        <v>Green</v>
      </c>
      <c r="T514" t="str">
        <f t="shared" si="151"/>
        <v>Green</v>
      </c>
      <c r="U514" t="str">
        <f t="shared" si="152"/>
        <v>Red</v>
      </c>
      <c r="V514" t="str">
        <f t="shared" si="153"/>
        <v>Red</v>
      </c>
      <c r="W514" t="str">
        <f t="shared" si="154"/>
        <v>Green</v>
      </c>
      <c r="X514" t="str">
        <f t="shared" si="155"/>
        <v>Green</v>
      </c>
      <c r="Y514" t="str">
        <f t="shared" si="156"/>
        <v>Green</v>
      </c>
      <c r="Z514" t="str">
        <f t="shared" si="157"/>
        <v>Green</v>
      </c>
      <c r="AA514" t="str">
        <f t="shared" si="158"/>
        <v>Red</v>
      </c>
      <c r="AB514" t="str">
        <f t="shared" si="159"/>
        <v>Red</v>
      </c>
      <c r="AC514" t="str">
        <f t="shared" si="160"/>
        <v>Green</v>
      </c>
      <c r="AD514" t="str">
        <f t="shared" si="161"/>
        <v>Red</v>
      </c>
    </row>
    <row r="515" spans="1:30" x14ac:dyDescent="0.25">
      <c r="A515" t="str">
        <f t="shared" ref="A515:A578" si="164">L515&amp;F515&amp;G515</f>
        <v>23/07/2026FC Sheriff TiraspolMaccabi Tel Aviv</v>
      </c>
      <c r="B515" t="s">
        <v>820</v>
      </c>
      <c r="C515" t="s">
        <v>1907</v>
      </c>
      <c r="D515" s="2">
        <v>46226</v>
      </c>
      <c r="E515" s="3">
        <v>0.70833333333333337</v>
      </c>
      <c r="F515" t="s">
        <v>1913</v>
      </c>
      <c r="G515" t="s">
        <v>1914</v>
      </c>
      <c r="H515">
        <v>0</v>
      </c>
      <c r="I515">
        <v>2</v>
      </c>
      <c r="J515">
        <v>0</v>
      </c>
      <c r="K515">
        <v>5</v>
      </c>
      <c r="L515" s="22" t="str">
        <f t="shared" ref="L515:L578" si="165">DAY(D515)&amp;"/"&amp;"07"&amp;"/"&amp;YEAR(D515)</f>
        <v>23/07/2026</v>
      </c>
      <c r="M515" s="23">
        <f t="shared" ref="M515:M578" si="166">E515-TIME(3,0,0)</f>
        <v>0.58333333333333337</v>
      </c>
      <c r="N515" t="str">
        <f t="shared" ref="N515:N578" si="167">J515&amp;" - "&amp;K515</f>
        <v>0 - 5</v>
      </c>
      <c r="O515" t="str">
        <f t="shared" ref="O515:O578" si="168">IF($J515&gt;$K515,"Green","Red")</f>
        <v>Red</v>
      </c>
      <c r="P515" t="str">
        <f t="shared" ref="P515:P578" si="169">IF($J515=$K515,"Green","Red")</f>
        <v>Red</v>
      </c>
      <c r="Q515" t="str">
        <f t="shared" ref="Q515:Q578" si="170">IF($J515&lt;$K515,"Green","Red")</f>
        <v>Green</v>
      </c>
      <c r="R515" t="str">
        <f t="shared" ref="R515:R578" si="171">IF($J515&gt;=$K515,"Green","Red")</f>
        <v>Red</v>
      </c>
      <c r="S515" t="str">
        <f t="shared" ref="S515:S578" si="172">IF($J515&lt;=$K515,"Green","Red")</f>
        <v>Green</v>
      </c>
      <c r="T515" t="str">
        <f t="shared" ref="T515:T578" si="173">IF(OR($J515&gt;$K515,$J515&lt;$K515),"Green","Red")</f>
        <v>Green</v>
      </c>
      <c r="U515" t="str">
        <f t="shared" ref="U515:U578" si="174">IF($H515&gt;$I515,"Green","Red")</f>
        <v>Red</v>
      </c>
      <c r="V515" t="str">
        <f t="shared" ref="V515:V578" si="175">IF($H515=$I515,"Green","Red")</f>
        <v>Red</v>
      </c>
      <c r="W515" t="str">
        <f t="shared" ref="W515:W578" si="176">IF($H515&lt;$I515,"Green","Red")</f>
        <v>Green</v>
      </c>
      <c r="X515" t="str">
        <f t="shared" ref="X515:X578" si="177">IF($H515+$I515&gt;0,"Green","Red")</f>
        <v>Green</v>
      </c>
      <c r="Y515" t="str">
        <f t="shared" ref="Y515:Y578" si="178">IF($J515+$K515&gt;1.5,"Green","Red")</f>
        <v>Green</v>
      </c>
      <c r="Z515" t="str">
        <f t="shared" ref="Z515:Z578" si="179">IF($J515+$K515&gt;2.5,"Green","Red")</f>
        <v>Green</v>
      </c>
      <c r="AA515" t="str">
        <f t="shared" ref="AA515:AA578" si="180">IF($J515+$K515&lt;2.5,"Green","Red")</f>
        <v>Red</v>
      </c>
      <c r="AB515" t="str">
        <f t="shared" ref="AB515:AB578" si="181">IF($J515+$K515&lt;3.5,"Green","Red")</f>
        <v>Red</v>
      </c>
      <c r="AC515" t="str">
        <f t="shared" ref="AC515:AC578" si="182">IF(AND($J515&gt;0,$K515&gt;0),"Green","Red")</f>
        <v>Red</v>
      </c>
      <c r="AD515" t="str">
        <f t="shared" ref="AD515:AD578" si="183">IF(OR($J515=0,$K515=0),"Green","Red")</f>
        <v>Green</v>
      </c>
    </row>
    <row r="516" spans="1:30" x14ac:dyDescent="0.25">
      <c r="A516" t="str">
        <f t="shared" si="164"/>
        <v>23/07/2026Hammarby IFAnderlecht</v>
      </c>
      <c r="B516" t="s">
        <v>820</v>
      </c>
      <c r="C516" t="s">
        <v>1907</v>
      </c>
      <c r="D516" s="2">
        <v>46226</v>
      </c>
      <c r="E516" s="3">
        <v>0.70833333333333337</v>
      </c>
      <c r="F516" t="s">
        <v>1915</v>
      </c>
      <c r="G516" t="s">
        <v>1916</v>
      </c>
      <c r="H516">
        <v>0</v>
      </c>
      <c r="I516">
        <v>1</v>
      </c>
      <c r="J516">
        <v>1</v>
      </c>
      <c r="K516">
        <v>1</v>
      </c>
      <c r="L516" s="22" t="str">
        <f t="shared" si="165"/>
        <v>23/07/2026</v>
      </c>
      <c r="M516" s="23">
        <f t="shared" si="166"/>
        <v>0.58333333333333337</v>
      </c>
      <c r="N516" t="str">
        <f t="shared" si="167"/>
        <v>1 - 1</v>
      </c>
      <c r="O516" t="str">
        <f t="shared" si="168"/>
        <v>Red</v>
      </c>
      <c r="P516" t="str">
        <f t="shared" si="169"/>
        <v>Green</v>
      </c>
      <c r="Q516" t="str">
        <f t="shared" si="170"/>
        <v>Red</v>
      </c>
      <c r="R516" t="str">
        <f t="shared" si="171"/>
        <v>Green</v>
      </c>
      <c r="S516" t="str">
        <f t="shared" si="172"/>
        <v>Green</v>
      </c>
      <c r="T516" t="str">
        <f t="shared" si="173"/>
        <v>Red</v>
      </c>
      <c r="U516" t="str">
        <f t="shared" si="174"/>
        <v>Red</v>
      </c>
      <c r="V516" t="str">
        <f t="shared" si="175"/>
        <v>Red</v>
      </c>
      <c r="W516" t="str">
        <f t="shared" si="176"/>
        <v>Green</v>
      </c>
      <c r="X516" t="str">
        <f t="shared" si="177"/>
        <v>Green</v>
      </c>
      <c r="Y516" t="str">
        <f t="shared" si="178"/>
        <v>Green</v>
      </c>
      <c r="Z516" t="str">
        <f t="shared" si="179"/>
        <v>Red</v>
      </c>
      <c r="AA516" t="str">
        <f t="shared" si="180"/>
        <v>Green</v>
      </c>
      <c r="AB516" t="str">
        <f t="shared" si="181"/>
        <v>Green</v>
      </c>
      <c r="AC516" t="str">
        <f t="shared" si="182"/>
        <v>Green</v>
      </c>
      <c r="AD516" t="str">
        <f t="shared" si="183"/>
        <v>Red</v>
      </c>
    </row>
    <row r="517" spans="1:30" x14ac:dyDescent="0.25">
      <c r="A517" t="str">
        <f t="shared" si="164"/>
        <v>23/07/2026TromsoHradec Kralove</v>
      </c>
      <c r="B517" t="s">
        <v>820</v>
      </c>
      <c r="C517" t="s">
        <v>1907</v>
      </c>
      <c r="D517" s="2">
        <v>46226</v>
      </c>
      <c r="E517" s="3">
        <v>0.70833333333333337</v>
      </c>
      <c r="F517" t="s">
        <v>1908</v>
      </c>
      <c r="G517" t="s">
        <v>1917</v>
      </c>
      <c r="H517">
        <v>0</v>
      </c>
      <c r="I517">
        <v>0</v>
      </c>
      <c r="J517">
        <v>0</v>
      </c>
      <c r="K517">
        <v>1</v>
      </c>
      <c r="L517" s="22" t="str">
        <f t="shared" si="165"/>
        <v>23/07/2026</v>
      </c>
      <c r="M517" s="23">
        <f t="shared" si="166"/>
        <v>0.58333333333333337</v>
      </c>
      <c r="N517" t="str">
        <f t="shared" si="167"/>
        <v>0 - 1</v>
      </c>
      <c r="O517" t="str">
        <f t="shared" si="168"/>
        <v>Red</v>
      </c>
      <c r="P517" t="str">
        <f t="shared" si="169"/>
        <v>Red</v>
      </c>
      <c r="Q517" t="str">
        <f t="shared" si="170"/>
        <v>Green</v>
      </c>
      <c r="R517" t="str">
        <f t="shared" si="171"/>
        <v>Red</v>
      </c>
      <c r="S517" t="str">
        <f t="shared" si="172"/>
        <v>Green</v>
      </c>
      <c r="T517" t="str">
        <f t="shared" si="173"/>
        <v>Green</v>
      </c>
      <c r="U517" t="str">
        <f t="shared" si="174"/>
        <v>Red</v>
      </c>
      <c r="V517" t="str">
        <f t="shared" si="175"/>
        <v>Green</v>
      </c>
      <c r="W517" t="str">
        <f t="shared" si="176"/>
        <v>Red</v>
      </c>
      <c r="X517" t="str">
        <f t="shared" si="177"/>
        <v>Red</v>
      </c>
      <c r="Y517" t="str">
        <f t="shared" si="178"/>
        <v>Red</v>
      </c>
      <c r="Z517" t="str">
        <f t="shared" si="179"/>
        <v>Red</v>
      </c>
      <c r="AA517" t="str">
        <f t="shared" si="180"/>
        <v>Green</v>
      </c>
      <c r="AB517" t="str">
        <f t="shared" si="181"/>
        <v>Green</v>
      </c>
      <c r="AC517" t="str">
        <f t="shared" si="182"/>
        <v>Red</v>
      </c>
      <c r="AD517" t="str">
        <f t="shared" si="183"/>
        <v>Green</v>
      </c>
    </row>
    <row r="518" spans="1:30" x14ac:dyDescent="0.25">
      <c r="A518" t="str">
        <f t="shared" si="164"/>
        <v>23/07/2026BATE BorisovFC Sion</v>
      </c>
      <c r="B518" t="s">
        <v>820</v>
      </c>
      <c r="C518" t="s">
        <v>1344</v>
      </c>
      <c r="D518" s="2">
        <v>46226</v>
      </c>
      <c r="E518" s="3">
        <v>0.70833333333333337</v>
      </c>
      <c r="F518" t="s">
        <v>1945</v>
      </c>
      <c r="G518" t="s">
        <v>1946</v>
      </c>
      <c r="H518">
        <v>1</v>
      </c>
      <c r="I518">
        <v>1</v>
      </c>
      <c r="J518">
        <v>1</v>
      </c>
      <c r="K518">
        <v>1</v>
      </c>
      <c r="L518" s="22" t="str">
        <f t="shared" si="165"/>
        <v>23/07/2026</v>
      </c>
      <c r="M518" s="23">
        <f t="shared" si="166"/>
        <v>0.58333333333333337</v>
      </c>
      <c r="N518" t="str">
        <f t="shared" si="167"/>
        <v>1 - 1</v>
      </c>
      <c r="O518" t="str">
        <f t="shared" si="168"/>
        <v>Red</v>
      </c>
      <c r="P518" t="str">
        <f t="shared" si="169"/>
        <v>Green</v>
      </c>
      <c r="Q518" t="str">
        <f t="shared" si="170"/>
        <v>Red</v>
      </c>
      <c r="R518" t="str">
        <f t="shared" si="171"/>
        <v>Green</v>
      </c>
      <c r="S518" t="str">
        <f t="shared" si="172"/>
        <v>Green</v>
      </c>
      <c r="T518" t="str">
        <f t="shared" si="173"/>
        <v>Red</v>
      </c>
      <c r="U518" t="str">
        <f t="shared" si="174"/>
        <v>Red</v>
      </c>
      <c r="V518" t="str">
        <f t="shared" si="175"/>
        <v>Green</v>
      </c>
      <c r="W518" t="str">
        <f t="shared" si="176"/>
        <v>Red</v>
      </c>
      <c r="X518" t="str">
        <f t="shared" si="177"/>
        <v>Green</v>
      </c>
      <c r="Y518" t="str">
        <f t="shared" si="178"/>
        <v>Green</v>
      </c>
      <c r="Z518" t="str">
        <f t="shared" si="179"/>
        <v>Red</v>
      </c>
      <c r="AA518" t="str">
        <f t="shared" si="180"/>
        <v>Green</v>
      </c>
      <c r="AB518" t="str">
        <f t="shared" si="181"/>
        <v>Green</v>
      </c>
      <c r="AC518" t="str">
        <f t="shared" si="182"/>
        <v>Green</v>
      </c>
      <c r="AD518" t="str">
        <f t="shared" si="183"/>
        <v>Red</v>
      </c>
    </row>
    <row r="519" spans="1:30" x14ac:dyDescent="0.25">
      <c r="A519" t="str">
        <f t="shared" si="164"/>
        <v>23/07/2026Dinamo TbilisiVMFD Zalgiris</v>
      </c>
      <c r="B519" t="s">
        <v>820</v>
      </c>
      <c r="C519" t="s">
        <v>1344</v>
      </c>
      <c r="D519" s="2">
        <v>46226</v>
      </c>
      <c r="E519" s="3">
        <v>0.70833333333333337</v>
      </c>
      <c r="F519" t="s">
        <v>1947</v>
      </c>
      <c r="G519" t="s">
        <v>1948</v>
      </c>
      <c r="H519">
        <v>3</v>
      </c>
      <c r="I519">
        <v>0</v>
      </c>
      <c r="J519">
        <v>3</v>
      </c>
      <c r="K519">
        <v>0</v>
      </c>
      <c r="L519" s="22" t="str">
        <f t="shared" si="165"/>
        <v>23/07/2026</v>
      </c>
      <c r="M519" s="23">
        <f t="shared" si="166"/>
        <v>0.58333333333333337</v>
      </c>
      <c r="N519" t="str">
        <f t="shared" si="167"/>
        <v>3 - 0</v>
      </c>
      <c r="O519" t="str">
        <f t="shared" si="168"/>
        <v>Green</v>
      </c>
      <c r="P519" t="str">
        <f t="shared" si="169"/>
        <v>Red</v>
      </c>
      <c r="Q519" t="str">
        <f t="shared" si="170"/>
        <v>Red</v>
      </c>
      <c r="R519" t="str">
        <f t="shared" si="171"/>
        <v>Green</v>
      </c>
      <c r="S519" t="str">
        <f t="shared" si="172"/>
        <v>Red</v>
      </c>
      <c r="T519" t="str">
        <f t="shared" si="173"/>
        <v>Green</v>
      </c>
      <c r="U519" t="str">
        <f t="shared" si="174"/>
        <v>Green</v>
      </c>
      <c r="V519" t="str">
        <f t="shared" si="175"/>
        <v>Red</v>
      </c>
      <c r="W519" t="str">
        <f t="shared" si="176"/>
        <v>Red</v>
      </c>
      <c r="X519" t="str">
        <f t="shared" si="177"/>
        <v>Green</v>
      </c>
      <c r="Y519" t="str">
        <f t="shared" si="178"/>
        <v>Green</v>
      </c>
      <c r="Z519" t="str">
        <f t="shared" si="179"/>
        <v>Green</v>
      </c>
      <c r="AA519" t="str">
        <f t="shared" si="180"/>
        <v>Red</v>
      </c>
      <c r="AB519" t="str">
        <f t="shared" si="181"/>
        <v>Green</v>
      </c>
      <c r="AC519" t="str">
        <f t="shared" si="182"/>
        <v>Red</v>
      </c>
      <c r="AD519" t="str">
        <f t="shared" si="183"/>
        <v>Green</v>
      </c>
    </row>
    <row r="520" spans="1:30" x14ac:dyDescent="0.25">
      <c r="A520" t="str">
        <f t="shared" si="164"/>
        <v>23/07/2026FC Santa ColomaRapid Wien</v>
      </c>
      <c r="B520" t="s">
        <v>820</v>
      </c>
      <c r="C520" t="s">
        <v>1344</v>
      </c>
      <c r="D520" s="2">
        <v>46226</v>
      </c>
      <c r="E520" s="3">
        <v>0.70833333333333337</v>
      </c>
      <c r="F520" t="s">
        <v>1949</v>
      </c>
      <c r="G520" t="s">
        <v>1950</v>
      </c>
      <c r="H520">
        <v>0</v>
      </c>
      <c r="I520">
        <v>0</v>
      </c>
      <c r="J520">
        <v>1</v>
      </c>
      <c r="K520">
        <v>3</v>
      </c>
      <c r="L520" s="22" t="str">
        <f t="shared" si="165"/>
        <v>23/07/2026</v>
      </c>
      <c r="M520" s="23">
        <f t="shared" si="166"/>
        <v>0.58333333333333337</v>
      </c>
      <c r="N520" t="str">
        <f t="shared" si="167"/>
        <v>1 - 3</v>
      </c>
      <c r="O520" t="str">
        <f t="shared" si="168"/>
        <v>Red</v>
      </c>
      <c r="P520" t="str">
        <f t="shared" si="169"/>
        <v>Red</v>
      </c>
      <c r="Q520" t="str">
        <f t="shared" si="170"/>
        <v>Green</v>
      </c>
      <c r="R520" t="str">
        <f t="shared" si="171"/>
        <v>Red</v>
      </c>
      <c r="S520" t="str">
        <f t="shared" si="172"/>
        <v>Green</v>
      </c>
      <c r="T520" t="str">
        <f t="shared" si="173"/>
        <v>Green</v>
      </c>
      <c r="U520" t="str">
        <f t="shared" si="174"/>
        <v>Red</v>
      </c>
      <c r="V520" t="str">
        <f t="shared" si="175"/>
        <v>Green</v>
      </c>
      <c r="W520" t="str">
        <f t="shared" si="176"/>
        <v>Red</v>
      </c>
      <c r="X520" t="str">
        <f t="shared" si="177"/>
        <v>Red</v>
      </c>
      <c r="Y520" t="str">
        <f t="shared" si="178"/>
        <v>Green</v>
      </c>
      <c r="Z520" t="str">
        <f t="shared" si="179"/>
        <v>Green</v>
      </c>
      <c r="AA520" t="str">
        <f t="shared" si="180"/>
        <v>Red</v>
      </c>
      <c r="AB520" t="str">
        <f t="shared" si="181"/>
        <v>Red</v>
      </c>
      <c r="AC520" t="str">
        <f t="shared" si="182"/>
        <v>Green</v>
      </c>
      <c r="AD520" t="str">
        <f t="shared" si="183"/>
        <v>Red</v>
      </c>
    </row>
    <row r="521" spans="1:30" x14ac:dyDescent="0.25">
      <c r="A521" t="str">
        <f t="shared" si="164"/>
        <v>23/07/2026FC ZimbruFC Noah</v>
      </c>
      <c r="B521" t="s">
        <v>820</v>
      </c>
      <c r="C521" t="s">
        <v>1344</v>
      </c>
      <c r="D521" s="2">
        <v>46226</v>
      </c>
      <c r="E521" s="3">
        <v>0.70833333333333337</v>
      </c>
      <c r="F521" t="s">
        <v>1951</v>
      </c>
      <c r="G521" t="s">
        <v>1952</v>
      </c>
      <c r="H521">
        <v>1</v>
      </c>
      <c r="I521">
        <v>0</v>
      </c>
      <c r="J521">
        <v>1</v>
      </c>
      <c r="K521">
        <v>1</v>
      </c>
      <c r="L521" s="22" t="str">
        <f t="shared" si="165"/>
        <v>23/07/2026</v>
      </c>
      <c r="M521" s="23">
        <f t="shared" si="166"/>
        <v>0.58333333333333337</v>
      </c>
      <c r="N521" t="str">
        <f t="shared" si="167"/>
        <v>1 - 1</v>
      </c>
      <c r="O521" t="str">
        <f t="shared" si="168"/>
        <v>Red</v>
      </c>
      <c r="P521" t="str">
        <f t="shared" si="169"/>
        <v>Green</v>
      </c>
      <c r="Q521" t="str">
        <f t="shared" si="170"/>
        <v>Red</v>
      </c>
      <c r="R521" t="str">
        <f t="shared" si="171"/>
        <v>Green</v>
      </c>
      <c r="S521" t="str">
        <f t="shared" si="172"/>
        <v>Green</v>
      </c>
      <c r="T521" t="str">
        <f t="shared" si="173"/>
        <v>Red</v>
      </c>
      <c r="U521" t="str">
        <f t="shared" si="174"/>
        <v>Green</v>
      </c>
      <c r="V521" t="str">
        <f t="shared" si="175"/>
        <v>Red</v>
      </c>
      <c r="W521" t="str">
        <f t="shared" si="176"/>
        <v>Red</v>
      </c>
      <c r="X521" t="str">
        <f t="shared" si="177"/>
        <v>Green</v>
      </c>
      <c r="Y521" t="str">
        <f t="shared" si="178"/>
        <v>Green</v>
      </c>
      <c r="Z521" t="str">
        <f t="shared" si="179"/>
        <v>Red</v>
      </c>
      <c r="AA521" t="str">
        <f t="shared" si="180"/>
        <v>Green</v>
      </c>
      <c r="AB521" t="str">
        <f t="shared" si="181"/>
        <v>Green</v>
      </c>
      <c r="AC521" t="str">
        <f t="shared" si="182"/>
        <v>Green</v>
      </c>
      <c r="AD521" t="str">
        <f t="shared" si="183"/>
        <v>Red</v>
      </c>
    </row>
    <row r="522" spans="1:30" x14ac:dyDescent="0.25">
      <c r="A522" t="str">
        <f t="shared" si="164"/>
        <v>23/07/2026GAIS GothenburgFC Nordsjaelland</v>
      </c>
      <c r="B522" t="s">
        <v>820</v>
      </c>
      <c r="C522" t="s">
        <v>1344</v>
      </c>
      <c r="D522" s="2">
        <v>46226</v>
      </c>
      <c r="E522" s="3">
        <v>0.70833333333333337</v>
      </c>
      <c r="F522" t="s">
        <v>1953</v>
      </c>
      <c r="G522" t="s">
        <v>1103</v>
      </c>
      <c r="H522">
        <v>1</v>
      </c>
      <c r="I522">
        <v>0</v>
      </c>
      <c r="J522">
        <v>1</v>
      </c>
      <c r="K522">
        <v>0</v>
      </c>
      <c r="L522" s="22" t="str">
        <f t="shared" si="165"/>
        <v>23/07/2026</v>
      </c>
      <c r="M522" s="23">
        <f t="shared" si="166"/>
        <v>0.58333333333333337</v>
      </c>
      <c r="N522" t="str">
        <f t="shared" si="167"/>
        <v>1 - 0</v>
      </c>
      <c r="O522" t="str">
        <f t="shared" si="168"/>
        <v>Green</v>
      </c>
      <c r="P522" t="str">
        <f t="shared" si="169"/>
        <v>Red</v>
      </c>
      <c r="Q522" t="str">
        <f t="shared" si="170"/>
        <v>Red</v>
      </c>
      <c r="R522" t="str">
        <f t="shared" si="171"/>
        <v>Green</v>
      </c>
      <c r="S522" t="str">
        <f t="shared" si="172"/>
        <v>Red</v>
      </c>
      <c r="T522" t="str">
        <f t="shared" si="173"/>
        <v>Green</v>
      </c>
      <c r="U522" t="str">
        <f t="shared" si="174"/>
        <v>Green</v>
      </c>
      <c r="V522" t="str">
        <f t="shared" si="175"/>
        <v>Red</v>
      </c>
      <c r="W522" t="str">
        <f t="shared" si="176"/>
        <v>Red</v>
      </c>
      <c r="X522" t="str">
        <f t="shared" si="177"/>
        <v>Green</v>
      </c>
      <c r="Y522" t="str">
        <f t="shared" si="178"/>
        <v>Red</v>
      </c>
      <c r="Z522" t="str">
        <f t="shared" si="179"/>
        <v>Red</v>
      </c>
      <c r="AA522" t="str">
        <f t="shared" si="180"/>
        <v>Green</v>
      </c>
      <c r="AB522" t="str">
        <f t="shared" si="181"/>
        <v>Green</v>
      </c>
      <c r="AC522" t="str">
        <f t="shared" si="182"/>
        <v>Red</v>
      </c>
      <c r="AD522" t="str">
        <f t="shared" si="183"/>
        <v>Green</v>
      </c>
    </row>
    <row r="523" spans="1:30" x14ac:dyDescent="0.25">
      <c r="A523" t="str">
        <f t="shared" si="164"/>
        <v>23/07/2026Maxline VitebskFK Sutjeska Niksic</v>
      </c>
      <c r="B523" t="s">
        <v>820</v>
      </c>
      <c r="C523" t="s">
        <v>1344</v>
      </c>
      <c r="D523" s="2">
        <v>46226</v>
      </c>
      <c r="E523" s="3">
        <v>0.70833333333333337</v>
      </c>
      <c r="F523" t="s">
        <v>1954</v>
      </c>
      <c r="G523" t="s">
        <v>1955</v>
      </c>
      <c r="H523">
        <v>2</v>
      </c>
      <c r="I523">
        <v>0</v>
      </c>
      <c r="J523">
        <v>3</v>
      </c>
      <c r="K523">
        <v>0</v>
      </c>
      <c r="L523" s="22" t="str">
        <f t="shared" si="165"/>
        <v>23/07/2026</v>
      </c>
      <c r="M523" s="23">
        <f t="shared" si="166"/>
        <v>0.58333333333333337</v>
      </c>
      <c r="N523" t="str">
        <f t="shared" si="167"/>
        <v>3 - 0</v>
      </c>
      <c r="O523" t="str">
        <f t="shared" si="168"/>
        <v>Green</v>
      </c>
      <c r="P523" t="str">
        <f t="shared" si="169"/>
        <v>Red</v>
      </c>
      <c r="Q523" t="str">
        <f t="shared" si="170"/>
        <v>Red</v>
      </c>
      <c r="R523" t="str">
        <f t="shared" si="171"/>
        <v>Green</v>
      </c>
      <c r="S523" t="str">
        <f t="shared" si="172"/>
        <v>Red</v>
      </c>
      <c r="T523" t="str">
        <f t="shared" si="173"/>
        <v>Green</v>
      </c>
      <c r="U523" t="str">
        <f t="shared" si="174"/>
        <v>Green</v>
      </c>
      <c r="V523" t="str">
        <f t="shared" si="175"/>
        <v>Red</v>
      </c>
      <c r="W523" t="str">
        <f t="shared" si="176"/>
        <v>Red</v>
      </c>
      <c r="X523" t="str">
        <f t="shared" si="177"/>
        <v>Green</v>
      </c>
      <c r="Y523" t="str">
        <f t="shared" si="178"/>
        <v>Green</v>
      </c>
      <c r="Z523" t="str">
        <f t="shared" si="179"/>
        <v>Green</v>
      </c>
      <c r="AA523" t="str">
        <f t="shared" si="180"/>
        <v>Red</v>
      </c>
      <c r="AB523" t="str">
        <f t="shared" si="181"/>
        <v>Green</v>
      </c>
      <c r="AC523" t="str">
        <f t="shared" si="182"/>
        <v>Red</v>
      </c>
      <c r="AD523" t="str">
        <f t="shared" si="183"/>
        <v>Green</v>
      </c>
    </row>
    <row r="524" spans="1:30" x14ac:dyDescent="0.25">
      <c r="A524" t="str">
        <f t="shared" si="164"/>
        <v>23/07/2026Universitatea ClujBrann</v>
      </c>
      <c r="B524" t="s">
        <v>820</v>
      </c>
      <c r="C524" t="s">
        <v>1344</v>
      </c>
      <c r="D524" s="2">
        <v>46226</v>
      </c>
      <c r="E524" s="3">
        <v>0.70833333333333337</v>
      </c>
      <c r="F524" t="s">
        <v>1063</v>
      </c>
      <c r="G524" t="s">
        <v>1956</v>
      </c>
      <c r="H524">
        <v>0</v>
      </c>
      <c r="I524">
        <v>1</v>
      </c>
      <c r="J524">
        <v>2</v>
      </c>
      <c r="K524">
        <v>2</v>
      </c>
      <c r="L524" s="22" t="str">
        <f t="shared" si="165"/>
        <v>23/07/2026</v>
      </c>
      <c r="M524" s="23">
        <f t="shared" si="166"/>
        <v>0.58333333333333337</v>
      </c>
      <c r="N524" t="str">
        <f t="shared" si="167"/>
        <v>2 - 2</v>
      </c>
      <c r="O524" t="str">
        <f t="shared" si="168"/>
        <v>Red</v>
      </c>
      <c r="P524" t="str">
        <f t="shared" si="169"/>
        <v>Green</v>
      </c>
      <c r="Q524" t="str">
        <f t="shared" si="170"/>
        <v>Red</v>
      </c>
      <c r="R524" t="str">
        <f t="shared" si="171"/>
        <v>Green</v>
      </c>
      <c r="S524" t="str">
        <f t="shared" si="172"/>
        <v>Green</v>
      </c>
      <c r="T524" t="str">
        <f t="shared" si="173"/>
        <v>Red</v>
      </c>
      <c r="U524" t="str">
        <f t="shared" si="174"/>
        <v>Red</v>
      </c>
      <c r="V524" t="str">
        <f t="shared" si="175"/>
        <v>Red</v>
      </c>
      <c r="W524" t="str">
        <f t="shared" si="176"/>
        <v>Green</v>
      </c>
      <c r="X524" t="str">
        <f t="shared" si="177"/>
        <v>Green</v>
      </c>
      <c r="Y524" t="str">
        <f t="shared" si="178"/>
        <v>Green</v>
      </c>
      <c r="Z524" t="str">
        <f t="shared" si="179"/>
        <v>Green</v>
      </c>
      <c r="AA524" t="str">
        <f t="shared" si="180"/>
        <v>Red</v>
      </c>
      <c r="AB524" t="str">
        <f t="shared" si="181"/>
        <v>Red</v>
      </c>
      <c r="AC524" t="str">
        <f t="shared" si="182"/>
        <v>Green</v>
      </c>
      <c r="AD524" t="str">
        <f t="shared" si="183"/>
        <v>Red</v>
      </c>
    </row>
    <row r="525" spans="1:30" x14ac:dyDescent="0.25">
      <c r="A525" t="str">
        <f t="shared" si="164"/>
        <v>23/07/2026Fish UnitedAC Estudiantes</v>
      </c>
      <c r="D525" s="2">
        <v>46226</v>
      </c>
      <c r="E525" s="3">
        <v>0.70833333333333337</v>
      </c>
      <c r="F525" t="s">
        <v>2051</v>
      </c>
      <c r="G525" t="s">
        <v>2052</v>
      </c>
      <c r="H525">
        <v>0</v>
      </c>
      <c r="I525">
        <v>0</v>
      </c>
      <c r="J525">
        <v>5</v>
      </c>
      <c r="K525">
        <v>2</v>
      </c>
      <c r="L525" s="22" t="str">
        <f t="shared" si="165"/>
        <v>23/07/2026</v>
      </c>
      <c r="M525" s="23">
        <f t="shared" si="166"/>
        <v>0.58333333333333337</v>
      </c>
      <c r="N525" t="str">
        <f t="shared" si="167"/>
        <v>5 - 2</v>
      </c>
      <c r="O525" t="str">
        <f t="shared" si="168"/>
        <v>Green</v>
      </c>
      <c r="P525" t="str">
        <f t="shared" si="169"/>
        <v>Red</v>
      </c>
      <c r="Q525" t="str">
        <f t="shared" si="170"/>
        <v>Red</v>
      </c>
      <c r="R525" t="str">
        <f t="shared" si="171"/>
        <v>Green</v>
      </c>
      <c r="S525" t="str">
        <f t="shared" si="172"/>
        <v>Red</v>
      </c>
      <c r="T525" t="str">
        <f t="shared" si="173"/>
        <v>Green</v>
      </c>
      <c r="U525" t="str">
        <f t="shared" si="174"/>
        <v>Red</v>
      </c>
      <c r="V525" t="str">
        <f t="shared" si="175"/>
        <v>Green</v>
      </c>
      <c r="W525" t="str">
        <f t="shared" si="176"/>
        <v>Red</v>
      </c>
      <c r="X525" t="str">
        <f t="shared" si="177"/>
        <v>Red</v>
      </c>
      <c r="Y525" t="str">
        <f t="shared" si="178"/>
        <v>Green</v>
      </c>
      <c r="Z525" t="str">
        <f t="shared" si="179"/>
        <v>Green</v>
      </c>
      <c r="AA525" t="str">
        <f t="shared" si="180"/>
        <v>Red</v>
      </c>
      <c r="AB525" t="str">
        <f t="shared" si="181"/>
        <v>Red</v>
      </c>
      <c r="AC525" t="str">
        <f t="shared" si="182"/>
        <v>Green</v>
      </c>
      <c r="AD525" t="str">
        <f t="shared" si="183"/>
        <v>Red</v>
      </c>
    </row>
    <row r="526" spans="1:30" x14ac:dyDescent="0.25">
      <c r="A526" t="str">
        <f t="shared" si="164"/>
        <v>23/07/2026PonnistusSibboV</v>
      </c>
      <c r="D526" s="2">
        <v>46226</v>
      </c>
      <c r="E526" s="3">
        <v>0.70833333333333337</v>
      </c>
      <c r="F526" t="s">
        <v>2053</v>
      </c>
      <c r="G526" t="s">
        <v>2054</v>
      </c>
      <c r="H526">
        <v>0</v>
      </c>
      <c r="I526">
        <v>0</v>
      </c>
      <c r="J526">
        <v>0</v>
      </c>
      <c r="K526">
        <v>2</v>
      </c>
      <c r="L526" s="22" t="str">
        <f t="shared" si="165"/>
        <v>23/07/2026</v>
      </c>
      <c r="M526" s="23">
        <f t="shared" si="166"/>
        <v>0.58333333333333337</v>
      </c>
      <c r="N526" t="str">
        <f t="shared" si="167"/>
        <v>0 - 2</v>
      </c>
      <c r="O526" t="str">
        <f t="shared" si="168"/>
        <v>Red</v>
      </c>
      <c r="P526" t="str">
        <f t="shared" si="169"/>
        <v>Red</v>
      </c>
      <c r="Q526" t="str">
        <f t="shared" si="170"/>
        <v>Green</v>
      </c>
      <c r="R526" t="str">
        <f t="shared" si="171"/>
        <v>Red</v>
      </c>
      <c r="S526" t="str">
        <f t="shared" si="172"/>
        <v>Green</v>
      </c>
      <c r="T526" t="str">
        <f t="shared" si="173"/>
        <v>Green</v>
      </c>
      <c r="U526" t="str">
        <f t="shared" si="174"/>
        <v>Red</v>
      </c>
      <c r="V526" t="str">
        <f t="shared" si="175"/>
        <v>Green</v>
      </c>
      <c r="W526" t="str">
        <f t="shared" si="176"/>
        <v>Red</v>
      </c>
      <c r="X526" t="str">
        <f t="shared" si="177"/>
        <v>Red</v>
      </c>
      <c r="Y526" t="str">
        <f t="shared" si="178"/>
        <v>Green</v>
      </c>
      <c r="Z526" t="str">
        <f t="shared" si="179"/>
        <v>Red</v>
      </c>
      <c r="AA526" t="str">
        <f t="shared" si="180"/>
        <v>Green</v>
      </c>
      <c r="AB526" t="str">
        <f t="shared" si="181"/>
        <v>Green</v>
      </c>
      <c r="AC526" t="str">
        <f t="shared" si="182"/>
        <v>Red</v>
      </c>
      <c r="AD526" t="str">
        <f t="shared" si="183"/>
        <v>Green</v>
      </c>
    </row>
    <row r="527" spans="1:30" x14ac:dyDescent="0.25">
      <c r="A527" t="str">
        <f t="shared" si="164"/>
        <v>23/07/2026Bayern AlzenauWormatia Worms</v>
      </c>
      <c r="D527" s="2">
        <v>46226</v>
      </c>
      <c r="E527" s="3">
        <v>0.70833333333333337</v>
      </c>
      <c r="F527" t="s">
        <v>2111</v>
      </c>
      <c r="G527" t="s">
        <v>2112</v>
      </c>
      <c r="H527">
        <v>3</v>
      </c>
      <c r="I527">
        <v>1</v>
      </c>
      <c r="J527">
        <v>7</v>
      </c>
      <c r="K527">
        <v>2</v>
      </c>
      <c r="L527" s="22" t="str">
        <f t="shared" si="165"/>
        <v>23/07/2026</v>
      </c>
      <c r="M527" s="23">
        <f t="shared" si="166"/>
        <v>0.58333333333333337</v>
      </c>
      <c r="N527" t="str">
        <f t="shared" si="167"/>
        <v>7 - 2</v>
      </c>
      <c r="O527" t="str">
        <f t="shared" si="168"/>
        <v>Green</v>
      </c>
      <c r="P527" t="str">
        <f t="shared" si="169"/>
        <v>Red</v>
      </c>
      <c r="Q527" t="str">
        <f t="shared" si="170"/>
        <v>Red</v>
      </c>
      <c r="R527" t="str">
        <f t="shared" si="171"/>
        <v>Green</v>
      </c>
      <c r="S527" t="str">
        <f t="shared" si="172"/>
        <v>Red</v>
      </c>
      <c r="T527" t="str">
        <f t="shared" si="173"/>
        <v>Green</v>
      </c>
      <c r="U527" t="str">
        <f t="shared" si="174"/>
        <v>Green</v>
      </c>
      <c r="V527" t="str">
        <f t="shared" si="175"/>
        <v>Red</v>
      </c>
      <c r="W527" t="str">
        <f t="shared" si="176"/>
        <v>Red</v>
      </c>
      <c r="X527" t="str">
        <f t="shared" si="177"/>
        <v>Green</v>
      </c>
      <c r="Y527" t="str">
        <f t="shared" si="178"/>
        <v>Green</v>
      </c>
      <c r="Z527" t="str">
        <f t="shared" si="179"/>
        <v>Green</v>
      </c>
      <c r="AA527" t="str">
        <f t="shared" si="180"/>
        <v>Red</v>
      </c>
      <c r="AB527" t="str">
        <f t="shared" si="181"/>
        <v>Red</v>
      </c>
      <c r="AC527" t="str">
        <f t="shared" si="182"/>
        <v>Green</v>
      </c>
      <c r="AD527" t="str">
        <f t="shared" si="183"/>
        <v>Red</v>
      </c>
    </row>
    <row r="528" spans="1:30" x14ac:dyDescent="0.25">
      <c r="A528" t="str">
        <f t="shared" si="164"/>
        <v>23/07/2026HooGeeSexy Poxyt</v>
      </c>
      <c r="D528" s="2">
        <v>46226</v>
      </c>
      <c r="E528" s="3">
        <v>0.71875</v>
      </c>
      <c r="F528" t="s">
        <v>2055</v>
      </c>
      <c r="G528" t="s">
        <v>2056</v>
      </c>
      <c r="H528">
        <v>0</v>
      </c>
      <c r="I528">
        <v>0</v>
      </c>
      <c r="J528">
        <v>1</v>
      </c>
      <c r="K528">
        <v>2</v>
      </c>
      <c r="L528" s="22" t="str">
        <f t="shared" si="165"/>
        <v>23/07/2026</v>
      </c>
      <c r="M528" s="23">
        <f t="shared" si="166"/>
        <v>0.59375</v>
      </c>
      <c r="N528" t="str">
        <f t="shared" si="167"/>
        <v>1 - 2</v>
      </c>
      <c r="O528" t="str">
        <f t="shared" si="168"/>
        <v>Red</v>
      </c>
      <c r="P528" t="str">
        <f t="shared" si="169"/>
        <v>Red</v>
      </c>
      <c r="Q528" t="str">
        <f t="shared" si="170"/>
        <v>Green</v>
      </c>
      <c r="R528" t="str">
        <f t="shared" si="171"/>
        <v>Red</v>
      </c>
      <c r="S528" t="str">
        <f t="shared" si="172"/>
        <v>Green</v>
      </c>
      <c r="T528" t="str">
        <f t="shared" si="173"/>
        <v>Green</v>
      </c>
      <c r="U528" t="str">
        <f t="shared" si="174"/>
        <v>Red</v>
      </c>
      <c r="V528" t="str">
        <f t="shared" si="175"/>
        <v>Green</v>
      </c>
      <c r="W528" t="str">
        <f t="shared" si="176"/>
        <v>Red</v>
      </c>
      <c r="X528" t="str">
        <f t="shared" si="177"/>
        <v>Red</v>
      </c>
      <c r="Y528" t="str">
        <f t="shared" si="178"/>
        <v>Green</v>
      </c>
      <c r="Z528" t="str">
        <f t="shared" si="179"/>
        <v>Green</v>
      </c>
      <c r="AA528" t="str">
        <f t="shared" si="180"/>
        <v>Red</v>
      </c>
      <c r="AB528" t="str">
        <f t="shared" si="181"/>
        <v>Green</v>
      </c>
      <c r="AC528" t="str">
        <f t="shared" si="182"/>
        <v>Green</v>
      </c>
      <c r="AD528" t="str">
        <f t="shared" si="183"/>
        <v>Red</v>
      </c>
    </row>
    <row r="529" spans="1:30" x14ac:dyDescent="0.25">
      <c r="A529" t="str">
        <f t="shared" si="164"/>
        <v>23/07/2026VaduzAtletic Club Escaldes</v>
      </c>
      <c r="B529" t="s">
        <v>820</v>
      </c>
      <c r="C529" t="s">
        <v>1344</v>
      </c>
      <c r="D529" s="2">
        <v>46226</v>
      </c>
      <c r="E529" s="3">
        <v>0.72916666666666663</v>
      </c>
      <c r="F529" t="s">
        <v>1957</v>
      </c>
      <c r="G529" t="s">
        <v>1958</v>
      </c>
      <c r="H529">
        <v>1</v>
      </c>
      <c r="I529">
        <v>0</v>
      </c>
      <c r="J529">
        <v>4</v>
      </c>
      <c r="K529">
        <v>0</v>
      </c>
      <c r="L529" s="22" t="str">
        <f t="shared" si="165"/>
        <v>23/07/2026</v>
      </c>
      <c r="M529" s="23">
        <f t="shared" si="166"/>
        <v>0.60416666666666663</v>
      </c>
      <c r="N529" t="str">
        <f t="shared" si="167"/>
        <v>4 - 0</v>
      </c>
      <c r="O529" t="str">
        <f t="shared" si="168"/>
        <v>Green</v>
      </c>
      <c r="P529" t="str">
        <f t="shared" si="169"/>
        <v>Red</v>
      </c>
      <c r="Q529" t="str">
        <f t="shared" si="170"/>
        <v>Red</v>
      </c>
      <c r="R529" t="str">
        <f t="shared" si="171"/>
        <v>Green</v>
      </c>
      <c r="S529" t="str">
        <f t="shared" si="172"/>
        <v>Red</v>
      </c>
      <c r="T529" t="str">
        <f t="shared" si="173"/>
        <v>Green</v>
      </c>
      <c r="U529" t="str">
        <f t="shared" si="174"/>
        <v>Green</v>
      </c>
      <c r="V529" t="str">
        <f t="shared" si="175"/>
        <v>Red</v>
      </c>
      <c r="W529" t="str">
        <f t="shared" si="176"/>
        <v>Red</v>
      </c>
      <c r="X529" t="str">
        <f t="shared" si="177"/>
        <v>Green</v>
      </c>
      <c r="Y529" t="str">
        <f t="shared" si="178"/>
        <v>Green</v>
      </c>
      <c r="Z529" t="str">
        <f t="shared" si="179"/>
        <v>Green</v>
      </c>
      <c r="AA529" t="str">
        <f t="shared" si="180"/>
        <v>Red</v>
      </c>
      <c r="AB529" t="str">
        <f t="shared" si="181"/>
        <v>Red</v>
      </c>
      <c r="AC529" t="str">
        <f t="shared" si="182"/>
        <v>Red</v>
      </c>
      <c r="AD529" t="str">
        <f t="shared" si="183"/>
        <v>Green</v>
      </c>
    </row>
    <row r="530" spans="1:30" x14ac:dyDescent="0.25">
      <c r="A530" t="str">
        <f t="shared" si="164"/>
        <v>23/07/2026FCSBFK Auda</v>
      </c>
      <c r="B530" t="s">
        <v>820</v>
      </c>
      <c r="C530" t="s">
        <v>1344</v>
      </c>
      <c r="D530" s="2">
        <v>46226</v>
      </c>
      <c r="E530" s="3">
        <v>0.73958333333333337</v>
      </c>
      <c r="F530" t="s">
        <v>1129</v>
      </c>
      <c r="G530" t="s">
        <v>1109</v>
      </c>
      <c r="H530">
        <v>1</v>
      </c>
      <c r="I530">
        <v>2</v>
      </c>
      <c r="J530">
        <v>2</v>
      </c>
      <c r="K530">
        <v>3</v>
      </c>
      <c r="L530" s="22" t="str">
        <f t="shared" si="165"/>
        <v>23/07/2026</v>
      </c>
      <c r="M530" s="23">
        <f t="shared" si="166"/>
        <v>0.61458333333333337</v>
      </c>
      <c r="N530" t="str">
        <f t="shared" si="167"/>
        <v>2 - 3</v>
      </c>
      <c r="O530" t="str">
        <f t="shared" si="168"/>
        <v>Red</v>
      </c>
      <c r="P530" t="str">
        <f t="shared" si="169"/>
        <v>Red</v>
      </c>
      <c r="Q530" t="str">
        <f t="shared" si="170"/>
        <v>Green</v>
      </c>
      <c r="R530" t="str">
        <f t="shared" si="171"/>
        <v>Red</v>
      </c>
      <c r="S530" t="str">
        <f t="shared" si="172"/>
        <v>Green</v>
      </c>
      <c r="T530" t="str">
        <f t="shared" si="173"/>
        <v>Green</v>
      </c>
      <c r="U530" t="str">
        <f t="shared" si="174"/>
        <v>Red</v>
      </c>
      <c r="V530" t="str">
        <f t="shared" si="175"/>
        <v>Red</v>
      </c>
      <c r="W530" t="str">
        <f t="shared" si="176"/>
        <v>Green</v>
      </c>
      <c r="X530" t="str">
        <f t="shared" si="177"/>
        <v>Green</v>
      </c>
      <c r="Y530" t="str">
        <f t="shared" si="178"/>
        <v>Green</v>
      </c>
      <c r="Z530" t="str">
        <f t="shared" si="179"/>
        <v>Green</v>
      </c>
      <c r="AA530" t="str">
        <f t="shared" si="180"/>
        <v>Red</v>
      </c>
      <c r="AB530" t="str">
        <f t="shared" si="181"/>
        <v>Red</v>
      </c>
      <c r="AC530" t="str">
        <f t="shared" si="182"/>
        <v>Green</v>
      </c>
      <c r="AD530" t="str">
        <f t="shared" si="183"/>
        <v>Red</v>
      </c>
    </row>
    <row r="531" spans="1:30" x14ac:dyDescent="0.25">
      <c r="A531" t="str">
        <f t="shared" si="164"/>
        <v>23/07/2026BesiktasFC Midtjylland</v>
      </c>
      <c r="B531" t="s">
        <v>820</v>
      </c>
      <c r="C531" t="s">
        <v>1907</v>
      </c>
      <c r="D531" s="2">
        <v>46226</v>
      </c>
      <c r="E531" s="3">
        <v>0.75</v>
      </c>
      <c r="F531" t="s">
        <v>1918</v>
      </c>
      <c r="G531" t="s">
        <v>1002</v>
      </c>
      <c r="H531">
        <v>1</v>
      </c>
      <c r="I531">
        <v>0</v>
      </c>
      <c r="J531">
        <v>1</v>
      </c>
      <c r="K531">
        <v>0</v>
      </c>
      <c r="L531" s="22" t="str">
        <f t="shared" si="165"/>
        <v>23/07/2026</v>
      </c>
      <c r="M531" s="23">
        <f t="shared" si="166"/>
        <v>0.625</v>
      </c>
      <c r="N531" t="str">
        <f t="shared" si="167"/>
        <v>1 - 0</v>
      </c>
      <c r="O531" t="str">
        <f t="shared" si="168"/>
        <v>Green</v>
      </c>
      <c r="P531" t="str">
        <f t="shared" si="169"/>
        <v>Red</v>
      </c>
      <c r="Q531" t="str">
        <f t="shared" si="170"/>
        <v>Red</v>
      </c>
      <c r="R531" t="str">
        <f t="shared" si="171"/>
        <v>Green</v>
      </c>
      <c r="S531" t="str">
        <f t="shared" si="172"/>
        <v>Red</v>
      </c>
      <c r="T531" t="str">
        <f t="shared" si="173"/>
        <v>Green</v>
      </c>
      <c r="U531" t="str">
        <f t="shared" si="174"/>
        <v>Green</v>
      </c>
      <c r="V531" t="str">
        <f t="shared" si="175"/>
        <v>Red</v>
      </c>
      <c r="W531" t="str">
        <f t="shared" si="176"/>
        <v>Red</v>
      </c>
      <c r="X531" t="str">
        <f t="shared" si="177"/>
        <v>Green</v>
      </c>
      <c r="Y531" t="str">
        <f t="shared" si="178"/>
        <v>Red</v>
      </c>
      <c r="Z531" t="str">
        <f t="shared" si="179"/>
        <v>Red</v>
      </c>
      <c r="AA531" t="str">
        <f t="shared" si="180"/>
        <v>Green</v>
      </c>
      <c r="AB531" t="str">
        <f t="shared" si="181"/>
        <v>Green</v>
      </c>
      <c r="AC531" t="str">
        <f t="shared" si="182"/>
        <v>Red</v>
      </c>
      <c r="AD531" t="str">
        <f t="shared" si="183"/>
        <v>Green</v>
      </c>
    </row>
    <row r="532" spans="1:30" x14ac:dyDescent="0.25">
      <c r="A532" t="str">
        <f t="shared" si="164"/>
        <v>23/07/2026St GallenBenfica</v>
      </c>
      <c r="B532" t="s">
        <v>820</v>
      </c>
      <c r="C532" t="s">
        <v>1907</v>
      </c>
      <c r="D532" s="2">
        <v>46226</v>
      </c>
      <c r="E532" s="3">
        <v>0.75</v>
      </c>
      <c r="F532" t="s">
        <v>1919</v>
      </c>
      <c r="G532" t="s">
        <v>1920</v>
      </c>
      <c r="H532">
        <v>1</v>
      </c>
      <c r="I532">
        <v>1</v>
      </c>
      <c r="J532">
        <v>2</v>
      </c>
      <c r="K532">
        <v>1</v>
      </c>
      <c r="L532" s="22" t="str">
        <f t="shared" si="165"/>
        <v>23/07/2026</v>
      </c>
      <c r="M532" s="23">
        <f t="shared" si="166"/>
        <v>0.625</v>
      </c>
      <c r="N532" t="str">
        <f t="shared" si="167"/>
        <v>2 - 1</v>
      </c>
      <c r="O532" t="str">
        <f t="shared" si="168"/>
        <v>Green</v>
      </c>
      <c r="P532" t="str">
        <f t="shared" si="169"/>
        <v>Red</v>
      </c>
      <c r="Q532" t="str">
        <f t="shared" si="170"/>
        <v>Red</v>
      </c>
      <c r="R532" t="str">
        <f t="shared" si="171"/>
        <v>Green</v>
      </c>
      <c r="S532" t="str">
        <f t="shared" si="172"/>
        <v>Red</v>
      </c>
      <c r="T532" t="str">
        <f t="shared" si="173"/>
        <v>Green</v>
      </c>
      <c r="U532" t="str">
        <f t="shared" si="174"/>
        <v>Red</v>
      </c>
      <c r="V532" t="str">
        <f t="shared" si="175"/>
        <v>Green</v>
      </c>
      <c r="W532" t="str">
        <f t="shared" si="176"/>
        <v>Red</v>
      </c>
      <c r="X532" t="str">
        <f t="shared" si="177"/>
        <v>Green</v>
      </c>
      <c r="Y532" t="str">
        <f t="shared" si="178"/>
        <v>Green</v>
      </c>
      <c r="Z532" t="str">
        <f t="shared" si="179"/>
        <v>Green</v>
      </c>
      <c r="AA532" t="str">
        <f t="shared" si="180"/>
        <v>Red</v>
      </c>
      <c r="AB532" t="str">
        <f t="shared" si="181"/>
        <v>Green</v>
      </c>
      <c r="AC532" t="str">
        <f t="shared" si="182"/>
        <v>Green</v>
      </c>
      <c r="AD532" t="str">
        <f t="shared" si="183"/>
        <v>Red</v>
      </c>
    </row>
    <row r="533" spans="1:30" x14ac:dyDescent="0.25">
      <c r="A533" t="str">
        <f t="shared" si="164"/>
        <v>23/07/2026TwenteFerencvarosi TC</v>
      </c>
      <c r="B533" t="s">
        <v>820</v>
      </c>
      <c r="C533" t="s">
        <v>1907</v>
      </c>
      <c r="D533" s="2">
        <v>46226</v>
      </c>
      <c r="E533" s="3">
        <v>0.75</v>
      </c>
      <c r="F533" t="s">
        <v>1921</v>
      </c>
      <c r="G533" t="s">
        <v>1138</v>
      </c>
      <c r="H533">
        <v>1</v>
      </c>
      <c r="I533">
        <v>1</v>
      </c>
      <c r="J533">
        <v>1</v>
      </c>
      <c r="K533">
        <v>2</v>
      </c>
      <c r="L533" s="22" t="str">
        <f t="shared" si="165"/>
        <v>23/07/2026</v>
      </c>
      <c r="M533" s="23">
        <f t="shared" si="166"/>
        <v>0.625</v>
      </c>
      <c r="N533" t="str">
        <f t="shared" si="167"/>
        <v>1 - 2</v>
      </c>
      <c r="O533" t="str">
        <f t="shared" si="168"/>
        <v>Red</v>
      </c>
      <c r="P533" t="str">
        <f t="shared" si="169"/>
        <v>Red</v>
      </c>
      <c r="Q533" t="str">
        <f t="shared" si="170"/>
        <v>Green</v>
      </c>
      <c r="R533" t="str">
        <f t="shared" si="171"/>
        <v>Red</v>
      </c>
      <c r="S533" t="str">
        <f t="shared" si="172"/>
        <v>Green</v>
      </c>
      <c r="T533" t="str">
        <f t="shared" si="173"/>
        <v>Green</v>
      </c>
      <c r="U533" t="str">
        <f t="shared" si="174"/>
        <v>Red</v>
      </c>
      <c r="V533" t="str">
        <f t="shared" si="175"/>
        <v>Green</v>
      </c>
      <c r="W533" t="str">
        <f t="shared" si="176"/>
        <v>Red</v>
      </c>
      <c r="X533" t="str">
        <f t="shared" si="177"/>
        <v>Green</v>
      </c>
      <c r="Y533" t="str">
        <f t="shared" si="178"/>
        <v>Green</v>
      </c>
      <c r="Z533" t="str">
        <f t="shared" si="179"/>
        <v>Green</v>
      </c>
      <c r="AA533" t="str">
        <f t="shared" si="180"/>
        <v>Red</v>
      </c>
      <c r="AB533" t="str">
        <f t="shared" si="181"/>
        <v>Green</v>
      </c>
      <c r="AC533" t="str">
        <f t="shared" si="182"/>
        <v>Green</v>
      </c>
      <c r="AD533" t="str">
        <f t="shared" si="183"/>
        <v>Red</v>
      </c>
    </row>
    <row r="534" spans="1:30" x14ac:dyDescent="0.25">
      <c r="A534" t="str">
        <f t="shared" si="164"/>
        <v>23/07/2026MFC ZhytomyrCopenhagen</v>
      </c>
      <c r="B534" t="s">
        <v>820</v>
      </c>
      <c r="C534" t="s">
        <v>1344</v>
      </c>
      <c r="D534" s="2">
        <v>46226</v>
      </c>
      <c r="E534" s="3">
        <v>0.75</v>
      </c>
      <c r="F534" t="s">
        <v>1959</v>
      </c>
      <c r="G534" t="s">
        <v>1960</v>
      </c>
      <c r="H534">
        <v>2</v>
      </c>
      <c r="I534">
        <v>1</v>
      </c>
      <c r="J534">
        <v>3</v>
      </c>
      <c r="K534">
        <v>3</v>
      </c>
      <c r="L534" s="22" t="str">
        <f t="shared" si="165"/>
        <v>23/07/2026</v>
      </c>
      <c r="M534" s="23">
        <f t="shared" si="166"/>
        <v>0.625</v>
      </c>
      <c r="N534" t="str">
        <f t="shared" si="167"/>
        <v>3 - 3</v>
      </c>
      <c r="O534" t="str">
        <f t="shared" si="168"/>
        <v>Red</v>
      </c>
      <c r="P534" t="str">
        <f t="shared" si="169"/>
        <v>Green</v>
      </c>
      <c r="Q534" t="str">
        <f t="shared" si="170"/>
        <v>Red</v>
      </c>
      <c r="R534" t="str">
        <f t="shared" si="171"/>
        <v>Green</v>
      </c>
      <c r="S534" t="str">
        <f t="shared" si="172"/>
        <v>Green</v>
      </c>
      <c r="T534" t="str">
        <f t="shared" si="173"/>
        <v>Red</v>
      </c>
      <c r="U534" t="str">
        <f t="shared" si="174"/>
        <v>Green</v>
      </c>
      <c r="V534" t="str">
        <f t="shared" si="175"/>
        <v>Red</v>
      </c>
      <c r="W534" t="str">
        <f t="shared" si="176"/>
        <v>Red</v>
      </c>
      <c r="X534" t="str">
        <f t="shared" si="177"/>
        <v>Green</v>
      </c>
      <c r="Y534" t="str">
        <f t="shared" si="178"/>
        <v>Green</v>
      </c>
      <c r="Z534" t="str">
        <f t="shared" si="179"/>
        <v>Green</v>
      </c>
      <c r="AA534" t="str">
        <f t="shared" si="180"/>
        <v>Red</v>
      </c>
      <c r="AB534" t="str">
        <f t="shared" si="181"/>
        <v>Red</v>
      </c>
      <c r="AC534" t="str">
        <f t="shared" si="182"/>
        <v>Green</v>
      </c>
      <c r="AD534" t="str">
        <f t="shared" si="183"/>
        <v>Red</v>
      </c>
    </row>
    <row r="535" spans="1:30" x14ac:dyDescent="0.25">
      <c r="A535" t="str">
        <f t="shared" si="164"/>
        <v>23/07/2026NK AluminijFK Dinamo Tirana</v>
      </c>
      <c r="B535" t="s">
        <v>820</v>
      </c>
      <c r="C535" t="s">
        <v>1344</v>
      </c>
      <c r="D535" s="2">
        <v>46226</v>
      </c>
      <c r="E535" s="3">
        <v>0.75</v>
      </c>
      <c r="F535" t="s">
        <v>1961</v>
      </c>
      <c r="G535" t="s">
        <v>1962</v>
      </c>
      <c r="H535">
        <v>0</v>
      </c>
      <c r="I535">
        <v>1</v>
      </c>
      <c r="J535">
        <v>1</v>
      </c>
      <c r="K535">
        <v>1</v>
      </c>
      <c r="L535" s="22" t="str">
        <f t="shared" si="165"/>
        <v>23/07/2026</v>
      </c>
      <c r="M535" s="23">
        <f t="shared" si="166"/>
        <v>0.625</v>
      </c>
      <c r="N535" t="str">
        <f t="shared" si="167"/>
        <v>1 - 1</v>
      </c>
      <c r="O535" t="str">
        <f t="shared" si="168"/>
        <v>Red</v>
      </c>
      <c r="P535" t="str">
        <f t="shared" si="169"/>
        <v>Green</v>
      </c>
      <c r="Q535" t="str">
        <f t="shared" si="170"/>
        <v>Red</v>
      </c>
      <c r="R535" t="str">
        <f t="shared" si="171"/>
        <v>Green</v>
      </c>
      <c r="S535" t="str">
        <f t="shared" si="172"/>
        <v>Green</v>
      </c>
      <c r="T535" t="str">
        <f t="shared" si="173"/>
        <v>Red</v>
      </c>
      <c r="U535" t="str">
        <f t="shared" si="174"/>
        <v>Red</v>
      </c>
      <c r="V535" t="str">
        <f t="shared" si="175"/>
        <v>Red</v>
      </c>
      <c r="W535" t="str">
        <f t="shared" si="176"/>
        <v>Green</v>
      </c>
      <c r="X535" t="str">
        <f t="shared" si="177"/>
        <v>Green</v>
      </c>
      <c r="Y535" t="str">
        <f t="shared" si="178"/>
        <v>Green</v>
      </c>
      <c r="Z535" t="str">
        <f t="shared" si="179"/>
        <v>Red</v>
      </c>
      <c r="AA535" t="str">
        <f t="shared" si="180"/>
        <v>Green</v>
      </c>
      <c r="AB535" t="str">
        <f t="shared" si="181"/>
        <v>Green</v>
      </c>
      <c r="AC535" t="str">
        <f t="shared" si="182"/>
        <v>Green</v>
      </c>
      <c r="AD535" t="str">
        <f t="shared" si="183"/>
        <v>Red</v>
      </c>
    </row>
    <row r="536" spans="1:30" x14ac:dyDescent="0.25">
      <c r="A536" t="str">
        <f t="shared" si="164"/>
        <v>23/07/2026NK VarazdinBaumit Jablonec</v>
      </c>
      <c r="B536" t="s">
        <v>820</v>
      </c>
      <c r="C536" t="s">
        <v>1344</v>
      </c>
      <c r="D536" s="2">
        <v>46226</v>
      </c>
      <c r="E536" s="3">
        <v>0.75</v>
      </c>
      <c r="F536" t="s">
        <v>1924</v>
      </c>
      <c r="G536" t="s">
        <v>1963</v>
      </c>
      <c r="H536">
        <v>1</v>
      </c>
      <c r="I536">
        <v>1</v>
      </c>
      <c r="J536">
        <v>3</v>
      </c>
      <c r="K536">
        <v>2</v>
      </c>
      <c r="L536" s="22" t="str">
        <f t="shared" si="165"/>
        <v>23/07/2026</v>
      </c>
      <c r="M536" s="23">
        <f t="shared" si="166"/>
        <v>0.625</v>
      </c>
      <c r="N536" t="str">
        <f t="shared" si="167"/>
        <v>3 - 2</v>
      </c>
      <c r="O536" t="str">
        <f t="shared" si="168"/>
        <v>Green</v>
      </c>
      <c r="P536" t="str">
        <f t="shared" si="169"/>
        <v>Red</v>
      </c>
      <c r="Q536" t="str">
        <f t="shared" si="170"/>
        <v>Red</v>
      </c>
      <c r="R536" t="str">
        <f t="shared" si="171"/>
        <v>Green</v>
      </c>
      <c r="S536" t="str">
        <f t="shared" si="172"/>
        <v>Red</v>
      </c>
      <c r="T536" t="str">
        <f t="shared" si="173"/>
        <v>Green</v>
      </c>
      <c r="U536" t="str">
        <f t="shared" si="174"/>
        <v>Red</v>
      </c>
      <c r="V536" t="str">
        <f t="shared" si="175"/>
        <v>Green</v>
      </c>
      <c r="W536" t="str">
        <f t="shared" si="176"/>
        <v>Red</v>
      </c>
      <c r="X536" t="str">
        <f t="shared" si="177"/>
        <v>Green</v>
      </c>
      <c r="Y536" t="str">
        <f t="shared" si="178"/>
        <v>Green</v>
      </c>
      <c r="Z536" t="str">
        <f t="shared" si="179"/>
        <v>Green</v>
      </c>
      <c r="AA536" t="str">
        <f t="shared" si="180"/>
        <v>Red</v>
      </c>
      <c r="AB536" t="str">
        <f t="shared" si="181"/>
        <v>Red</v>
      </c>
      <c r="AC536" t="str">
        <f t="shared" si="182"/>
        <v>Green</v>
      </c>
      <c r="AD536" t="str">
        <f t="shared" si="183"/>
        <v>Red</v>
      </c>
    </row>
    <row r="537" spans="1:30" x14ac:dyDescent="0.25">
      <c r="A537" t="str">
        <f t="shared" si="164"/>
        <v>23/07/2026Paksi SEPanathinaikos</v>
      </c>
      <c r="B537" t="s">
        <v>820</v>
      </c>
      <c r="C537" t="s">
        <v>1344</v>
      </c>
      <c r="D537" s="2">
        <v>46226</v>
      </c>
      <c r="E537" s="3">
        <v>0.75</v>
      </c>
      <c r="F537" t="s">
        <v>1964</v>
      </c>
      <c r="G537" t="s">
        <v>1965</v>
      </c>
      <c r="H537">
        <v>0</v>
      </c>
      <c r="I537">
        <v>1</v>
      </c>
      <c r="J537">
        <v>1</v>
      </c>
      <c r="K537">
        <v>2</v>
      </c>
      <c r="L537" s="22" t="str">
        <f t="shared" si="165"/>
        <v>23/07/2026</v>
      </c>
      <c r="M537" s="23">
        <f t="shared" si="166"/>
        <v>0.625</v>
      </c>
      <c r="N537" t="str">
        <f t="shared" si="167"/>
        <v>1 - 2</v>
      </c>
      <c r="O537" t="str">
        <f t="shared" si="168"/>
        <v>Red</v>
      </c>
      <c r="P537" t="str">
        <f t="shared" si="169"/>
        <v>Red</v>
      </c>
      <c r="Q537" t="str">
        <f t="shared" si="170"/>
        <v>Green</v>
      </c>
      <c r="R537" t="str">
        <f t="shared" si="171"/>
        <v>Red</v>
      </c>
      <c r="S537" t="str">
        <f t="shared" si="172"/>
        <v>Green</v>
      </c>
      <c r="T537" t="str">
        <f t="shared" si="173"/>
        <v>Green</v>
      </c>
      <c r="U537" t="str">
        <f t="shared" si="174"/>
        <v>Red</v>
      </c>
      <c r="V537" t="str">
        <f t="shared" si="175"/>
        <v>Red</v>
      </c>
      <c r="W537" t="str">
        <f t="shared" si="176"/>
        <v>Green</v>
      </c>
      <c r="X537" t="str">
        <f t="shared" si="177"/>
        <v>Green</v>
      </c>
      <c r="Y537" t="str">
        <f t="shared" si="178"/>
        <v>Green</v>
      </c>
      <c r="Z537" t="str">
        <f t="shared" si="179"/>
        <v>Green</v>
      </c>
      <c r="AA537" t="str">
        <f t="shared" si="180"/>
        <v>Red</v>
      </c>
      <c r="AB537" t="str">
        <f t="shared" si="181"/>
        <v>Green</v>
      </c>
      <c r="AC537" t="str">
        <f t="shared" si="182"/>
        <v>Green</v>
      </c>
      <c r="AD537" t="str">
        <f t="shared" si="183"/>
        <v>Red</v>
      </c>
    </row>
    <row r="538" spans="1:30" x14ac:dyDescent="0.25">
      <c r="A538" t="str">
        <f t="shared" si="164"/>
        <v>23/07/2026VojvodinaAjax</v>
      </c>
      <c r="B538" t="s">
        <v>820</v>
      </c>
      <c r="C538" t="s">
        <v>1344</v>
      </c>
      <c r="D538" s="2">
        <v>46226</v>
      </c>
      <c r="E538" s="3">
        <v>0.75</v>
      </c>
      <c r="F538" t="s">
        <v>1124</v>
      </c>
      <c r="G538" t="s">
        <v>1966</v>
      </c>
      <c r="H538">
        <v>1</v>
      </c>
      <c r="I538">
        <v>2</v>
      </c>
      <c r="J538">
        <v>1</v>
      </c>
      <c r="K538">
        <v>4</v>
      </c>
      <c r="L538" s="22" t="str">
        <f t="shared" si="165"/>
        <v>23/07/2026</v>
      </c>
      <c r="M538" s="23">
        <f t="shared" si="166"/>
        <v>0.625</v>
      </c>
      <c r="N538" t="str">
        <f t="shared" si="167"/>
        <v>1 - 4</v>
      </c>
      <c r="O538" t="str">
        <f t="shared" si="168"/>
        <v>Red</v>
      </c>
      <c r="P538" t="str">
        <f t="shared" si="169"/>
        <v>Red</v>
      </c>
      <c r="Q538" t="str">
        <f t="shared" si="170"/>
        <v>Green</v>
      </c>
      <c r="R538" t="str">
        <f t="shared" si="171"/>
        <v>Red</v>
      </c>
      <c r="S538" t="str">
        <f t="shared" si="172"/>
        <v>Green</v>
      </c>
      <c r="T538" t="str">
        <f t="shared" si="173"/>
        <v>Green</v>
      </c>
      <c r="U538" t="str">
        <f t="shared" si="174"/>
        <v>Red</v>
      </c>
      <c r="V538" t="str">
        <f t="shared" si="175"/>
        <v>Red</v>
      </c>
      <c r="W538" t="str">
        <f t="shared" si="176"/>
        <v>Green</v>
      </c>
      <c r="X538" t="str">
        <f t="shared" si="177"/>
        <v>Green</v>
      </c>
      <c r="Y538" t="str">
        <f t="shared" si="178"/>
        <v>Green</v>
      </c>
      <c r="Z538" t="str">
        <f t="shared" si="179"/>
        <v>Green</v>
      </c>
      <c r="AA538" t="str">
        <f t="shared" si="180"/>
        <v>Red</v>
      </c>
      <c r="AB538" t="str">
        <f t="shared" si="181"/>
        <v>Red</v>
      </c>
      <c r="AC538" t="str">
        <f t="shared" si="182"/>
        <v>Green</v>
      </c>
      <c r="AD538" t="str">
        <f t="shared" si="183"/>
        <v>Red</v>
      </c>
    </row>
    <row r="539" spans="1:30" x14ac:dyDescent="0.25">
      <c r="A539" t="str">
        <f t="shared" si="164"/>
        <v>23/07/2026Atletico ArgentinoPuerto Nuevo</v>
      </c>
      <c r="D539" s="2">
        <v>46226</v>
      </c>
      <c r="E539" s="3">
        <v>0.75</v>
      </c>
      <c r="F539" t="s">
        <v>1994</v>
      </c>
      <c r="G539" t="s">
        <v>670</v>
      </c>
      <c r="H539">
        <v>0</v>
      </c>
      <c r="I539">
        <v>0</v>
      </c>
      <c r="J539">
        <v>0</v>
      </c>
      <c r="K539">
        <v>0</v>
      </c>
      <c r="L539" s="22" t="str">
        <f t="shared" si="165"/>
        <v>23/07/2026</v>
      </c>
      <c r="M539" s="23">
        <f t="shared" si="166"/>
        <v>0.625</v>
      </c>
      <c r="N539" t="str">
        <f t="shared" si="167"/>
        <v>0 - 0</v>
      </c>
      <c r="O539" t="str">
        <f t="shared" si="168"/>
        <v>Red</v>
      </c>
      <c r="P539" t="str">
        <f t="shared" si="169"/>
        <v>Green</v>
      </c>
      <c r="Q539" t="str">
        <f t="shared" si="170"/>
        <v>Red</v>
      </c>
      <c r="R539" t="str">
        <f t="shared" si="171"/>
        <v>Green</v>
      </c>
      <c r="S539" t="str">
        <f t="shared" si="172"/>
        <v>Green</v>
      </c>
      <c r="T539" t="str">
        <f t="shared" si="173"/>
        <v>Red</v>
      </c>
      <c r="U539" t="str">
        <f t="shared" si="174"/>
        <v>Red</v>
      </c>
      <c r="V539" t="str">
        <f t="shared" si="175"/>
        <v>Green</v>
      </c>
      <c r="W539" t="str">
        <f t="shared" si="176"/>
        <v>Red</v>
      </c>
      <c r="X539" t="str">
        <f t="shared" si="177"/>
        <v>Red</v>
      </c>
      <c r="Y539" t="str">
        <f t="shared" si="178"/>
        <v>Red</v>
      </c>
      <c r="Z539" t="str">
        <f t="shared" si="179"/>
        <v>Red</v>
      </c>
      <c r="AA539" t="str">
        <f t="shared" si="180"/>
        <v>Green</v>
      </c>
      <c r="AB539" t="str">
        <f t="shared" si="181"/>
        <v>Green</v>
      </c>
      <c r="AC539" t="str">
        <f t="shared" si="182"/>
        <v>Red</v>
      </c>
      <c r="AD539" t="str">
        <f t="shared" si="183"/>
        <v>Green</v>
      </c>
    </row>
    <row r="540" spans="1:30" x14ac:dyDescent="0.25">
      <c r="A540" t="str">
        <f t="shared" si="164"/>
        <v>23/07/2026Gremio LaranjeirasDoze ES</v>
      </c>
      <c r="D540" s="2">
        <v>46226</v>
      </c>
      <c r="E540" s="3">
        <v>0.75</v>
      </c>
      <c r="F540" t="s">
        <v>2004</v>
      </c>
      <c r="G540" t="s">
        <v>2005</v>
      </c>
      <c r="H540">
        <v>0</v>
      </c>
      <c r="I540">
        <v>0</v>
      </c>
      <c r="J540">
        <v>0</v>
      </c>
      <c r="K540">
        <v>0</v>
      </c>
      <c r="L540" s="22" t="str">
        <f t="shared" si="165"/>
        <v>23/07/2026</v>
      </c>
      <c r="M540" s="23">
        <f t="shared" si="166"/>
        <v>0.625</v>
      </c>
      <c r="N540" t="str">
        <f t="shared" si="167"/>
        <v>0 - 0</v>
      </c>
      <c r="O540" t="str">
        <f t="shared" si="168"/>
        <v>Red</v>
      </c>
      <c r="P540" t="str">
        <f t="shared" si="169"/>
        <v>Green</v>
      </c>
      <c r="Q540" t="str">
        <f t="shared" si="170"/>
        <v>Red</v>
      </c>
      <c r="R540" t="str">
        <f t="shared" si="171"/>
        <v>Green</v>
      </c>
      <c r="S540" t="str">
        <f t="shared" si="172"/>
        <v>Green</v>
      </c>
      <c r="T540" t="str">
        <f t="shared" si="173"/>
        <v>Red</v>
      </c>
      <c r="U540" t="str">
        <f t="shared" si="174"/>
        <v>Red</v>
      </c>
      <c r="V540" t="str">
        <f t="shared" si="175"/>
        <v>Green</v>
      </c>
      <c r="W540" t="str">
        <f t="shared" si="176"/>
        <v>Red</v>
      </c>
      <c r="X540" t="str">
        <f t="shared" si="177"/>
        <v>Red</v>
      </c>
      <c r="Y540" t="str">
        <f t="shared" si="178"/>
        <v>Red</v>
      </c>
      <c r="Z540" t="str">
        <f t="shared" si="179"/>
        <v>Red</v>
      </c>
      <c r="AA540" t="str">
        <f t="shared" si="180"/>
        <v>Green</v>
      </c>
      <c r="AB540" t="str">
        <f t="shared" si="181"/>
        <v>Green</v>
      </c>
      <c r="AC540" t="str">
        <f t="shared" si="182"/>
        <v>Red</v>
      </c>
      <c r="AD540" t="str">
        <f t="shared" si="183"/>
        <v>Green</v>
      </c>
    </row>
    <row r="541" spans="1:30" x14ac:dyDescent="0.25">
      <c r="A541" t="str">
        <f t="shared" si="164"/>
        <v>23/07/2026Chapecoense U20Barra dos Coqueiros U20</v>
      </c>
      <c r="D541" s="2">
        <v>46226</v>
      </c>
      <c r="E541" s="3">
        <v>0.75</v>
      </c>
      <c r="F541" t="s">
        <v>2012</v>
      </c>
      <c r="G541" t="s">
        <v>2013</v>
      </c>
      <c r="H541">
        <v>0</v>
      </c>
      <c r="I541">
        <v>0</v>
      </c>
      <c r="J541">
        <v>2</v>
      </c>
      <c r="K541">
        <v>1</v>
      </c>
      <c r="L541" s="22" t="str">
        <f t="shared" si="165"/>
        <v>23/07/2026</v>
      </c>
      <c r="M541" s="23">
        <f t="shared" si="166"/>
        <v>0.625</v>
      </c>
      <c r="N541" t="str">
        <f t="shared" si="167"/>
        <v>2 - 1</v>
      </c>
      <c r="O541" t="str">
        <f t="shared" si="168"/>
        <v>Green</v>
      </c>
      <c r="P541" t="str">
        <f t="shared" si="169"/>
        <v>Red</v>
      </c>
      <c r="Q541" t="str">
        <f t="shared" si="170"/>
        <v>Red</v>
      </c>
      <c r="R541" t="str">
        <f t="shared" si="171"/>
        <v>Green</v>
      </c>
      <c r="S541" t="str">
        <f t="shared" si="172"/>
        <v>Red</v>
      </c>
      <c r="T541" t="str">
        <f t="shared" si="173"/>
        <v>Green</v>
      </c>
      <c r="U541" t="str">
        <f t="shared" si="174"/>
        <v>Red</v>
      </c>
      <c r="V541" t="str">
        <f t="shared" si="175"/>
        <v>Green</v>
      </c>
      <c r="W541" t="str">
        <f t="shared" si="176"/>
        <v>Red</v>
      </c>
      <c r="X541" t="str">
        <f t="shared" si="177"/>
        <v>Red</v>
      </c>
      <c r="Y541" t="str">
        <f t="shared" si="178"/>
        <v>Green</v>
      </c>
      <c r="Z541" t="str">
        <f t="shared" si="179"/>
        <v>Green</v>
      </c>
      <c r="AA541" t="str">
        <f t="shared" si="180"/>
        <v>Red</v>
      </c>
      <c r="AB541" t="str">
        <f t="shared" si="181"/>
        <v>Green</v>
      </c>
      <c r="AC541" t="str">
        <f t="shared" si="182"/>
        <v>Green</v>
      </c>
      <c r="AD541" t="str">
        <f t="shared" si="183"/>
        <v>Red</v>
      </c>
    </row>
    <row r="542" spans="1:30" x14ac:dyDescent="0.25">
      <c r="A542" t="str">
        <f t="shared" si="164"/>
        <v>23/07/2026FK Borac Banja LukaCS Petrocub</v>
      </c>
      <c r="B542" t="s">
        <v>820</v>
      </c>
      <c r="C542" t="s">
        <v>1344</v>
      </c>
      <c r="D542" s="2">
        <v>46226</v>
      </c>
      <c r="E542" s="3">
        <v>0.77083333333333337</v>
      </c>
      <c r="F542" t="s">
        <v>1967</v>
      </c>
      <c r="G542" t="s">
        <v>1120</v>
      </c>
      <c r="H542">
        <v>1</v>
      </c>
      <c r="I542">
        <v>0</v>
      </c>
      <c r="J542">
        <v>3</v>
      </c>
      <c r="K542">
        <v>0</v>
      </c>
      <c r="L542" s="22" t="str">
        <f t="shared" si="165"/>
        <v>23/07/2026</v>
      </c>
      <c r="M542" s="23">
        <f t="shared" si="166"/>
        <v>0.64583333333333337</v>
      </c>
      <c r="N542" t="str">
        <f t="shared" si="167"/>
        <v>3 - 0</v>
      </c>
      <c r="O542" t="str">
        <f t="shared" si="168"/>
        <v>Green</v>
      </c>
      <c r="P542" t="str">
        <f t="shared" si="169"/>
        <v>Red</v>
      </c>
      <c r="Q542" t="str">
        <f t="shared" si="170"/>
        <v>Red</v>
      </c>
      <c r="R542" t="str">
        <f t="shared" si="171"/>
        <v>Green</v>
      </c>
      <c r="S542" t="str">
        <f t="shared" si="172"/>
        <v>Red</v>
      </c>
      <c r="T542" t="str">
        <f t="shared" si="173"/>
        <v>Green</v>
      </c>
      <c r="U542" t="str">
        <f t="shared" si="174"/>
        <v>Green</v>
      </c>
      <c r="V542" t="str">
        <f t="shared" si="175"/>
        <v>Red</v>
      </c>
      <c r="W542" t="str">
        <f t="shared" si="176"/>
        <v>Red</v>
      </c>
      <c r="X542" t="str">
        <f t="shared" si="177"/>
        <v>Green</v>
      </c>
      <c r="Y542" t="str">
        <f t="shared" si="178"/>
        <v>Green</v>
      </c>
      <c r="Z542" t="str">
        <f t="shared" si="179"/>
        <v>Green</v>
      </c>
      <c r="AA542" t="str">
        <f t="shared" si="180"/>
        <v>Red</v>
      </c>
      <c r="AB542" t="str">
        <f t="shared" si="181"/>
        <v>Green</v>
      </c>
      <c r="AC542" t="str">
        <f t="shared" si="182"/>
        <v>Red</v>
      </c>
      <c r="AD542" t="str">
        <f t="shared" si="183"/>
        <v>Green</v>
      </c>
    </row>
    <row r="543" spans="1:30" x14ac:dyDescent="0.25">
      <c r="A543" t="str">
        <f t="shared" si="164"/>
        <v>23/07/2026Hapoel Tel AvivLudogorets</v>
      </c>
      <c r="B543" t="s">
        <v>820</v>
      </c>
      <c r="C543" t="s">
        <v>1344</v>
      </c>
      <c r="D543" s="2">
        <v>46226</v>
      </c>
      <c r="E543" s="3">
        <v>0.77083333333333337</v>
      </c>
      <c r="F543" t="s">
        <v>1968</v>
      </c>
      <c r="G543" t="s">
        <v>1969</v>
      </c>
      <c r="H543">
        <v>1</v>
      </c>
      <c r="I543">
        <v>0</v>
      </c>
      <c r="J543">
        <v>2</v>
      </c>
      <c r="K543">
        <v>0</v>
      </c>
      <c r="L543" s="22" t="str">
        <f t="shared" si="165"/>
        <v>23/07/2026</v>
      </c>
      <c r="M543" s="23">
        <f t="shared" si="166"/>
        <v>0.64583333333333337</v>
      </c>
      <c r="N543" t="str">
        <f t="shared" si="167"/>
        <v>2 - 0</v>
      </c>
      <c r="O543" t="str">
        <f t="shared" si="168"/>
        <v>Green</v>
      </c>
      <c r="P543" t="str">
        <f t="shared" si="169"/>
        <v>Red</v>
      </c>
      <c r="Q543" t="str">
        <f t="shared" si="170"/>
        <v>Red</v>
      </c>
      <c r="R543" t="str">
        <f t="shared" si="171"/>
        <v>Green</v>
      </c>
      <c r="S543" t="str">
        <f t="shared" si="172"/>
        <v>Red</v>
      </c>
      <c r="T543" t="str">
        <f t="shared" si="173"/>
        <v>Green</v>
      </c>
      <c r="U543" t="str">
        <f t="shared" si="174"/>
        <v>Green</v>
      </c>
      <c r="V543" t="str">
        <f t="shared" si="175"/>
        <v>Red</v>
      </c>
      <c r="W543" t="str">
        <f t="shared" si="176"/>
        <v>Red</v>
      </c>
      <c r="X543" t="str">
        <f t="shared" si="177"/>
        <v>Green</v>
      </c>
      <c r="Y543" t="str">
        <f t="shared" si="178"/>
        <v>Green</v>
      </c>
      <c r="Z543" t="str">
        <f t="shared" si="179"/>
        <v>Red</v>
      </c>
      <c r="AA543" t="str">
        <f t="shared" si="180"/>
        <v>Green</v>
      </c>
      <c r="AB543" t="str">
        <f t="shared" si="181"/>
        <v>Green</v>
      </c>
      <c r="AC543" t="str">
        <f t="shared" si="182"/>
        <v>Red</v>
      </c>
      <c r="AD543" t="str">
        <f t="shared" si="183"/>
        <v>Green</v>
      </c>
    </row>
    <row r="544" spans="1:30" x14ac:dyDescent="0.25">
      <c r="A544" t="str">
        <f t="shared" si="164"/>
        <v>23/07/2026LNZ LebedynGent</v>
      </c>
      <c r="B544" t="s">
        <v>820</v>
      </c>
      <c r="C544" t="s">
        <v>1344</v>
      </c>
      <c r="D544" s="2">
        <v>46226</v>
      </c>
      <c r="E544" s="3">
        <v>0.77083333333333337</v>
      </c>
      <c r="F544" t="s">
        <v>1970</v>
      </c>
      <c r="G544" t="s">
        <v>1971</v>
      </c>
      <c r="H544">
        <v>0</v>
      </c>
      <c r="I544">
        <v>0</v>
      </c>
      <c r="J544">
        <v>0</v>
      </c>
      <c r="K544">
        <v>0</v>
      </c>
      <c r="L544" s="22" t="str">
        <f t="shared" si="165"/>
        <v>23/07/2026</v>
      </c>
      <c r="M544" s="23">
        <f t="shared" si="166"/>
        <v>0.64583333333333337</v>
      </c>
      <c r="N544" t="str">
        <f t="shared" si="167"/>
        <v>0 - 0</v>
      </c>
      <c r="O544" t="str">
        <f t="shared" si="168"/>
        <v>Red</v>
      </c>
      <c r="P544" t="str">
        <f t="shared" si="169"/>
        <v>Green</v>
      </c>
      <c r="Q544" t="str">
        <f t="shared" si="170"/>
        <v>Red</v>
      </c>
      <c r="R544" t="str">
        <f t="shared" si="171"/>
        <v>Green</v>
      </c>
      <c r="S544" t="str">
        <f t="shared" si="172"/>
        <v>Green</v>
      </c>
      <c r="T544" t="str">
        <f t="shared" si="173"/>
        <v>Red</v>
      </c>
      <c r="U544" t="str">
        <f t="shared" si="174"/>
        <v>Red</v>
      </c>
      <c r="V544" t="str">
        <f t="shared" si="175"/>
        <v>Green</v>
      </c>
      <c r="W544" t="str">
        <f t="shared" si="176"/>
        <v>Red</v>
      </c>
      <c r="X544" t="str">
        <f t="shared" si="177"/>
        <v>Red</v>
      </c>
      <c r="Y544" t="str">
        <f t="shared" si="178"/>
        <v>Red</v>
      </c>
      <c r="Z544" t="str">
        <f t="shared" si="179"/>
        <v>Red</v>
      </c>
      <c r="AA544" t="str">
        <f t="shared" si="180"/>
        <v>Green</v>
      </c>
      <c r="AB544" t="str">
        <f t="shared" si="181"/>
        <v>Green</v>
      </c>
      <c r="AC544" t="str">
        <f t="shared" si="182"/>
        <v>Red</v>
      </c>
      <c r="AD544" t="str">
        <f t="shared" si="183"/>
        <v>Green</v>
      </c>
    </row>
    <row r="545" spans="1:30" x14ac:dyDescent="0.25">
      <c r="A545" t="str">
        <f t="shared" si="164"/>
        <v>23/07/2026LuganoDukagjini FK</v>
      </c>
      <c r="B545" t="s">
        <v>820</v>
      </c>
      <c r="C545" t="s">
        <v>1344</v>
      </c>
      <c r="D545" s="2">
        <v>46226</v>
      </c>
      <c r="E545" s="3">
        <v>0.77083333333333337</v>
      </c>
      <c r="F545" t="s">
        <v>685</v>
      </c>
      <c r="G545" t="s">
        <v>1972</v>
      </c>
      <c r="H545">
        <v>1</v>
      </c>
      <c r="I545">
        <v>0</v>
      </c>
      <c r="J545">
        <v>1</v>
      </c>
      <c r="K545">
        <v>0</v>
      </c>
      <c r="L545" s="22" t="str">
        <f t="shared" si="165"/>
        <v>23/07/2026</v>
      </c>
      <c r="M545" s="23">
        <f t="shared" si="166"/>
        <v>0.64583333333333337</v>
      </c>
      <c r="N545" t="str">
        <f t="shared" si="167"/>
        <v>1 - 0</v>
      </c>
      <c r="O545" t="str">
        <f t="shared" si="168"/>
        <v>Green</v>
      </c>
      <c r="P545" t="str">
        <f t="shared" si="169"/>
        <v>Red</v>
      </c>
      <c r="Q545" t="str">
        <f t="shared" si="170"/>
        <v>Red</v>
      </c>
      <c r="R545" t="str">
        <f t="shared" si="171"/>
        <v>Green</v>
      </c>
      <c r="S545" t="str">
        <f t="shared" si="172"/>
        <v>Red</v>
      </c>
      <c r="T545" t="str">
        <f t="shared" si="173"/>
        <v>Green</v>
      </c>
      <c r="U545" t="str">
        <f t="shared" si="174"/>
        <v>Green</v>
      </c>
      <c r="V545" t="str">
        <f t="shared" si="175"/>
        <v>Red</v>
      </c>
      <c r="W545" t="str">
        <f t="shared" si="176"/>
        <v>Red</v>
      </c>
      <c r="X545" t="str">
        <f t="shared" si="177"/>
        <v>Green</v>
      </c>
      <c r="Y545" t="str">
        <f t="shared" si="178"/>
        <v>Red</v>
      </c>
      <c r="Z545" t="str">
        <f t="shared" si="179"/>
        <v>Red</v>
      </c>
      <c r="AA545" t="str">
        <f t="shared" si="180"/>
        <v>Green</v>
      </c>
      <c r="AB545" t="str">
        <f t="shared" si="181"/>
        <v>Green</v>
      </c>
      <c r="AC545" t="str">
        <f t="shared" si="182"/>
        <v>Red</v>
      </c>
      <c r="AD545" t="str">
        <f t="shared" si="183"/>
        <v>Green</v>
      </c>
    </row>
    <row r="546" spans="1:30" x14ac:dyDescent="0.25">
      <c r="A546" t="str">
        <f t="shared" si="164"/>
        <v>23/07/2026MSK ZilinaGKS Katowice</v>
      </c>
      <c r="B546" t="s">
        <v>820</v>
      </c>
      <c r="C546" t="s">
        <v>1344</v>
      </c>
      <c r="D546" s="2">
        <v>46226</v>
      </c>
      <c r="E546" s="3">
        <v>0.77083333333333337</v>
      </c>
      <c r="F546" t="s">
        <v>1973</v>
      </c>
      <c r="G546" t="s">
        <v>1974</v>
      </c>
      <c r="H546">
        <v>1</v>
      </c>
      <c r="I546">
        <v>1</v>
      </c>
      <c r="J546">
        <v>2</v>
      </c>
      <c r="K546">
        <v>1</v>
      </c>
      <c r="L546" s="22" t="str">
        <f t="shared" si="165"/>
        <v>23/07/2026</v>
      </c>
      <c r="M546" s="23">
        <f t="shared" si="166"/>
        <v>0.64583333333333337</v>
      </c>
      <c r="N546" t="str">
        <f t="shared" si="167"/>
        <v>2 - 1</v>
      </c>
      <c r="O546" t="str">
        <f t="shared" si="168"/>
        <v>Green</v>
      </c>
      <c r="P546" t="str">
        <f t="shared" si="169"/>
        <v>Red</v>
      </c>
      <c r="Q546" t="str">
        <f t="shared" si="170"/>
        <v>Red</v>
      </c>
      <c r="R546" t="str">
        <f t="shared" si="171"/>
        <v>Green</v>
      </c>
      <c r="S546" t="str">
        <f t="shared" si="172"/>
        <v>Red</v>
      </c>
      <c r="T546" t="str">
        <f t="shared" si="173"/>
        <v>Green</v>
      </c>
      <c r="U546" t="str">
        <f t="shared" si="174"/>
        <v>Red</v>
      </c>
      <c r="V546" t="str">
        <f t="shared" si="175"/>
        <v>Green</v>
      </c>
      <c r="W546" t="str">
        <f t="shared" si="176"/>
        <v>Red</v>
      </c>
      <c r="X546" t="str">
        <f t="shared" si="177"/>
        <v>Green</v>
      </c>
      <c r="Y546" t="str">
        <f t="shared" si="178"/>
        <v>Green</v>
      </c>
      <c r="Z546" t="str">
        <f t="shared" si="179"/>
        <v>Green</v>
      </c>
      <c r="AA546" t="str">
        <f t="shared" si="180"/>
        <v>Red</v>
      </c>
      <c r="AB546" t="str">
        <f t="shared" si="181"/>
        <v>Green</v>
      </c>
      <c r="AC546" t="str">
        <f t="shared" si="182"/>
        <v>Green</v>
      </c>
      <c r="AD546" t="str">
        <f t="shared" si="183"/>
        <v>Red</v>
      </c>
    </row>
    <row r="547" spans="1:30" x14ac:dyDescent="0.25">
      <c r="A547" t="str">
        <f t="shared" si="164"/>
        <v>23/07/2026Sportivo ItenoDeportivo Capiata</v>
      </c>
      <c r="D547" s="2">
        <v>46226</v>
      </c>
      <c r="E547" s="3">
        <v>0.77083333333333337</v>
      </c>
      <c r="F547" t="s">
        <v>2086</v>
      </c>
      <c r="G547" t="s">
        <v>282</v>
      </c>
      <c r="H547">
        <v>1</v>
      </c>
      <c r="I547">
        <v>0</v>
      </c>
      <c r="J547">
        <v>3</v>
      </c>
      <c r="K547">
        <v>2</v>
      </c>
      <c r="L547" s="22" t="str">
        <f t="shared" si="165"/>
        <v>23/07/2026</v>
      </c>
      <c r="M547" s="23">
        <f t="shared" si="166"/>
        <v>0.64583333333333337</v>
      </c>
      <c r="N547" t="str">
        <f t="shared" si="167"/>
        <v>3 - 2</v>
      </c>
      <c r="O547" t="str">
        <f t="shared" si="168"/>
        <v>Green</v>
      </c>
      <c r="P547" t="str">
        <f t="shared" si="169"/>
        <v>Red</v>
      </c>
      <c r="Q547" t="str">
        <f t="shared" si="170"/>
        <v>Red</v>
      </c>
      <c r="R547" t="str">
        <f t="shared" si="171"/>
        <v>Green</v>
      </c>
      <c r="S547" t="str">
        <f t="shared" si="172"/>
        <v>Red</v>
      </c>
      <c r="T547" t="str">
        <f t="shared" si="173"/>
        <v>Green</v>
      </c>
      <c r="U547" t="str">
        <f t="shared" si="174"/>
        <v>Green</v>
      </c>
      <c r="V547" t="str">
        <f t="shared" si="175"/>
        <v>Red</v>
      </c>
      <c r="W547" t="str">
        <f t="shared" si="176"/>
        <v>Red</v>
      </c>
      <c r="X547" t="str">
        <f t="shared" si="177"/>
        <v>Green</v>
      </c>
      <c r="Y547" t="str">
        <f t="shared" si="178"/>
        <v>Green</v>
      </c>
      <c r="Z547" t="str">
        <f t="shared" si="179"/>
        <v>Green</v>
      </c>
      <c r="AA547" t="str">
        <f t="shared" si="180"/>
        <v>Red</v>
      </c>
      <c r="AB547" t="str">
        <f t="shared" si="181"/>
        <v>Red</v>
      </c>
      <c r="AC547" t="str">
        <f t="shared" si="182"/>
        <v>Green</v>
      </c>
      <c r="AD547" t="str">
        <f t="shared" si="183"/>
        <v>Red</v>
      </c>
    </row>
    <row r="548" spans="1:30" x14ac:dyDescent="0.25">
      <c r="A548" t="str">
        <f t="shared" si="164"/>
        <v>23/07/2026HNK RijekaDerry City</v>
      </c>
      <c r="B548" t="s">
        <v>820</v>
      </c>
      <c r="C548" t="s">
        <v>1344</v>
      </c>
      <c r="D548" s="2">
        <v>46226</v>
      </c>
      <c r="E548" s="3">
        <v>0.78125</v>
      </c>
      <c r="F548" t="s">
        <v>1975</v>
      </c>
      <c r="G548" t="s">
        <v>1976</v>
      </c>
      <c r="H548">
        <v>0</v>
      </c>
      <c r="I548">
        <v>0</v>
      </c>
      <c r="J548">
        <v>1</v>
      </c>
      <c r="K548">
        <v>0</v>
      </c>
      <c r="L548" s="22" t="str">
        <f t="shared" si="165"/>
        <v>23/07/2026</v>
      </c>
      <c r="M548" s="23">
        <f t="shared" si="166"/>
        <v>0.65625</v>
      </c>
      <c r="N548" t="str">
        <f t="shared" si="167"/>
        <v>1 - 0</v>
      </c>
      <c r="O548" t="str">
        <f t="shared" si="168"/>
        <v>Green</v>
      </c>
      <c r="P548" t="str">
        <f t="shared" si="169"/>
        <v>Red</v>
      </c>
      <c r="Q548" t="str">
        <f t="shared" si="170"/>
        <v>Red</v>
      </c>
      <c r="R548" t="str">
        <f t="shared" si="171"/>
        <v>Green</v>
      </c>
      <c r="S548" t="str">
        <f t="shared" si="172"/>
        <v>Red</v>
      </c>
      <c r="T548" t="str">
        <f t="shared" si="173"/>
        <v>Green</v>
      </c>
      <c r="U548" t="str">
        <f t="shared" si="174"/>
        <v>Red</v>
      </c>
      <c r="V548" t="str">
        <f t="shared" si="175"/>
        <v>Green</v>
      </c>
      <c r="W548" t="str">
        <f t="shared" si="176"/>
        <v>Red</v>
      </c>
      <c r="X548" t="str">
        <f t="shared" si="177"/>
        <v>Red</v>
      </c>
      <c r="Y548" t="str">
        <f t="shared" si="178"/>
        <v>Red</v>
      </c>
      <c r="Z548" t="str">
        <f t="shared" si="179"/>
        <v>Red</v>
      </c>
      <c r="AA548" t="str">
        <f t="shared" si="180"/>
        <v>Green</v>
      </c>
      <c r="AB548" t="str">
        <f t="shared" si="181"/>
        <v>Green</v>
      </c>
      <c r="AC548" t="str">
        <f t="shared" si="182"/>
        <v>Red</v>
      </c>
      <c r="AD548" t="str">
        <f t="shared" si="183"/>
        <v>Green</v>
      </c>
    </row>
    <row r="549" spans="1:30" x14ac:dyDescent="0.25">
      <c r="A549" t="str">
        <f t="shared" si="164"/>
        <v>23/07/2026MotherwellHB Torshavn</v>
      </c>
      <c r="B549" t="s">
        <v>820</v>
      </c>
      <c r="C549" t="s">
        <v>1344</v>
      </c>
      <c r="D549" s="2">
        <v>46226</v>
      </c>
      <c r="E549" s="3">
        <v>0.78125</v>
      </c>
      <c r="F549" t="s">
        <v>1977</v>
      </c>
      <c r="G549" t="s">
        <v>1978</v>
      </c>
      <c r="H549">
        <v>1</v>
      </c>
      <c r="I549">
        <v>0</v>
      </c>
      <c r="J549">
        <v>2</v>
      </c>
      <c r="K549">
        <v>0</v>
      </c>
      <c r="L549" s="22" t="str">
        <f t="shared" si="165"/>
        <v>23/07/2026</v>
      </c>
      <c r="M549" s="23">
        <f t="shared" si="166"/>
        <v>0.65625</v>
      </c>
      <c r="N549" t="str">
        <f t="shared" si="167"/>
        <v>2 - 0</v>
      </c>
      <c r="O549" t="str">
        <f t="shared" si="168"/>
        <v>Green</v>
      </c>
      <c r="P549" t="str">
        <f t="shared" si="169"/>
        <v>Red</v>
      </c>
      <c r="Q549" t="str">
        <f t="shared" si="170"/>
        <v>Red</v>
      </c>
      <c r="R549" t="str">
        <f t="shared" si="171"/>
        <v>Green</v>
      </c>
      <c r="S549" t="str">
        <f t="shared" si="172"/>
        <v>Red</v>
      </c>
      <c r="T549" t="str">
        <f t="shared" si="173"/>
        <v>Green</v>
      </c>
      <c r="U549" t="str">
        <f t="shared" si="174"/>
        <v>Green</v>
      </c>
      <c r="V549" t="str">
        <f t="shared" si="175"/>
        <v>Red</v>
      </c>
      <c r="W549" t="str">
        <f t="shared" si="176"/>
        <v>Red</v>
      </c>
      <c r="X549" t="str">
        <f t="shared" si="177"/>
        <v>Green</v>
      </c>
      <c r="Y549" t="str">
        <f t="shared" si="178"/>
        <v>Green</v>
      </c>
      <c r="Z549" t="str">
        <f t="shared" si="179"/>
        <v>Red</v>
      </c>
      <c r="AA549" t="str">
        <f t="shared" si="180"/>
        <v>Green</v>
      </c>
      <c r="AB549" t="str">
        <f t="shared" si="181"/>
        <v>Green</v>
      </c>
      <c r="AC549" t="str">
        <f t="shared" si="182"/>
        <v>Red</v>
      </c>
      <c r="AD549" t="str">
        <f t="shared" si="183"/>
        <v>Green</v>
      </c>
    </row>
    <row r="550" spans="1:30" x14ac:dyDescent="0.25">
      <c r="A550" t="str">
        <f t="shared" si="164"/>
        <v>23/07/2026NK BravoFK Shkendija</v>
      </c>
      <c r="B550" t="s">
        <v>820</v>
      </c>
      <c r="C550" t="s">
        <v>1344</v>
      </c>
      <c r="D550" s="2">
        <v>46226</v>
      </c>
      <c r="E550" s="3">
        <v>0.78125</v>
      </c>
      <c r="F550" t="s">
        <v>1105</v>
      </c>
      <c r="G550" t="s">
        <v>1979</v>
      </c>
      <c r="H550">
        <v>1</v>
      </c>
      <c r="I550">
        <v>1</v>
      </c>
      <c r="J550">
        <v>2</v>
      </c>
      <c r="K550">
        <v>1</v>
      </c>
      <c r="L550" s="22" t="str">
        <f t="shared" si="165"/>
        <v>23/07/2026</v>
      </c>
      <c r="M550" s="23">
        <f t="shared" si="166"/>
        <v>0.65625</v>
      </c>
      <c r="N550" t="str">
        <f t="shared" si="167"/>
        <v>2 - 1</v>
      </c>
      <c r="O550" t="str">
        <f t="shared" si="168"/>
        <v>Green</v>
      </c>
      <c r="P550" t="str">
        <f t="shared" si="169"/>
        <v>Red</v>
      </c>
      <c r="Q550" t="str">
        <f t="shared" si="170"/>
        <v>Red</v>
      </c>
      <c r="R550" t="str">
        <f t="shared" si="171"/>
        <v>Green</v>
      </c>
      <c r="S550" t="str">
        <f t="shared" si="172"/>
        <v>Red</v>
      </c>
      <c r="T550" t="str">
        <f t="shared" si="173"/>
        <v>Green</v>
      </c>
      <c r="U550" t="str">
        <f t="shared" si="174"/>
        <v>Red</v>
      </c>
      <c r="V550" t="str">
        <f t="shared" si="175"/>
        <v>Green</v>
      </c>
      <c r="W550" t="str">
        <f t="shared" si="176"/>
        <v>Red</v>
      </c>
      <c r="X550" t="str">
        <f t="shared" si="177"/>
        <v>Green</v>
      </c>
      <c r="Y550" t="str">
        <f t="shared" si="178"/>
        <v>Green</v>
      </c>
      <c r="Z550" t="str">
        <f t="shared" si="179"/>
        <v>Green</v>
      </c>
      <c r="AA550" t="str">
        <f t="shared" si="180"/>
        <v>Red</v>
      </c>
      <c r="AB550" t="str">
        <f t="shared" si="181"/>
        <v>Green</v>
      </c>
      <c r="AC550" t="str">
        <f t="shared" si="182"/>
        <v>Green</v>
      </c>
      <c r="AD550" t="str">
        <f t="shared" si="183"/>
        <v>Red</v>
      </c>
    </row>
    <row r="551" spans="1:30" x14ac:dyDescent="0.25">
      <c r="A551" t="str">
        <f t="shared" si="164"/>
        <v>23/07/2026NSI RunavikKoper</v>
      </c>
      <c r="B551" t="s">
        <v>820</v>
      </c>
      <c r="C551" t="s">
        <v>1344</v>
      </c>
      <c r="D551" s="2">
        <v>46226</v>
      </c>
      <c r="E551" s="3">
        <v>0.78125</v>
      </c>
      <c r="F551" t="s">
        <v>1980</v>
      </c>
      <c r="G551" t="s">
        <v>1981</v>
      </c>
      <c r="H551">
        <v>0</v>
      </c>
      <c r="I551">
        <v>0</v>
      </c>
      <c r="J551">
        <v>0</v>
      </c>
      <c r="K551">
        <v>2</v>
      </c>
      <c r="L551" s="22" t="str">
        <f t="shared" si="165"/>
        <v>23/07/2026</v>
      </c>
      <c r="M551" s="23">
        <f t="shared" si="166"/>
        <v>0.65625</v>
      </c>
      <c r="N551" t="str">
        <f t="shared" si="167"/>
        <v>0 - 2</v>
      </c>
      <c r="O551" t="str">
        <f t="shared" si="168"/>
        <v>Red</v>
      </c>
      <c r="P551" t="str">
        <f t="shared" si="169"/>
        <v>Red</v>
      </c>
      <c r="Q551" t="str">
        <f t="shared" si="170"/>
        <v>Green</v>
      </c>
      <c r="R551" t="str">
        <f t="shared" si="171"/>
        <v>Red</v>
      </c>
      <c r="S551" t="str">
        <f t="shared" si="172"/>
        <v>Green</v>
      </c>
      <c r="T551" t="str">
        <f t="shared" si="173"/>
        <v>Green</v>
      </c>
      <c r="U551" t="str">
        <f t="shared" si="174"/>
        <v>Red</v>
      </c>
      <c r="V551" t="str">
        <f t="shared" si="175"/>
        <v>Green</v>
      </c>
      <c r="W551" t="str">
        <f t="shared" si="176"/>
        <v>Red</v>
      </c>
      <c r="X551" t="str">
        <f t="shared" si="177"/>
        <v>Red</v>
      </c>
      <c r="Y551" t="str">
        <f t="shared" si="178"/>
        <v>Green</v>
      </c>
      <c r="Z551" t="str">
        <f t="shared" si="179"/>
        <v>Red</v>
      </c>
      <c r="AA551" t="str">
        <f t="shared" si="180"/>
        <v>Green</v>
      </c>
      <c r="AB551" t="str">
        <f t="shared" si="181"/>
        <v>Green</v>
      </c>
      <c r="AC551" t="str">
        <f t="shared" si="182"/>
        <v>Red</v>
      </c>
      <c r="AD551" t="str">
        <f t="shared" si="183"/>
        <v>Green</v>
      </c>
    </row>
    <row r="552" spans="1:30" x14ac:dyDescent="0.25">
      <c r="A552" t="str">
        <f t="shared" si="164"/>
        <v>23/07/2026ShelbourneNomme Kalju</v>
      </c>
      <c r="B552" t="s">
        <v>820</v>
      </c>
      <c r="C552" t="s">
        <v>1344</v>
      </c>
      <c r="D552" s="2">
        <v>46226</v>
      </c>
      <c r="E552" s="3">
        <v>0.78125</v>
      </c>
      <c r="F552" t="s">
        <v>1982</v>
      </c>
      <c r="G552" t="s">
        <v>1983</v>
      </c>
      <c r="H552">
        <v>3</v>
      </c>
      <c r="I552">
        <v>1</v>
      </c>
      <c r="J552">
        <v>5</v>
      </c>
      <c r="K552">
        <v>2</v>
      </c>
      <c r="L552" s="22" t="str">
        <f t="shared" si="165"/>
        <v>23/07/2026</v>
      </c>
      <c r="M552" s="23">
        <f t="shared" si="166"/>
        <v>0.65625</v>
      </c>
      <c r="N552" t="str">
        <f t="shared" si="167"/>
        <v>5 - 2</v>
      </c>
      <c r="O552" t="str">
        <f t="shared" si="168"/>
        <v>Green</v>
      </c>
      <c r="P552" t="str">
        <f t="shared" si="169"/>
        <v>Red</v>
      </c>
      <c r="Q552" t="str">
        <f t="shared" si="170"/>
        <v>Red</v>
      </c>
      <c r="R552" t="str">
        <f t="shared" si="171"/>
        <v>Green</v>
      </c>
      <c r="S552" t="str">
        <f t="shared" si="172"/>
        <v>Red</v>
      </c>
      <c r="T552" t="str">
        <f t="shared" si="173"/>
        <v>Green</v>
      </c>
      <c r="U552" t="str">
        <f t="shared" si="174"/>
        <v>Green</v>
      </c>
      <c r="V552" t="str">
        <f t="shared" si="175"/>
        <v>Red</v>
      </c>
      <c r="W552" t="str">
        <f t="shared" si="176"/>
        <v>Red</v>
      </c>
      <c r="X552" t="str">
        <f t="shared" si="177"/>
        <v>Green</v>
      </c>
      <c r="Y552" t="str">
        <f t="shared" si="178"/>
        <v>Green</v>
      </c>
      <c r="Z552" t="str">
        <f t="shared" si="179"/>
        <v>Green</v>
      </c>
      <c r="AA552" t="str">
        <f t="shared" si="180"/>
        <v>Red</v>
      </c>
      <c r="AB552" t="str">
        <f t="shared" si="181"/>
        <v>Red</v>
      </c>
      <c r="AC552" t="str">
        <f t="shared" si="182"/>
        <v>Green</v>
      </c>
      <c r="AD552" t="str">
        <f t="shared" si="183"/>
        <v>Red</v>
      </c>
    </row>
    <row r="553" spans="1:30" x14ac:dyDescent="0.25">
      <c r="A553" t="str">
        <f t="shared" si="164"/>
        <v>23/07/2026SC InkberrowEvesham United</v>
      </c>
      <c r="D553" s="2">
        <v>46226</v>
      </c>
      <c r="E553" s="3">
        <v>0.78125</v>
      </c>
      <c r="F553" t="s">
        <v>2113</v>
      </c>
      <c r="G553" t="s">
        <v>2114</v>
      </c>
      <c r="H553">
        <v>1</v>
      </c>
      <c r="I553">
        <v>0</v>
      </c>
      <c r="J553">
        <v>1</v>
      </c>
      <c r="K553">
        <v>1</v>
      </c>
      <c r="L553" s="22" t="str">
        <f t="shared" si="165"/>
        <v>23/07/2026</v>
      </c>
      <c r="M553" s="23">
        <f t="shared" si="166"/>
        <v>0.65625</v>
      </c>
      <c r="N553" t="str">
        <f t="shared" si="167"/>
        <v>1 - 1</v>
      </c>
      <c r="O553" t="str">
        <f t="shared" si="168"/>
        <v>Red</v>
      </c>
      <c r="P553" t="str">
        <f t="shared" si="169"/>
        <v>Green</v>
      </c>
      <c r="Q553" t="str">
        <f t="shared" si="170"/>
        <v>Red</v>
      </c>
      <c r="R553" t="str">
        <f t="shared" si="171"/>
        <v>Green</v>
      </c>
      <c r="S553" t="str">
        <f t="shared" si="172"/>
        <v>Green</v>
      </c>
      <c r="T553" t="str">
        <f t="shared" si="173"/>
        <v>Red</v>
      </c>
      <c r="U553" t="str">
        <f t="shared" si="174"/>
        <v>Green</v>
      </c>
      <c r="V553" t="str">
        <f t="shared" si="175"/>
        <v>Red</v>
      </c>
      <c r="W553" t="str">
        <f t="shared" si="176"/>
        <v>Red</v>
      </c>
      <c r="X553" t="str">
        <f t="shared" si="177"/>
        <v>Green</v>
      </c>
      <c r="Y553" t="str">
        <f t="shared" si="178"/>
        <v>Green</v>
      </c>
      <c r="Z553" t="str">
        <f t="shared" si="179"/>
        <v>Red</v>
      </c>
      <c r="AA553" t="str">
        <f t="shared" si="180"/>
        <v>Green</v>
      </c>
      <c r="AB553" t="str">
        <f t="shared" si="181"/>
        <v>Green</v>
      </c>
      <c r="AC553" t="str">
        <f t="shared" si="182"/>
        <v>Green</v>
      </c>
      <c r="AD553" t="str">
        <f t="shared" si="183"/>
        <v>Red</v>
      </c>
    </row>
    <row r="554" spans="1:30" x14ac:dyDescent="0.25">
      <c r="A554" t="str">
        <f t="shared" si="164"/>
        <v>23/07/2026HNK Hadjuk SplitPafos</v>
      </c>
      <c r="B554" t="s">
        <v>820</v>
      </c>
      <c r="C554" t="s">
        <v>1907</v>
      </c>
      <c r="D554" s="2">
        <v>46226</v>
      </c>
      <c r="E554" s="3">
        <v>0.79166666666666663</v>
      </c>
      <c r="F554" t="s">
        <v>1922</v>
      </c>
      <c r="G554" t="s">
        <v>1923</v>
      </c>
      <c r="H554">
        <v>0</v>
      </c>
      <c r="I554">
        <v>0</v>
      </c>
      <c r="J554">
        <v>2</v>
      </c>
      <c r="K554">
        <v>0</v>
      </c>
      <c r="L554" s="22" t="str">
        <f t="shared" si="165"/>
        <v>23/07/2026</v>
      </c>
      <c r="M554" s="23">
        <f t="shared" si="166"/>
        <v>0.66666666666666663</v>
      </c>
      <c r="N554" t="str">
        <f t="shared" si="167"/>
        <v>2 - 0</v>
      </c>
      <c r="O554" t="str">
        <f t="shared" si="168"/>
        <v>Green</v>
      </c>
      <c r="P554" t="str">
        <f t="shared" si="169"/>
        <v>Red</v>
      </c>
      <c r="Q554" t="str">
        <f t="shared" si="170"/>
        <v>Red</v>
      </c>
      <c r="R554" t="str">
        <f t="shared" si="171"/>
        <v>Green</v>
      </c>
      <c r="S554" t="str">
        <f t="shared" si="172"/>
        <v>Red</v>
      </c>
      <c r="T554" t="str">
        <f t="shared" si="173"/>
        <v>Green</v>
      </c>
      <c r="U554" t="str">
        <f t="shared" si="174"/>
        <v>Red</v>
      </c>
      <c r="V554" t="str">
        <f t="shared" si="175"/>
        <v>Green</v>
      </c>
      <c r="W554" t="str">
        <f t="shared" si="176"/>
        <v>Red</v>
      </c>
      <c r="X554" t="str">
        <f t="shared" si="177"/>
        <v>Red</v>
      </c>
      <c r="Y554" t="str">
        <f t="shared" si="178"/>
        <v>Green</v>
      </c>
      <c r="Z554" t="str">
        <f t="shared" si="179"/>
        <v>Red</v>
      </c>
      <c r="AA554" t="str">
        <f t="shared" si="180"/>
        <v>Green</v>
      </c>
      <c r="AB554" t="str">
        <f t="shared" si="181"/>
        <v>Green</v>
      </c>
      <c r="AC554" t="str">
        <f t="shared" si="182"/>
        <v>Red</v>
      </c>
      <c r="AD554" t="str">
        <f t="shared" si="183"/>
        <v>Green</v>
      </c>
    </row>
    <row r="555" spans="1:30" x14ac:dyDescent="0.25">
      <c r="A555" t="str">
        <f t="shared" si="164"/>
        <v>23/07/2026Partizan BelgradeUNA Strassen</v>
      </c>
      <c r="B555" t="s">
        <v>820</v>
      </c>
      <c r="C555" t="s">
        <v>1344</v>
      </c>
      <c r="D555" s="2">
        <v>46226</v>
      </c>
      <c r="E555" s="3">
        <v>0.79166666666666663</v>
      </c>
      <c r="F555" t="s">
        <v>1177</v>
      </c>
      <c r="G555" t="s">
        <v>1984</v>
      </c>
      <c r="H555">
        <v>2</v>
      </c>
      <c r="I555">
        <v>0</v>
      </c>
      <c r="J555">
        <v>4</v>
      </c>
      <c r="K555">
        <v>0</v>
      </c>
      <c r="L555" s="22" t="str">
        <f t="shared" si="165"/>
        <v>23/07/2026</v>
      </c>
      <c r="M555" s="23">
        <f t="shared" si="166"/>
        <v>0.66666666666666663</v>
      </c>
      <c r="N555" t="str">
        <f t="shared" si="167"/>
        <v>4 - 0</v>
      </c>
      <c r="O555" t="str">
        <f t="shared" si="168"/>
        <v>Green</v>
      </c>
      <c r="P555" t="str">
        <f t="shared" si="169"/>
        <v>Red</v>
      </c>
      <c r="Q555" t="str">
        <f t="shared" si="170"/>
        <v>Red</v>
      </c>
      <c r="R555" t="str">
        <f t="shared" si="171"/>
        <v>Green</v>
      </c>
      <c r="S555" t="str">
        <f t="shared" si="172"/>
        <v>Red</v>
      </c>
      <c r="T555" t="str">
        <f t="shared" si="173"/>
        <v>Green</v>
      </c>
      <c r="U555" t="str">
        <f t="shared" si="174"/>
        <v>Green</v>
      </c>
      <c r="V555" t="str">
        <f t="shared" si="175"/>
        <v>Red</v>
      </c>
      <c r="W555" t="str">
        <f t="shared" si="176"/>
        <v>Red</v>
      </c>
      <c r="X555" t="str">
        <f t="shared" si="177"/>
        <v>Green</v>
      </c>
      <c r="Y555" t="str">
        <f t="shared" si="178"/>
        <v>Green</v>
      </c>
      <c r="Z555" t="str">
        <f t="shared" si="179"/>
        <v>Green</v>
      </c>
      <c r="AA555" t="str">
        <f t="shared" si="180"/>
        <v>Red</v>
      </c>
      <c r="AB555" t="str">
        <f t="shared" si="181"/>
        <v>Red</v>
      </c>
      <c r="AC555" t="str">
        <f t="shared" si="182"/>
        <v>Red</v>
      </c>
      <c r="AD555" t="str">
        <f t="shared" si="183"/>
        <v>Green</v>
      </c>
    </row>
    <row r="556" spans="1:30" x14ac:dyDescent="0.25">
      <c r="A556" t="str">
        <f t="shared" si="164"/>
        <v>23/07/2026Stjarnan FCIlves</v>
      </c>
      <c r="B556" t="s">
        <v>820</v>
      </c>
      <c r="C556" t="s">
        <v>1344</v>
      </c>
      <c r="D556" s="2">
        <v>46226</v>
      </c>
      <c r="E556" s="3">
        <v>0.79166666666666663</v>
      </c>
      <c r="F556" t="s">
        <v>1985</v>
      </c>
      <c r="G556" t="s">
        <v>298</v>
      </c>
      <c r="H556">
        <v>0</v>
      </c>
      <c r="I556">
        <v>0</v>
      </c>
      <c r="J556">
        <v>1</v>
      </c>
      <c r="K556">
        <v>0</v>
      </c>
      <c r="L556" s="22" t="str">
        <f t="shared" si="165"/>
        <v>23/07/2026</v>
      </c>
      <c r="M556" s="23">
        <f t="shared" si="166"/>
        <v>0.66666666666666663</v>
      </c>
      <c r="N556" t="str">
        <f t="shared" si="167"/>
        <v>1 - 0</v>
      </c>
      <c r="O556" t="str">
        <f t="shared" si="168"/>
        <v>Green</v>
      </c>
      <c r="P556" t="str">
        <f t="shared" si="169"/>
        <v>Red</v>
      </c>
      <c r="Q556" t="str">
        <f t="shared" si="170"/>
        <v>Red</v>
      </c>
      <c r="R556" t="str">
        <f t="shared" si="171"/>
        <v>Green</v>
      </c>
      <c r="S556" t="str">
        <f t="shared" si="172"/>
        <v>Red</v>
      </c>
      <c r="T556" t="str">
        <f t="shared" si="173"/>
        <v>Green</v>
      </c>
      <c r="U556" t="str">
        <f t="shared" si="174"/>
        <v>Red</v>
      </c>
      <c r="V556" t="str">
        <f t="shared" si="175"/>
        <v>Green</v>
      </c>
      <c r="W556" t="str">
        <f t="shared" si="176"/>
        <v>Red</v>
      </c>
      <c r="X556" t="str">
        <f t="shared" si="177"/>
        <v>Red</v>
      </c>
      <c r="Y556" t="str">
        <f t="shared" si="178"/>
        <v>Red</v>
      </c>
      <c r="Z556" t="str">
        <f t="shared" si="179"/>
        <v>Red</v>
      </c>
      <c r="AA556" t="str">
        <f t="shared" si="180"/>
        <v>Green</v>
      </c>
      <c r="AB556" t="str">
        <f t="shared" si="181"/>
        <v>Green</v>
      </c>
      <c r="AC556" t="str">
        <f t="shared" si="182"/>
        <v>Red</v>
      </c>
      <c r="AD556" t="str">
        <f t="shared" si="183"/>
        <v>Green</v>
      </c>
    </row>
    <row r="557" spans="1:30" x14ac:dyDescent="0.25">
      <c r="A557" t="str">
        <f t="shared" si="164"/>
        <v>23/07/2026Red Bull Bragantino U20Palmeiras U20</v>
      </c>
      <c r="D557" s="2">
        <v>46226</v>
      </c>
      <c r="E557" s="3">
        <v>0.79166666666666663</v>
      </c>
      <c r="F557" t="s">
        <v>2008</v>
      </c>
      <c r="G557" t="s">
        <v>2009</v>
      </c>
      <c r="H557">
        <v>1</v>
      </c>
      <c r="I557">
        <v>1</v>
      </c>
      <c r="J557">
        <v>3</v>
      </c>
      <c r="K557">
        <v>3</v>
      </c>
      <c r="L557" s="22" t="str">
        <f t="shared" si="165"/>
        <v>23/07/2026</v>
      </c>
      <c r="M557" s="23">
        <f t="shared" si="166"/>
        <v>0.66666666666666663</v>
      </c>
      <c r="N557" t="str">
        <f t="shared" si="167"/>
        <v>3 - 3</v>
      </c>
      <c r="O557" t="str">
        <f t="shared" si="168"/>
        <v>Red</v>
      </c>
      <c r="P557" t="str">
        <f t="shared" si="169"/>
        <v>Green</v>
      </c>
      <c r="Q557" t="str">
        <f t="shared" si="170"/>
        <v>Red</v>
      </c>
      <c r="R557" t="str">
        <f t="shared" si="171"/>
        <v>Green</v>
      </c>
      <c r="S557" t="str">
        <f t="shared" si="172"/>
        <v>Green</v>
      </c>
      <c r="T557" t="str">
        <f t="shared" si="173"/>
        <v>Red</v>
      </c>
      <c r="U557" t="str">
        <f t="shared" si="174"/>
        <v>Red</v>
      </c>
      <c r="V557" t="str">
        <f t="shared" si="175"/>
        <v>Green</v>
      </c>
      <c r="W557" t="str">
        <f t="shared" si="176"/>
        <v>Red</v>
      </c>
      <c r="X557" t="str">
        <f t="shared" si="177"/>
        <v>Green</v>
      </c>
      <c r="Y557" t="str">
        <f t="shared" si="178"/>
        <v>Green</v>
      </c>
      <c r="Z557" t="str">
        <f t="shared" si="179"/>
        <v>Green</v>
      </c>
      <c r="AA557" t="str">
        <f t="shared" si="180"/>
        <v>Red</v>
      </c>
      <c r="AB557" t="str">
        <f t="shared" si="181"/>
        <v>Red</v>
      </c>
      <c r="AC557" t="str">
        <f t="shared" si="182"/>
        <v>Green</v>
      </c>
      <c r="AD557" t="str">
        <f t="shared" si="183"/>
        <v>Red</v>
      </c>
    </row>
    <row r="558" spans="1:30" x14ac:dyDescent="0.25">
      <c r="A558" t="str">
        <f t="shared" si="164"/>
        <v>23/07/2026CordobaSevilla</v>
      </c>
      <c r="D558" s="2">
        <v>46226</v>
      </c>
      <c r="E558" s="3">
        <v>0.79166666666666663</v>
      </c>
      <c r="F558" t="s">
        <v>2115</v>
      </c>
      <c r="G558" t="s">
        <v>2116</v>
      </c>
      <c r="H558">
        <v>0</v>
      </c>
      <c r="I558">
        <v>0</v>
      </c>
      <c r="J558">
        <v>0</v>
      </c>
      <c r="K558">
        <v>0</v>
      </c>
      <c r="L558" s="22" t="str">
        <f t="shared" si="165"/>
        <v>23/07/2026</v>
      </c>
      <c r="M558" s="23">
        <f t="shared" si="166"/>
        <v>0.66666666666666663</v>
      </c>
      <c r="N558" t="str">
        <f t="shared" si="167"/>
        <v>0 - 0</v>
      </c>
      <c r="O558" t="str">
        <f t="shared" si="168"/>
        <v>Red</v>
      </c>
      <c r="P558" t="str">
        <f t="shared" si="169"/>
        <v>Green</v>
      </c>
      <c r="Q558" t="str">
        <f t="shared" si="170"/>
        <v>Red</v>
      </c>
      <c r="R558" t="str">
        <f t="shared" si="171"/>
        <v>Green</v>
      </c>
      <c r="S558" t="str">
        <f t="shared" si="172"/>
        <v>Green</v>
      </c>
      <c r="T558" t="str">
        <f t="shared" si="173"/>
        <v>Red</v>
      </c>
      <c r="U558" t="str">
        <f t="shared" si="174"/>
        <v>Red</v>
      </c>
      <c r="V558" t="str">
        <f t="shared" si="175"/>
        <v>Green</v>
      </c>
      <c r="W558" t="str">
        <f t="shared" si="176"/>
        <v>Red</v>
      </c>
      <c r="X558" t="str">
        <f t="shared" si="177"/>
        <v>Red</v>
      </c>
      <c r="Y558" t="str">
        <f t="shared" si="178"/>
        <v>Red</v>
      </c>
      <c r="Z558" t="str">
        <f t="shared" si="179"/>
        <v>Red</v>
      </c>
      <c r="AA558" t="str">
        <f t="shared" si="180"/>
        <v>Green</v>
      </c>
      <c r="AB558" t="str">
        <f t="shared" si="181"/>
        <v>Green</v>
      </c>
      <c r="AC558" t="str">
        <f t="shared" si="182"/>
        <v>Red</v>
      </c>
      <c r="AD558" t="str">
        <f t="shared" si="183"/>
        <v>Green</v>
      </c>
    </row>
    <row r="559" spans="1:30" x14ac:dyDescent="0.25">
      <c r="A559" t="str">
        <f t="shared" si="164"/>
        <v>23/07/2026Grotta WomenHottur Women</v>
      </c>
      <c r="D559" s="2">
        <v>46226</v>
      </c>
      <c r="E559" s="3">
        <v>0.79861111111111116</v>
      </c>
      <c r="F559" t="s">
        <v>2072</v>
      </c>
      <c r="G559" t="s">
        <v>2073</v>
      </c>
      <c r="H559">
        <v>1</v>
      </c>
      <c r="I559">
        <v>1</v>
      </c>
      <c r="J559">
        <v>3</v>
      </c>
      <c r="K559">
        <v>3</v>
      </c>
      <c r="L559" s="22" t="str">
        <f t="shared" si="165"/>
        <v>23/07/2026</v>
      </c>
      <c r="M559" s="23">
        <f t="shared" si="166"/>
        <v>0.67361111111111116</v>
      </c>
      <c r="N559" t="str">
        <f t="shared" si="167"/>
        <v>3 - 3</v>
      </c>
      <c r="O559" t="str">
        <f t="shared" si="168"/>
        <v>Red</v>
      </c>
      <c r="P559" t="str">
        <f t="shared" si="169"/>
        <v>Green</v>
      </c>
      <c r="Q559" t="str">
        <f t="shared" si="170"/>
        <v>Red</v>
      </c>
      <c r="R559" t="str">
        <f t="shared" si="171"/>
        <v>Green</v>
      </c>
      <c r="S559" t="str">
        <f t="shared" si="172"/>
        <v>Green</v>
      </c>
      <c r="T559" t="str">
        <f t="shared" si="173"/>
        <v>Red</v>
      </c>
      <c r="U559" t="str">
        <f t="shared" si="174"/>
        <v>Red</v>
      </c>
      <c r="V559" t="str">
        <f t="shared" si="175"/>
        <v>Green</v>
      </c>
      <c r="W559" t="str">
        <f t="shared" si="176"/>
        <v>Red</v>
      </c>
      <c r="X559" t="str">
        <f t="shared" si="177"/>
        <v>Green</v>
      </c>
      <c r="Y559" t="str">
        <f t="shared" si="178"/>
        <v>Green</v>
      </c>
      <c r="Z559" t="str">
        <f t="shared" si="179"/>
        <v>Green</v>
      </c>
      <c r="AA559" t="str">
        <f t="shared" si="180"/>
        <v>Red</v>
      </c>
      <c r="AB559" t="str">
        <f t="shared" si="181"/>
        <v>Red</v>
      </c>
      <c r="AC559" t="str">
        <f t="shared" si="182"/>
        <v>Green</v>
      </c>
      <c r="AD559" t="str">
        <f t="shared" si="183"/>
        <v>Red</v>
      </c>
    </row>
    <row r="560" spans="1:30" x14ac:dyDescent="0.25">
      <c r="A560" t="str">
        <f t="shared" si="164"/>
        <v>23/07/2026Valur HSK Zrinjski Mostar</v>
      </c>
      <c r="B560" t="s">
        <v>820</v>
      </c>
      <c r="C560" t="s">
        <v>1344</v>
      </c>
      <c r="D560" s="2">
        <v>46226</v>
      </c>
      <c r="E560" s="3">
        <v>0.80208333333333337</v>
      </c>
      <c r="F560" t="s">
        <v>1986</v>
      </c>
      <c r="G560" t="s">
        <v>1987</v>
      </c>
      <c r="H560">
        <v>0</v>
      </c>
      <c r="I560">
        <v>0</v>
      </c>
      <c r="J560">
        <v>1</v>
      </c>
      <c r="K560">
        <v>0</v>
      </c>
      <c r="L560" s="22" t="str">
        <f t="shared" si="165"/>
        <v>23/07/2026</v>
      </c>
      <c r="M560" s="23">
        <f t="shared" si="166"/>
        <v>0.67708333333333337</v>
      </c>
      <c r="N560" t="str">
        <f t="shared" si="167"/>
        <v>1 - 0</v>
      </c>
      <c r="O560" t="str">
        <f t="shared" si="168"/>
        <v>Green</v>
      </c>
      <c r="P560" t="str">
        <f t="shared" si="169"/>
        <v>Red</v>
      </c>
      <c r="Q560" t="str">
        <f t="shared" si="170"/>
        <v>Red</v>
      </c>
      <c r="R560" t="str">
        <f t="shared" si="171"/>
        <v>Green</v>
      </c>
      <c r="S560" t="str">
        <f t="shared" si="172"/>
        <v>Red</v>
      </c>
      <c r="T560" t="str">
        <f t="shared" si="173"/>
        <v>Green</v>
      </c>
      <c r="U560" t="str">
        <f t="shared" si="174"/>
        <v>Red</v>
      </c>
      <c r="V560" t="str">
        <f t="shared" si="175"/>
        <v>Green</v>
      </c>
      <c r="W560" t="str">
        <f t="shared" si="176"/>
        <v>Red</v>
      </c>
      <c r="X560" t="str">
        <f t="shared" si="177"/>
        <v>Red</v>
      </c>
      <c r="Y560" t="str">
        <f t="shared" si="178"/>
        <v>Red</v>
      </c>
      <c r="Z560" t="str">
        <f t="shared" si="179"/>
        <v>Red</v>
      </c>
      <c r="AA560" t="str">
        <f t="shared" si="180"/>
        <v>Green</v>
      </c>
      <c r="AB560" t="str">
        <f t="shared" si="181"/>
        <v>Green</v>
      </c>
      <c r="AC560" t="str">
        <f t="shared" si="182"/>
        <v>Red</v>
      </c>
      <c r="AD560" t="str">
        <f t="shared" si="183"/>
        <v>Green</v>
      </c>
    </row>
    <row r="561" spans="1:30" x14ac:dyDescent="0.25">
      <c r="A561" t="str">
        <f t="shared" si="164"/>
        <v xml:space="preserve">23/07/2026Leiknir ReykjavikThrottur </v>
      </c>
      <c r="D561" s="2">
        <v>46226</v>
      </c>
      <c r="E561" s="3">
        <v>0.80208333333333337</v>
      </c>
      <c r="F561" t="s">
        <v>100</v>
      </c>
      <c r="G561" t="s">
        <v>2063</v>
      </c>
      <c r="H561">
        <v>0</v>
      </c>
      <c r="I561">
        <v>2</v>
      </c>
      <c r="J561">
        <v>1</v>
      </c>
      <c r="K561">
        <v>5</v>
      </c>
      <c r="L561" s="22" t="str">
        <f t="shared" si="165"/>
        <v>23/07/2026</v>
      </c>
      <c r="M561" s="23">
        <f t="shared" si="166"/>
        <v>0.67708333333333337</v>
      </c>
      <c r="N561" t="str">
        <f t="shared" si="167"/>
        <v>1 - 5</v>
      </c>
      <c r="O561" t="str">
        <f t="shared" si="168"/>
        <v>Red</v>
      </c>
      <c r="P561" t="str">
        <f t="shared" si="169"/>
        <v>Red</v>
      </c>
      <c r="Q561" t="str">
        <f t="shared" si="170"/>
        <v>Green</v>
      </c>
      <c r="R561" t="str">
        <f t="shared" si="171"/>
        <v>Red</v>
      </c>
      <c r="S561" t="str">
        <f t="shared" si="172"/>
        <v>Green</v>
      </c>
      <c r="T561" t="str">
        <f t="shared" si="173"/>
        <v>Green</v>
      </c>
      <c r="U561" t="str">
        <f t="shared" si="174"/>
        <v>Red</v>
      </c>
      <c r="V561" t="str">
        <f t="shared" si="175"/>
        <v>Red</v>
      </c>
      <c r="W561" t="str">
        <f t="shared" si="176"/>
        <v>Green</v>
      </c>
      <c r="X561" t="str">
        <f t="shared" si="177"/>
        <v>Green</v>
      </c>
      <c r="Y561" t="str">
        <f t="shared" si="178"/>
        <v>Green</v>
      </c>
      <c r="Z561" t="str">
        <f t="shared" si="179"/>
        <v>Green</v>
      </c>
      <c r="AA561" t="str">
        <f t="shared" si="180"/>
        <v>Red</v>
      </c>
      <c r="AB561" t="str">
        <f t="shared" si="181"/>
        <v>Red</v>
      </c>
      <c r="AC561" t="str">
        <f t="shared" si="182"/>
        <v>Green</v>
      </c>
      <c r="AD561" t="str">
        <f t="shared" si="183"/>
        <v>Red</v>
      </c>
    </row>
    <row r="562" spans="1:30" x14ac:dyDescent="0.25">
      <c r="A562" t="str">
        <f t="shared" si="164"/>
        <v>23/07/2026KA HafnarfjordurAugnablik Kopavogur</v>
      </c>
      <c r="D562" s="2">
        <v>46226</v>
      </c>
      <c r="E562" s="3">
        <v>0.80208333333333337</v>
      </c>
      <c r="F562" t="s">
        <v>2064</v>
      </c>
      <c r="G562" t="s">
        <v>2065</v>
      </c>
      <c r="H562">
        <v>3</v>
      </c>
      <c r="I562">
        <v>0</v>
      </c>
      <c r="J562">
        <v>3</v>
      </c>
      <c r="K562">
        <v>2</v>
      </c>
      <c r="L562" s="22" t="str">
        <f t="shared" si="165"/>
        <v>23/07/2026</v>
      </c>
      <c r="M562" s="23">
        <f t="shared" si="166"/>
        <v>0.67708333333333337</v>
      </c>
      <c r="N562" t="str">
        <f t="shared" si="167"/>
        <v>3 - 2</v>
      </c>
      <c r="O562" t="str">
        <f t="shared" si="168"/>
        <v>Green</v>
      </c>
      <c r="P562" t="str">
        <f t="shared" si="169"/>
        <v>Red</v>
      </c>
      <c r="Q562" t="str">
        <f t="shared" si="170"/>
        <v>Red</v>
      </c>
      <c r="R562" t="str">
        <f t="shared" si="171"/>
        <v>Green</v>
      </c>
      <c r="S562" t="str">
        <f t="shared" si="172"/>
        <v>Red</v>
      </c>
      <c r="T562" t="str">
        <f t="shared" si="173"/>
        <v>Green</v>
      </c>
      <c r="U562" t="str">
        <f t="shared" si="174"/>
        <v>Green</v>
      </c>
      <c r="V562" t="str">
        <f t="shared" si="175"/>
        <v>Red</v>
      </c>
      <c r="W562" t="str">
        <f t="shared" si="176"/>
        <v>Red</v>
      </c>
      <c r="X562" t="str">
        <f t="shared" si="177"/>
        <v>Green</v>
      </c>
      <c r="Y562" t="str">
        <f t="shared" si="178"/>
        <v>Green</v>
      </c>
      <c r="Z562" t="str">
        <f t="shared" si="179"/>
        <v>Green</v>
      </c>
      <c r="AA562" t="str">
        <f t="shared" si="180"/>
        <v>Red</v>
      </c>
      <c r="AB562" t="str">
        <f t="shared" si="181"/>
        <v>Red</v>
      </c>
      <c r="AC562" t="str">
        <f t="shared" si="182"/>
        <v>Green</v>
      </c>
      <c r="AD562" t="str">
        <f t="shared" si="183"/>
        <v>Red</v>
      </c>
    </row>
    <row r="563" spans="1:30" x14ac:dyDescent="0.25">
      <c r="A563" t="str">
        <f t="shared" si="164"/>
        <v>23/07/2026AlftanesVaengir Jupiters</v>
      </c>
      <c r="D563" s="2">
        <v>46226</v>
      </c>
      <c r="E563" s="3">
        <v>0.80208333333333337</v>
      </c>
      <c r="F563" t="s">
        <v>2066</v>
      </c>
      <c r="G563" t="s">
        <v>2067</v>
      </c>
      <c r="H563">
        <v>1</v>
      </c>
      <c r="I563">
        <v>0</v>
      </c>
      <c r="J563">
        <v>5</v>
      </c>
      <c r="K563">
        <v>0</v>
      </c>
      <c r="L563" s="22" t="str">
        <f t="shared" si="165"/>
        <v>23/07/2026</v>
      </c>
      <c r="M563" s="23">
        <f t="shared" si="166"/>
        <v>0.67708333333333337</v>
      </c>
      <c r="N563" t="str">
        <f t="shared" si="167"/>
        <v>5 - 0</v>
      </c>
      <c r="O563" t="str">
        <f t="shared" si="168"/>
        <v>Green</v>
      </c>
      <c r="P563" t="str">
        <f t="shared" si="169"/>
        <v>Red</v>
      </c>
      <c r="Q563" t="str">
        <f t="shared" si="170"/>
        <v>Red</v>
      </c>
      <c r="R563" t="str">
        <f t="shared" si="171"/>
        <v>Green</v>
      </c>
      <c r="S563" t="str">
        <f t="shared" si="172"/>
        <v>Red</v>
      </c>
      <c r="T563" t="str">
        <f t="shared" si="173"/>
        <v>Green</v>
      </c>
      <c r="U563" t="str">
        <f t="shared" si="174"/>
        <v>Green</v>
      </c>
      <c r="V563" t="str">
        <f t="shared" si="175"/>
        <v>Red</v>
      </c>
      <c r="W563" t="str">
        <f t="shared" si="176"/>
        <v>Red</v>
      </c>
      <c r="X563" t="str">
        <f t="shared" si="177"/>
        <v>Green</v>
      </c>
      <c r="Y563" t="str">
        <f t="shared" si="178"/>
        <v>Green</v>
      </c>
      <c r="Z563" t="str">
        <f t="shared" si="179"/>
        <v>Green</v>
      </c>
      <c r="AA563" t="str">
        <f t="shared" si="180"/>
        <v>Red</v>
      </c>
      <c r="AB563" t="str">
        <f t="shared" si="181"/>
        <v>Red</v>
      </c>
      <c r="AC563" t="str">
        <f t="shared" si="182"/>
        <v>Red</v>
      </c>
      <c r="AD563" t="str">
        <f t="shared" si="183"/>
        <v>Green</v>
      </c>
    </row>
    <row r="564" spans="1:30" x14ac:dyDescent="0.25">
      <c r="A564" t="str">
        <f t="shared" si="164"/>
        <v>23/07/2026HamarKFR Hvolsvollur</v>
      </c>
      <c r="D564" s="2">
        <v>46226</v>
      </c>
      <c r="E564" s="3">
        <v>0.80208333333333337</v>
      </c>
      <c r="F564" t="s">
        <v>2068</v>
      </c>
      <c r="G564" t="s">
        <v>2069</v>
      </c>
      <c r="H564">
        <v>3</v>
      </c>
      <c r="I564">
        <v>1</v>
      </c>
      <c r="J564">
        <v>7</v>
      </c>
      <c r="K564">
        <v>2</v>
      </c>
      <c r="L564" s="22" t="str">
        <f t="shared" si="165"/>
        <v>23/07/2026</v>
      </c>
      <c r="M564" s="23">
        <f t="shared" si="166"/>
        <v>0.67708333333333337</v>
      </c>
      <c r="N564" t="str">
        <f t="shared" si="167"/>
        <v>7 - 2</v>
      </c>
      <c r="O564" t="str">
        <f t="shared" si="168"/>
        <v>Green</v>
      </c>
      <c r="P564" t="str">
        <f t="shared" si="169"/>
        <v>Red</v>
      </c>
      <c r="Q564" t="str">
        <f t="shared" si="170"/>
        <v>Red</v>
      </c>
      <c r="R564" t="str">
        <f t="shared" si="171"/>
        <v>Green</v>
      </c>
      <c r="S564" t="str">
        <f t="shared" si="172"/>
        <v>Red</v>
      </c>
      <c r="T564" t="str">
        <f t="shared" si="173"/>
        <v>Green</v>
      </c>
      <c r="U564" t="str">
        <f t="shared" si="174"/>
        <v>Green</v>
      </c>
      <c r="V564" t="str">
        <f t="shared" si="175"/>
        <v>Red</v>
      </c>
      <c r="W564" t="str">
        <f t="shared" si="176"/>
        <v>Red</v>
      </c>
      <c r="X564" t="str">
        <f t="shared" si="177"/>
        <v>Green</v>
      </c>
      <c r="Y564" t="str">
        <f t="shared" si="178"/>
        <v>Green</v>
      </c>
      <c r="Z564" t="str">
        <f t="shared" si="179"/>
        <v>Green</v>
      </c>
      <c r="AA564" t="str">
        <f t="shared" si="180"/>
        <v>Red</v>
      </c>
      <c r="AB564" t="str">
        <f t="shared" si="181"/>
        <v>Red</v>
      </c>
      <c r="AC564" t="str">
        <f t="shared" si="182"/>
        <v>Green</v>
      </c>
      <c r="AD564" t="str">
        <f t="shared" si="183"/>
        <v>Red</v>
      </c>
    </row>
    <row r="565" spans="1:30" x14ac:dyDescent="0.25">
      <c r="A565" t="str">
        <f t="shared" si="164"/>
        <v>23/07/2026IH HafnarfjordurKF Hafnir</v>
      </c>
      <c r="D565" s="2">
        <v>46226</v>
      </c>
      <c r="E565" s="3">
        <v>0.80208333333333337</v>
      </c>
      <c r="F565" t="s">
        <v>2070</v>
      </c>
      <c r="G565" t="s">
        <v>2071</v>
      </c>
      <c r="H565">
        <v>1</v>
      </c>
      <c r="I565">
        <v>1</v>
      </c>
      <c r="J565">
        <v>5</v>
      </c>
      <c r="K565">
        <v>2</v>
      </c>
      <c r="L565" s="22" t="str">
        <f t="shared" si="165"/>
        <v>23/07/2026</v>
      </c>
      <c r="M565" s="23">
        <f t="shared" si="166"/>
        <v>0.67708333333333337</v>
      </c>
      <c r="N565" t="str">
        <f t="shared" si="167"/>
        <v>5 - 2</v>
      </c>
      <c r="O565" t="str">
        <f t="shared" si="168"/>
        <v>Green</v>
      </c>
      <c r="P565" t="str">
        <f t="shared" si="169"/>
        <v>Red</v>
      </c>
      <c r="Q565" t="str">
        <f t="shared" si="170"/>
        <v>Red</v>
      </c>
      <c r="R565" t="str">
        <f t="shared" si="171"/>
        <v>Green</v>
      </c>
      <c r="S565" t="str">
        <f t="shared" si="172"/>
        <v>Red</v>
      </c>
      <c r="T565" t="str">
        <f t="shared" si="173"/>
        <v>Green</v>
      </c>
      <c r="U565" t="str">
        <f t="shared" si="174"/>
        <v>Red</v>
      </c>
      <c r="V565" t="str">
        <f t="shared" si="175"/>
        <v>Green</v>
      </c>
      <c r="W565" t="str">
        <f t="shared" si="176"/>
        <v>Red</v>
      </c>
      <c r="X565" t="str">
        <f t="shared" si="177"/>
        <v>Green</v>
      </c>
      <c r="Y565" t="str">
        <f t="shared" si="178"/>
        <v>Green</v>
      </c>
      <c r="Z565" t="str">
        <f t="shared" si="179"/>
        <v>Green</v>
      </c>
      <c r="AA565" t="str">
        <f t="shared" si="180"/>
        <v>Red</v>
      </c>
      <c r="AB565" t="str">
        <f t="shared" si="181"/>
        <v>Red</v>
      </c>
      <c r="AC565" t="str">
        <f t="shared" si="182"/>
        <v>Green</v>
      </c>
      <c r="AD565" t="str">
        <f t="shared" si="183"/>
        <v>Red</v>
      </c>
    </row>
    <row r="566" spans="1:30" x14ac:dyDescent="0.25">
      <c r="A566" t="str">
        <f t="shared" si="164"/>
        <v>23/07/2026IA Akranes WomenKR Reykjavik Women</v>
      </c>
      <c r="D566" s="2">
        <v>46226</v>
      </c>
      <c r="E566" s="3">
        <v>0.80208333333333337</v>
      </c>
      <c r="F566" t="s">
        <v>2074</v>
      </c>
      <c r="G566" t="s">
        <v>2075</v>
      </c>
      <c r="H566">
        <v>2</v>
      </c>
      <c r="I566">
        <v>0</v>
      </c>
      <c r="J566">
        <v>3</v>
      </c>
      <c r="K566">
        <v>2</v>
      </c>
      <c r="L566" s="22" t="str">
        <f t="shared" si="165"/>
        <v>23/07/2026</v>
      </c>
      <c r="M566" s="23">
        <f t="shared" si="166"/>
        <v>0.67708333333333337</v>
      </c>
      <c r="N566" t="str">
        <f t="shared" si="167"/>
        <v>3 - 2</v>
      </c>
      <c r="O566" t="str">
        <f t="shared" si="168"/>
        <v>Green</v>
      </c>
      <c r="P566" t="str">
        <f t="shared" si="169"/>
        <v>Red</v>
      </c>
      <c r="Q566" t="str">
        <f t="shared" si="170"/>
        <v>Red</v>
      </c>
      <c r="R566" t="str">
        <f t="shared" si="171"/>
        <v>Green</v>
      </c>
      <c r="S566" t="str">
        <f t="shared" si="172"/>
        <v>Red</v>
      </c>
      <c r="T566" t="str">
        <f t="shared" si="173"/>
        <v>Green</v>
      </c>
      <c r="U566" t="str">
        <f t="shared" si="174"/>
        <v>Green</v>
      </c>
      <c r="V566" t="str">
        <f t="shared" si="175"/>
        <v>Red</v>
      </c>
      <c r="W566" t="str">
        <f t="shared" si="176"/>
        <v>Red</v>
      </c>
      <c r="X566" t="str">
        <f t="shared" si="177"/>
        <v>Green</v>
      </c>
      <c r="Y566" t="str">
        <f t="shared" si="178"/>
        <v>Green</v>
      </c>
      <c r="Z566" t="str">
        <f t="shared" si="179"/>
        <v>Green</v>
      </c>
      <c r="AA566" t="str">
        <f t="shared" si="180"/>
        <v>Red</v>
      </c>
      <c r="AB566" t="str">
        <f t="shared" si="181"/>
        <v>Red</v>
      </c>
      <c r="AC566" t="str">
        <f t="shared" si="182"/>
        <v>Green</v>
      </c>
      <c r="AD566" t="str">
        <f t="shared" si="183"/>
        <v>Red</v>
      </c>
    </row>
    <row r="567" spans="1:30" x14ac:dyDescent="0.25">
      <c r="A567" t="str">
        <f t="shared" si="164"/>
        <v>23/07/2026Selfoss WomenKeflavik Women</v>
      </c>
      <c r="D567" s="2">
        <v>46226</v>
      </c>
      <c r="E567" s="3">
        <v>0.80208333333333337</v>
      </c>
      <c r="F567" t="s">
        <v>2076</v>
      </c>
      <c r="G567" t="s">
        <v>2077</v>
      </c>
      <c r="H567">
        <v>0</v>
      </c>
      <c r="I567">
        <v>1</v>
      </c>
      <c r="J567">
        <v>0</v>
      </c>
      <c r="K567">
        <v>1</v>
      </c>
      <c r="L567" s="22" t="str">
        <f t="shared" si="165"/>
        <v>23/07/2026</v>
      </c>
      <c r="M567" s="23">
        <f t="shared" si="166"/>
        <v>0.67708333333333337</v>
      </c>
      <c r="N567" t="str">
        <f t="shared" si="167"/>
        <v>0 - 1</v>
      </c>
      <c r="O567" t="str">
        <f t="shared" si="168"/>
        <v>Red</v>
      </c>
      <c r="P567" t="str">
        <f t="shared" si="169"/>
        <v>Red</v>
      </c>
      <c r="Q567" t="str">
        <f t="shared" si="170"/>
        <v>Green</v>
      </c>
      <c r="R567" t="str">
        <f t="shared" si="171"/>
        <v>Red</v>
      </c>
      <c r="S567" t="str">
        <f t="shared" si="172"/>
        <v>Green</v>
      </c>
      <c r="T567" t="str">
        <f t="shared" si="173"/>
        <v>Green</v>
      </c>
      <c r="U567" t="str">
        <f t="shared" si="174"/>
        <v>Red</v>
      </c>
      <c r="V567" t="str">
        <f t="shared" si="175"/>
        <v>Red</v>
      </c>
      <c r="W567" t="str">
        <f t="shared" si="176"/>
        <v>Green</v>
      </c>
      <c r="X567" t="str">
        <f t="shared" si="177"/>
        <v>Green</v>
      </c>
      <c r="Y567" t="str">
        <f t="shared" si="178"/>
        <v>Red</v>
      </c>
      <c r="Z567" t="str">
        <f t="shared" si="179"/>
        <v>Red</v>
      </c>
      <c r="AA567" t="str">
        <f t="shared" si="180"/>
        <v>Green</v>
      </c>
      <c r="AB567" t="str">
        <f t="shared" si="181"/>
        <v>Green</v>
      </c>
      <c r="AC567" t="str">
        <f t="shared" si="182"/>
        <v>Red</v>
      </c>
      <c r="AD567" t="str">
        <f t="shared" si="183"/>
        <v>Green</v>
      </c>
    </row>
    <row r="568" spans="1:30" x14ac:dyDescent="0.25">
      <c r="A568" t="str">
        <f t="shared" si="164"/>
        <v>23/07/2026Volsungur WomenTindastoll Women</v>
      </c>
      <c r="D568" s="2">
        <v>46226</v>
      </c>
      <c r="E568" s="3">
        <v>0.80208333333333337</v>
      </c>
      <c r="F568" t="s">
        <v>2078</v>
      </c>
      <c r="G568" t="s">
        <v>2079</v>
      </c>
      <c r="H568">
        <v>1</v>
      </c>
      <c r="I568">
        <v>0</v>
      </c>
      <c r="J568">
        <v>3</v>
      </c>
      <c r="K568">
        <v>0</v>
      </c>
      <c r="L568" s="22" t="str">
        <f t="shared" si="165"/>
        <v>23/07/2026</v>
      </c>
      <c r="M568" s="23">
        <f t="shared" si="166"/>
        <v>0.67708333333333337</v>
      </c>
      <c r="N568" t="str">
        <f t="shared" si="167"/>
        <v>3 - 0</v>
      </c>
      <c r="O568" t="str">
        <f t="shared" si="168"/>
        <v>Green</v>
      </c>
      <c r="P568" t="str">
        <f t="shared" si="169"/>
        <v>Red</v>
      </c>
      <c r="Q568" t="str">
        <f t="shared" si="170"/>
        <v>Red</v>
      </c>
      <c r="R568" t="str">
        <f t="shared" si="171"/>
        <v>Green</v>
      </c>
      <c r="S568" t="str">
        <f t="shared" si="172"/>
        <v>Red</v>
      </c>
      <c r="T568" t="str">
        <f t="shared" si="173"/>
        <v>Green</v>
      </c>
      <c r="U568" t="str">
        <f t="shared" si="174"/>
        <v>Green</v>
      </c>
      <c r="V568" t="str">
        <f t="shared" si="175"/>
        <v>Red</v>
      </c>
      <c r="W568" t="str">
        <f t="shared" si="176"/>
        <v>Red</v>
      </c>
      <c r="X568" t="str">
        <f t="shared" si="177"/>
        <v>Green</v>
      </c>
      <c r="Y568" t="str">
        <f t="shared" si="178"/>
        <v>Green</v>
      </c>
      <c r="Z568" t="str">
        <f t="shared" si="179"/>
        <v>Green</v>
      </c>
      <c r="AA568" t="str">
        <f t="shared" si="180"/>
        <v>Red</v>
      </c>
      <c r="AB568" t="str">
        <f t="shared" si="181"/>
        <v>Green</v>
      </c>
      <c r="AC568" t="str">
        <f t="shared" si="182"/>
        <v>Red</v>
      </c>
      <c r="AD568" t="str">
        <f t="shared" si="183"/>
        <v>Green</v>
      </c>
    </row>
    <row r="569" spans="1:30" x14ac:dyDescent="0.25">
      <c r="A569" t="str">
        <f t="shared" si="164"/>
        <v>23/07/2026Independiente JuniorsVinotinto FC</v>
      </c>
      <c r="D569" s="2">
        <v>46226</v>
      </c>
      <c r="E569" s="3">
        <v>0.85416666666666663</v>
      </c>
      <c r="F569" t="s">
        <v>1866</v>
      </c>
      <c r="G569" t="s">
        <v>2020</v>
      </c>
      <c r="H569">
        <v>0</v>
      </c>
      <c r="I569">
        <v>0</v>
      </c>
      <c r="J569">
        <v>2</v>
      </c>
      <c r="K569">
        <v>0</v>
      </c>
      <c r="L569" s="22" t="str">
        <f t="shared" si="165"/>
        <v>23/07/2026</v>
      </c>
      <c r="M569" s="23">
        <f t="shared" si="166"/>
        <v>0.72916666666666663</v>
      </c>
      <c r="N569" t="str">
        <f t="shared" si="167"/>
        <v>2 - 0</v>
      </c>
      <c r="O569" t="str">
        <f t="shared" si="168"/>
        <v>Green</v>
      </c>
      <c r="P569" t="str">
        <f t="shared" si="169"/>
        <v>Red</v>
      </c>
      <c r="Q569" t="str">
        <f t="shared" si="170"/>
        <v>Red</v>
      </c>
      <c r="R569" t="str">
        <f t="shared" si="171"/>
        <v>Green</v>
      </c>
      <c r="S569" t="str">
        <f t="shared" si="172"/>
        <v>Red</v>
      </c>
      <c r="T569" t="str">
        <f t="shared" si="173"/>
        <v>Green</v>
      </c>
      <c r="U569" t="str">
        <f t="shared" si="174"/>
        <v>Red</v>
      </c>
      <c r="V569" t="str">
        <f t="shared" si="175"/>
        <v>Green</v>
      </c>
      <c r="W569" t="str">
        <f t="shared" si="176"/>
        <v>Red</v>
      </c>
      <c r="X569" t="str">
        <f t="shared" si="177"/>
        <v>Red</v>
      </c>
      <c r="Y569" t="str">
        <f t="shared" si="178"/>
        <v>Green</v>
      </c>
      <c r="Z569" t="str">
        <f t="shared" si="179"/>
        <v>Red</v>
      </c>
      <c r="AA569" t="str">
        <f t="shared" si="180"/>
        <v>Green</v>
      </c>
      <c r="AB569" t="str">
        <f t="shared" si="181"/>
        <v>Green</v>
      </c>
      <c r="AC569" t="str">
        <f t="shared" si="182"/>
        <v>Red</v>
      </c>
      <c r="AD569" t="str">
        <f t="shared" si="183"/>
        <v>Green</v>
      </c>
    </row>
    <row r="570" spans="1:30" x14ac:dyDescent="0.25">
      <c r="A570" t="str">
        <f t="shared" si="164"/>
        <v>23/07/2026Naciones UnidasIndependiente FBC</v>
      </c>
      <c r="D570" s="2">
        <v>46226</v>
      </c>
      <c r="E570" s="3">
        <v>0.875</v>
      </c>
      <c r="F570" t="s">
        <v>2087</v>
      </c>
      <c r="G570" t="s">
        <v>2088</v>
      </c>
      <c r="H570">
        <v>0</v>
      </c>
      <c r="I570">
        <v>5</v>
      </c>
      <c r="J570">
        <v>0</v>
      </c>
      <c r="K570">
        <v>10</v>
      </c>
      <c r="L570" s="22" t="str">
        <f t="shared" si="165"/>
        <v>23/07/2026</v>
      </c>
      <c r="M570" s="23">
        <f t="shared" si="166"/>
        <v>0.75</v>
      </c>
      <c r="N570" t="str">
        <f t="shared" si="167"/>
        <v>0 - 10</v>
      </c>
      <c r="O570" t="str">
        <f t="shared" si="168"/>
        <v>Red</v>
      </c>
      <c r="P570" t="str">
        <f t="shared" si="169"/>
        <v>Red</v>
      </c>
      <c r="Q570" t="str">
        <f t="shared" si="170"/>
        <v>Green</v>
      </c>
      <c r="R570" t="str">
        <f t="shared" si="171"/>
        <v>Red</v>
      </c>
      <c r="S570" t="str">
        <f t="shared" si="172"/>
        <v>Green</v>
      </c>
      <c r="T570" t="str">
        <f t="shared" si="173"/>
        <v>Green</v>
      </c>
      <c r="U570" t="str">
        <f t="shared" si="174"/>
        <v>Red</v>
      </c>
      <c r="V570" t="str">
        <f t="shared" si="175"/>
        <v>Red</v>
      </c>
      <c r="W570" t="str">
        <f t="shared" si="176"/>
        <v>Green</v>
      </c>
      <c r="X570" t="str">
        <f t="shared" si="177"/>
        <v>Green</v>
      </c>
      <c r="Y570" t="str">
        <f t="shared" si="178"/>
        <v>Green</v>
      </c>
      <c r="Z570" t="str">
        <f t="shared" si="179"/>
        <v>Green</v>
      </c>
      <c r="AA570" t="str">
        <f t="shared" si="180"/>
        <v>Red</v>
      </c>
      <c r="AB570" t="str">
        <f t="shared" si="181"/>
        <v>Red</v>
      </c>
      <c r="AC570" t="str">
        <f t="shared" si="182"/>
        <v>Red</v>
      </c>
      <c r="AD570" t="str">
        <f t="shared" si="183"/>
        <v>Green</v>
      </c>
    </row>
    <row r="571" spans="1:30" x14ac:dyDescent="0.25">
      <c r="A571" t="str">
        <f t="shared" si="164"/>
        <v>23/07/2026CD Leones Del NorteGuayaquil City FC</v>
      </c>
      <c r="D571" s="2">
        <v>46226</v>
      </c>
      <c r="E571" s="3">
        <v>0.89583333333333337</v>
      </c>
      <c r="F571" t="s">
        <v>2018</v>
      </c>
      <c r="G571" t="s">
        <v>103</v>
      </c>
      <c r="H571">
        <v>0</v>
      </c>
      <c r="I571">
        <v>1</v>
      </c>
      <c r="J571">
        <v>1</v>
      </c>
      <c r="K571">
        <v>1</v>
      </c>
      <c r="L571" s="22" t="str">
        <f t="shared" si="165"/>
        <v>23/07/2026</v>
      </c>
      <c r="M571" s="23">
        <f t="shared" si="166"/>
        <v>0.77083333333333337</v>
      </c>
      <c r="N571" t="str">
        <f t="shared" si="167"/>
        <v>1 - 1</v>
      </c>
      <c r="O571" t="str">
        <f t="shared" si="168"/>
        <v>Red</v>
      </c>
      <c r="P571" t="str">
        <f t="shared" si="169"/>
        <v>Green</v>
      </c>
      <c r="Q571" t="str">
        <f t="shared" si="170"/>
        <v>Red</v>
      </c>
      <c r="R571" t="str">
        <f t="shared" si="171"/>
        <v>Green</v>
      </c>
      <c r="S571" t="str">
        <f t="shared" si="172"/>
        <v>Green</v>
      </c>
      <c r="T571" t="str">
        <f t="shared" si="173"/>
        <v>Red</v>
      </c>
      <c r="U571" t="str">
        <f t="shared" si="174"/>
        <v>Red</v>
      </c>
      <c r="V571" t="str">
        <f t="shared" si="175"/>
        <v>Red</v>
      </c>
      <c r="W571" t="str">
        <f t="shared" si="176"/>
        <v>Green</v>
      </c>
      <c r="X571" t="str">
        <f t="shared" si="177"/>
        <v>Green</v>
      </c>
      <c r="Y571" t="str">
        <f t="shared" si="178"/>
        <v>Green</v>
      </c>
      <c r="Z571" t="str">
        <f t="shared" si="179"/>
        <v>Red</v>
      </c>
      <c r="AA571" t="str">
        <f t="shared" si="180"/>
        <v>Green</v>
      </c>
      <c r="AB571" t="str">
        <f t="shared" si="181"/>
        <v>Green</v>
      </c>
      <c r="AC571" t="str">
        <f t="shared" si="182"/>
        <v>Green</v>
      </c>
      <c r="AD571" t="str">
        <f t="shared" si="183"/>
        <v>Red</v>
      </c>
    </row>
    <row r="572" spans="1:30" x14ac:dyDescent="0.25">
      <c r="A572" t="str">
        <f t="shared" si="164"/>
        <v>23/07/2026Orense SCSD Aucas</v>
      </c>
      <c r="D572" s="2">
        <v>46226</v>
      </c>
      <c r="E572" s="3">
        <v>0.89583333333333337</v>
      </c>
      <c r="F572" t="s">
        <v>302</v>
      </c>
      <c r="G572" t="s">
        <v>2019</v>
      </c>
      <c r="H572">
        <v>1</v>
      </c>
      <c r="I572">
        <v>1</v>
      </c>
      <c r="J572">
        <v>2</v>
      </c>
      <c r="K572">
        <v>1</v>
      </c>
      <c r="L572" s="22" t="str">
        <f t="shared" si="165"/>
        <v>23/07/2026</v>
      </c>
      <c r="M572" s="23">
        <f t="shared" si="166"/>
        <v>0.77083333333333337</v>
      </c>
      <c r="N572" t="str">
        <f t="shared" si="167"/>
        <v>2 - 1</v>
      </c>
      <c r="O572" t="str">
        <f t="shared" si="168"/>
        <v>Green</v>
      </c>
      <c r="P572" t="str">
        <f t="shared" si="169"/>
        <v>Red</v>
      </c>
      <c r="Q572" t="str">
        <f t="shared" si="170"/>
        <v>Red</v>
      </c>
      <c r="R572" t="str">
        <f t="shared" si="171"/>
        <v>Green</v>
      </c>
      <c r="S572" t="str">
        <f t="shared" si="172"/>
        <v>Red</v>
      </c>
      <c r="T572" t="str">
        <f t="shared" si="173"/>
        <v>Green</v>
      </c>
      <c r="U572" t="str">
        <f t="shared" si="174"/>
        <v>Red</v>
      </c>
      <c r="V572" t="str">
        <f t="shared" si="175"/>
        <v>Green</v>
      </c>
      <c r="W572" t="str">
        <f t="shared" si="176"/>
        <v>Red</v>
      </c>
      <c r="X572" t="str">
        <f t="shared" si="177"/>
        <v>Green</v>
      </c>
      <c r="Y572" t="str">
        <f t="shared" si="178"/>
        <v>Green</v>
      </c>
      <c r="Z572" t="str">
        <f t="shared" si="179"/>
        <v>Green</v>
      </c>
      <c r="AA572" t="str">
        <f t="shared" si="180"/>
        <v>Red</v>
      </c>
      <c r="AB572" t="str">
        <f t="shared" si="181"/>
        <v>Green</v>
      </c>
      <c r="AC572" t="str">
        <f t="shared" si="182"/>
        <v>Green</v>
      </c>
      <c r="AD572" t="str">
        <f t="shared" si="183"/>
        <v>Red</v>
      </c>
    </row>
    <row r="573" spans="1:30" x14ac:dyDescent="0.25">
      <c r="A573" t="str">
        <f t="shared" si="164"/>
        <v>23/07/2026Club BolivarGremio RS</v>
      </c>
      <c r="B573" t="s">
        <v>1339</v>
      </c>
      <c r="C573" t="s">
        <v>1340</v>
      </c>
      <c r="D573" s="2">
        <v>46226</v>
      </c>
      <c r="E573" s="3">
        <v>0.91666666666666663</v>
      </c>
      <c r="F573" t="s">
        <v>1903</v>
      </c>
      <c r="G573" t="s">
        <v>1904</v>
      </c>
      <c r="H573">
        <v>2</v>
      </c>
      <c r="I573">
        <v>2</v>
      </c>
      <c r="J573">
        <v>3</v>
      </c>
      <c r="K573">
        <v>2</v>
      </c>
      <c r="L573" s="22" t="str">
        <f t="shared" si="165"/>
        <v>23/07/2026</v>
      </c>
      <c r="M573" s="23">
        <f t="shared" si="166"/>
        <v>0.79166666666666663</v>
      </c>
      <c r="N573" t="str">
        <f t="shared" si="167"/>
        <v>3 - 2</v>
      </c>
      <c r="O573" t="str">
        <f t="shared" si="168"/>
        <v>Green</v>
      </c>
      <c r="P573" t="str">
        <f t="shared" si="169"/>
        <v>Red</v>
      </c>
      <c r="Q573" t="str">
        <f t="shared" si="170"/>
        <v>Red</v>
      </c>
      <c r="R573" t="str">
        <f t="shared" si="171"/>
        <v>Green</v>
      </c>
      <c r="S573" t="str">
        <f t="shared" si="172"/>
        <v>Red</v>
      </c>
      <c r="T573" t="str">
        <f t="shared" si="173"/>
        <v>Green</v>
      </c>
      <c r="U573" t="str">
        <f t="shared" si="174"/>
        <v>Red</v>
      </c>
      <c r="V573" t="str">
        <f t="shared" si="175"/>
        <v>Green</v>
      </c>
      <c r="W573" t="str">
        <f t="shared" si="176"/>
        <v>Red</v>
      </c>
      <c r="X573" t="str">
        <f t="shared" si="177"/>
        <v>Green</v>
      </c>
      <c r="Y573" t="str">
        <f t="shared" si="178"/>
        <v>Green</v>
      </c>
      <c r="Z573" t="str">
        <f t="shared" si="179"/>
        <v>Green</v>
      </c>
      <c r="AA573" t="str">
        <f t="shared" si="180"/>
        <v>Red</v>
      </c>
      <c r="AB573" t="str">
        <f t="shared" si="181"/>
        <v>Red</v>
      </c>
      <c r="AC573" t="str">
        <f t="shared" si="182"/>
        <v>Green</v>
      </c>
      <c r="AD573" t="str">
        <f t="shared" si="183"/>
        <v>Red</v>
      </c>
    </row>
    <row r="574" spans="1:30" x14ac:dyDescent="0.25">
      <c r="A574" t="str">
        <f t="shared" si="164"/>
        <v>23/07/2026CorinthiansClube Do Remo</v>
      </c>
      <c r="D574" s="2">
        <v>46226</v>
      </c>
      <c r="E574" s="3">
        <v>0.9375</v>
      </c>
      <c r="F574" t="s">
        <v>112</v>
      </c>
      <c r="G574" t="s">
        <v>1988</v>
      </c>
      <c r="H574">
        <v>3</v>
      </c>
      <c r="I574">
        <v>0</v>
      </c>
      <c r="J574">
        <v>3</v>
      </c>
      <c r="K574">
        <v>0</v>
      </c>
      <c r="L574" s="22" t="str">
        <f t="shared" si="165"/>
        <v>23/07/2026</v>
      </c>
      <c r="M574" s="23">
        <f t="shared" si="166"/>
        <v>0.8125</v>
      </c>
      <c r="N574" t="str">
        <f t="shared" si="167"/>
        <v>3 - 0</v>
      </c>
      <c r="O574" t="str">
        <f t="shared" si="168"/>
        <v>Green</v>
      </c>
      <c r="P574" t="str">
        <f t="shared" si="169"/>
        <v>Red</v>
      </c>
      <c r="Q574" t="str">
        <f t="shared" si="170"/>
        <v>Red</v>
      </c>
      <c r="R574" t="str">
        <f t="shared" si="171"/>
        <v>Green</v>
      </c>
      <c r="S574" t="str">
        <f t="shared" si="172"/>
        <v>Red</v>
      </c>
      <c r="T574" t="str">
        <f t="shared" si="173"/>
        <v>Green</v>
      </c>
      <c r="U574" t="str">
        <f t="shared" si="174"/>
        <v>Green</v>
      </c>
      <c r="V574" t="str">
        <f t="shared" si="175"/>
        <v>Red</v>
      </c>
      <c r="W574" t="str">
        <f t="shared" si="176"/>
        <v>Red</v>
      </c>
      <c r="X574" t="str">
        <f t="shared" si="177"/>
        <v>Green</v>
      </c>
      <c r="Y574" t="str">
        <f t="shared" si="178"/>
        <v>Green</v>
      </c>
      <c r="Z574" t="str">
        <f t="shared" si="179"/>
        <v>Green</v>
      </c>
      <c r="AA574" t="str">
        <f t="shared" si="180"/>
        <v>Red</v>
      </c>
      <c r="AB574" t="str">
        <f t="shared" si="181"/>
        <v>Green</v>
      </c>
      <c r="AC574" t="str">
        <f t="shared" si="182"/>
        <v>Red</v>
      </c>
      <c r="AD574" t="str">
        <f t="shared" si="183"/>
        <v>Green</v>
      </c>
    </row>
    <row r="575" spans="1:30" x14ac:dyDescent="0.25">
      <c r="A575" t="str">
        <f t="shared" si="164"/>
        <v>23/07/2026Botafogo RJVitoria BA</v>
      </c>
      <c r="D575" s="2">
        <v>46226</v>
      </c>
      <c r="E575" s="3">
        <v>0.9375</v>
      </c>
      <c r="F575" t="s">
        <v>1989</v>
      </c>
      <c r="G575" t="s">
        <v>1990</v>
      </c>
      <c r="H575">
        <v>0</v>
      </c>
      <c r="I575">
        <v>0</v>
      </c>
      <c r="J575">
        <v>0</v>
      </c>
      <c r="K575">
        <v>0</v>
      </c>
      <c r="L575" s="22" t="str">
        <f t="shared" si="165"/>
        <v>23/07/2026</v>
      </c>
      <c r="M575" s="23">
        <f t="shared" si="166"/>
        <v>0.8125</v>
      </c>
      <c r="N575" t="str">
        <f t="shared" si="167"/>
        <v>0 - 0</v>
      </c>
      <c r="O575" t="str">
        <f t="shared" si="168"/>
        <v>Red</v>
      </c>
      <c r="P575" t="str">
        <f t="shared" si="169"/>
        <v>Green</v>
      </c>
      <c r="Q575" t="str">
        <f t="shared" si="170"/>
        <v>Red</v>
      </c>
      <c r="R575" t="str">
        <f t="shared" si="171"/>
        <v>Green</v>
      </c>
      <c r="S575" t="str">
        <f t="shared" si="172"/>
        <v>Green</v>
      </c>
      <c r="T575" t="str">
        <f t="shared" si="173"/>
        <v>Red</v>
      </c>
      <c r="U575" t="str">
        <f t="shared" si="174"/>
        <v>Red</v>
      </c>
      <c r="V575" t="str">
        <f t="shared" si="175"/>
        <v>Green</v>
      </c>
      <c r="W575" t="str">
        <f t="shared" si="176"/>
        <v>Red</v>
      </c>
      <c r="X575" t="str">
        <f t="shared" si="177"/>
        <v>Red</v>
      </c>
      <c r="Y575" t="str">
        <f t="shared" si="178"/>
        <v>Red</v>
      </c>
      <c r="Z575" t="str">
        <f t="shared" si="179"/>
        <v>Red</v>
      </c>
      <c r="AA575" t="str">
        <f t="shared" si="180"/>
        <v>Green</v>
      </c>
      <c r="AB575" t="str">
        <f t="shared" si="181"/>
        <v>Green</v>
      </c>
      <c r="AC575" t="str">
        <f t="shared" si="182"/>
        <v>Red</v>
      </c>
      <c r="AD575" t="str">
        <f t="shared" si="183"/>
        <v>Green</v>
      </c>
    </row>
    <row r="576" spans="1:30" x14ac:dyDescent="0.25">
      <c r="A576" t="str">
        <f t="shared" si="164"/>
        <v>23/07/2026BelgranoRosario Central</v>
      </c>
      <c r="D576" s="2">
        <v>46226</v>
      </c>
      <c r="E576" s="3">
        <v>0.9375</v>
      </c>
      <c r="F576" t="s">
        <v>1991</v>
      </c>
      <c r="G576" t="s">
        <v>107</v>
      </c>
      <c r="H576">
        <v>1</v>
      </c>
      <c r="I576">
        <v>0</v>
      </c>
      <c r="J576">
        <v>2</v>
      </c>
      <c r="K576">
        <v>1</v>
      </c>
      <c r="L576" s="22" t="str">
        <f t="shared" si="165"/>
        <v>23/07/2026</v>
      </c>
      <c r="M576" s="23">
        <f t="shared" si="166"/>
        <v>0.8125</v>
      </c>
      <c r="N576" t="str">
        <f t="shared" si="167"/>
        <v>2 - 1</v>
      </c>
      <c r="O576" t="str">
        <f t="shared" si="168"/>
        <v>Green</v>
      </c>
      <c r="P576" t="str">
        <f t="shared" si="169"/>
        <v>Red</v>
      </c>
      <c r="Q576" t="str">
        <f t="shared" si="170"/>
        <v>Red</v>
      </c>
      <c r="R576" t="str">
        <f t="shared" si="171"/>
        <v>Green</v>
      </c>
      <c r="S576" t="str">
        <f t="shared" si="172"/>
        <v>Red</v>
      </c>
      <c r="T576" t="str">
        <f t="shared" si="173"/>
        <v>Green</v>
      </c>
      <c r="U576" t="str">
        <f t="shared" si="174"/>
        <v>Green</v>
      </c>
      <c r="V576" t="str">
        <f t="shared" si="175"/>
        <v>Red</v>
      </c>
      <c r="W576" t="str">
        <f t="shared" si="176"/>
        <v>Red</v>
      </c>
      <c r="X576" t="str">
        <f t="shared" si="177"/>
        <v>Green</v>
      </c>
      <c r="Y576" t="str">
        <f t="shared" si="178"/>
        <v>Green</v>
      </c>
      <c r="Z576" t="str">
        <f t="shared" si="179"/>
        <v>Green</v>
      </c>
      <c r="AA576" t="str">
        <f t="shared" si="180"/>
        <v>Red</v>
      </c>
      <c r="AB576" t="str">
        <f t="shared" si="181"/>
        <v>Green</v>
      </c>
      <c r="AC576" t="str">
        <f t="shared" si="182"/>
        <v>Green</v>
      </c>
      <c r="AD576" t="str">
        <f t="shared" si="183"/>
        <v>Red</v>
      </c>
    </row>
    <row r="577" spans="1:30" x14ac:dyDescent="0.25">
      <c r="A577" t="str">
        <f t="shared" si="164"/>
        <v>23/07/2026SarmientoArgentinos Juniors</v>
      </c>
      <c r="D577" s="2">
        <v>46226</v>
      </c>
      <c r="E577" s="3">
        <v>0.9375</v>
      </c>
      <c r="F577" t="s">
        <v>1992</v>
      </c>
      <c r="G577" t="s">
        <v>109</v>
      </c>
      <c r="H577">
        <v>1</v>
      </c>
      <c r="I577">
        <v>0</v>
      </c>
      <c r="J577">
        <v>2</v>
      </c>
      <c r="K577">
        <v>3</v>
      </c>
      <c r="L577" s="22" t="str">
        <f t="shared" si="165"/>
        <v>23/07/2026</v>
      </c>
      <c r="M577" s="23">
        <f t="shared" si="166"/>
        <v>0.8125</v>
      </c>
      <c r="N577" t="str">
        <f t="shared" si="167"/>
        <v>2 - 3</v>
      </c>
      <c r="O577" t="str">
        <f t="shared" si="168"/>
        <v>Red</v>
      </c>
      <c r="P577" t="str">
        <f t="shared" si="169"/>
        <v>Red</v>
      </c>
      <c r="Q577" t="str">
        <f t="shared" si="170"/>
        <v>Green</v>
      </c>
      <c r="R577" t="str">
        <f t="shared" si="171"/>
        <v>Red</v>
      </c>
      <c r="S577" t="str">
        <f t="shared" si="172"/>
        <v>Green</v>
      </c>
      <c r="T577" t="str">
        <f t="shared" si="173"/>
        <v>Green</v>
      </c>
      <c r="U577" t="str">
        <f t="shared" si="174"/>
        <v>Green</v>
      </c>
      <c r="V577" t="str">
        <f t="shared" si="175"/>
        <v>Red</v>
      </c>
      <c r="W577" t="str">
        <f t="shared" si="176"/>
        <v>Red</v>
      </c>
      <c r="X577" t="str">
        <f t="shared" si="177"/>
        <v>Green</v>
      </c>
      <c r="Y577" t="str">
        <f t="shared" si="178"/>
        <v>Green</v>
      </c>
      <c r="Z577" t="str">
        <f t="shared" si="179"/>
        <v>Green</v>
      </c>
      <c r="AA577" t="str">
        <f t="shared" si="180"/>
        <v>Red</v>
      </c>
      <c r="AB577" t="str">
        <f t="shared" si="181"/>
        <v>Red</v>
      </c>
      <c r="AC577" t="str">
        <f t="shared" si="182"/>
        <v>Green</v>
      </c>
      <c r="AD577" t="str">
        <f t="shared" si="183"/>
        <v>Red</v>
      </c>
    </row>
    <row r="578" spans="1:30" x14ac:dyDescent="0.25">
      <c r="A578" t="str">
        <f t="shared" si="164"/>
        <v>23/07/2026Athletic Club MGSao Bernardo FC SP</v>
      </c>
      <c r="D578" s="2">
        <v>46226</v>
      </c>
      <c r="E578" s="3">
        <v>0.9375</v>
      </c>
      <c r="F578" t="s">
        <v>1999</v>
      </c>
      <c r="G578" t="s">
        <v>2000</v>
      </c>
      <c r="H578">
        <v>1</v>
      </c>
      <c r="I578">
        <v>1</v>
      </c>
      <c r="J578">
        <v>2</v>
      </c>
      <c r="K578">
        <v>1</v>
      </c>
      <c r="L578" s="22" t="str">
        <f t="shared" si="165"/>
        <v>23/07/2026</v>
      </c>
      <c r="M578" s="23">
        <f t="shared" si="166"/>
        <v>0.8125</v>
      </c>
      <c r="N578" t="str">
        <f t="shared" si="167"/>
        <v>2 - 1</v>
      </c>
      <c r="O578" t="str">
        <f t="shared" si="168"/>
        <v>Green</v>
      </c>
      <c r="P578" t="str">
        <f t="shared" si="169"/>
        <v>Red</v>
      </c>
      <c r="Q578" t="str">
        <f t="shared" si="170"/>
        <v>Red</v>
      </c>
      <c r="R578" t="str">
        <f t="shared" si="171"/>
        <v>Green</v>
      </c>
      <c r="S578" t="str">
        <f t="shared" si="172"/>
        <v>Red</v>
      </c>
      <c r="T578" t="str">
        <f t="shared" si="173"/>
        <v>Green</v>
      </c>
      <c r="U578" t="str">
        <f t="shared" si="174"/>
        <v>Red</v>
      </c>
      <c r="V578" t="str">
        <f t="shared" si="175"/>
        <v>Green</v>
      </c>
      <c r="W578" t="str">
        <f t="shared" si="176"/>
        <v>Red</v>
      </c>
      <c r="X578" t="str">
        <f t="shared" si="177"/>
        <v>Green</v>
      </c>
      <c r="Y578" t="str">
        <f t="shared" si="178"/>
        <v>Green</v>
      </c>
      <c r="Z578" t="str">
        <f t="shared" si="179"/>
        <v>Green</v>
      </c>
      <c r="AA578" t="str">
        <f t="shared" si="180"/>
        <v>Red</v>
      </c>
      <c r="AB578" t="str">
        <f t="shared" si="181"/>
        <v>Green</v>
      </c>
      <c r="AC578" t="str">
        <f t="shared" si="182"/>
        <v>Green</v>
      </c>
      <c r="AD578" t="str">
        <f t="shared" si="183"/>
        <v>Red</v>
      </c>
    </row>
    <row r="579" spans="1:30" x14ac:dyDescent="0.25">
      <c r="A579" t="str">
        <f t="shared" ref="A579:A588" si="184">L579&amp;F579&amp;G579</f>
        <v>23/07/2026Brasil PelotasGramadense</v>
      </c>
      <c r="D579" s="2">
        <v>46226</v>
      </c>
      <c r="E579" s="3">
        <v>0.95833333333333337</v>
      </c>
      <c r="F579" t="s">
        <v>2006</v>
      </c>
      <c r="G579" t="s">
        <v>2007</v>
      </c>
      <c r="H579">
        <v>1</v>
      </c>
      <c r="I579">
        <v>0</v>
      </c>
      <c r="J579">
        <v>2</v>
      </c>
      <c r="K579">
        <v>1</v>
      </c>
      <c r="L579" s="22" t="str">
        <f t="shared" ref="L579:L588" si="185">DAY(D579)&amp;"/"&amp;"07"&amp;"/"&amp;YEAR(D579)</f>
        <v>23/07/2026</v>
      </c>
      <c r="M579" s="23">
        <f t="shared" ref="M579:M588" si="186">E579-TIME(3,0,0)</f>
        <v>0.83333333333333337</v>
      </c>
      <c r="N579" t="str">
        <f t="shared" ref="N579:N588" si="187">J579&amp;" - "&amp;K579</f>
        <v>2 - 1</v>
      </c>
      <c r="O579" t="str">
        <f t="shared" ref="O579:O588" si="188">IF($J579&gt;$K579,"Green","Red")</f>
        <v>Green</v>
      </c>
      <c r="P579" t="str">
        <f t="shared" ref="P579:P588" si="189">IF($J579=$K579,"Green","Red")</f>
        <v>Red</v>
      </c>
      <c r="Q579" t="str">
        <f t="shared" ref="Q579:Q588" si="190">IF($J579&lt;$K579,"Green","Red")</f>
        <v>Red</v>
      </c>
      <c r="R579" t="str">
        <f t="shared" ref="R579:R588" si="191">IF($J579&gt;=$K579,"Green","Red")</f>
        <v>Green</v>
      </c>
      <c r="S579" t="str">
        <f t="shared" ref="S579:S588" si="192">IF($J579&lt;=$K579,"Green","Red")</f>
        <v>Red</v>
      </c>
      <c r="T579" t="str">
        <f t="shared" ref="T579:T588" si="193">IF(OR($J579&gt;$K579,$J579&lt;$K579),"Green","Red")</f>
        <v>Green</v>
      </c>
      <c r="U579" t="str">
        <f t="shared" ref="U579:U588" si="194">IF($H579&gt;$I579,"Green","Red")</f>
        <v>Green</v>
      </c>
      <c r="V579" t="str">
        <f t="shared" ref="V579:V588" si="195">IF($H579=$I579,"Green","Red")</f>
        <v>Red</v>
      </c>
      <c r="W579" t="str">
        <f t="shared" ref="W579:W588" si="196">IF($H579&lt;$I579,"Green","Red")</f>
        <v>Red</v>
      </c>
      <c r="X579" t="str">
        <f t="shared" ref="X579:X588" si="197">IF($H579+$I579&gt;0,"Green","Red")</f>
        <v>Green</v>
      </c>
      <c r="Y579" t="str">
        <f t="shared" ref="Y579:Y588" si="198">IF($J579+$K579&gt;1.5,"Green","Red")</f>
        <v>Green</v>
      </c>
      <c r="Z579" t="str">
        <f t="shared" ref="Z579:Z588" si="199">IF($J579+$K579&gt;2.5,"Green","Red")</f>
        <v>Green</v>
      </c>
      <c r="AA579" t="str">
        <f t="shared" ref="AA579:AA588" si="200">IF($J579+$K579&lt;2.5,"Green","Red")</f>
        <v>Red</v>
      </c>
      <c r="AB579" t="str">
        <f t="shared" ref="AB579:AB588" si="201">IF($J579+$K579&lt;3.5,"Green","Red")</f>
        <v>Green</v>
      </c>
      <c r="AC579" t="str">
        <f t="shared" ref="AC579:AC588" si="202">IF(AND($J579&gt;0,$K579&gt;0),"Green","Red")</f>
        <v>Green</v>
      </c>
      <c r="AD579" t="str">
        <f t="shared" ref="AD579:AD588" si="203">IF(OR($J579=0,$K579=0),"Green","Red")</f>
        <v>Red</v>
      </c>
    </row>
    <row r="580" spans="1:30" x14ac:dyDescent="0.25">
      <c r="A580" t="str">
        <f t="shared" si="184"/>
        <v>23/07/2026Ceara U20Goias U20</v>
      </c>
      <c r="D580" s="2">
        <v>46226</v>
      </c>
      <c r="E580" s="3">
        <v>0.95833333333333337</v>
      </c>
      <c r="F580" t="s">
        <v>2010</v>
      </c>
      <c r="G580" t="s">
        <v>2011</v>
      </c>
      <c r="H580">
        <v>0</v>
      </c>
      <c r="I580">
        <v>0</v>
      </c>
      <c r="J580">
        <v>1</v>
      </c>
      <c r="K580">
        <v>1</v>
      </c>
      <c r="L580" s="22" t="str">
        <f t="shared" si="185"/>
        <v>23/07/2026</v>
      </c>
      <c r="M580" s="23">
        <f t="shared" si="186"/>
        <v>0.83333333333333337</v>
      </c>
      <c r="N580" t="str">
        <f t="shared" si="187"/>
        <v>1 - 1</v>
      </c>
      <c r="O580" t="str">
        <f t="shared" si="188"/>
        <v>Red</v>
      </c>
      <c r="P580" t="str">
        <f t="shared" si="189"/>
        <v>Green</v>
      </c>
      <c r="Q580" t="str">
        <f t="shared" si="190"/>
        <v>Red</v>
      </c>
      <c r="R580" t="str">
        <f t="shared" si="191"/>
        <v>Green</v>
      </c>
      <c r="S580" t="str">
        <f t="shared" si="192"/>
        <v>Green</v>
      </c>
      <c r="T580" t="str">
        <f t="shared" si="193"/>
        <v>Red</v>
      </c>
      <c r="U580" t="str">
        <f t="shared" si="194"/>
        <v>Red</v>
      </c>
      <c r="V580" t="str">
        <f t="shared" si="195"/>
        <v>Green</v>
      </c>
      <c r="W580" t="str">
        <f t="shared" si="196"/>
        <v>Red</v>
      </c>
      <c r="X580" t="str">
        <f t="shared" si="197"/>
        <v>Red</v>
      </c>
      <c r="Y580" t="str">
        <f t="shared" si="198"/>
        <v>Green</v>
      </c>
      <c r="Z580" t="str">
        <f t="shared" si="199"/>
        <v>Red</v>
      </c>
      <c r="AA580" t="str">
        <f t="shared" si="200"/>
        <v>Green</v>
      </c>
      <c r="AB580" t="str">
        <f t="shared" si="201"/>
        <v>Green</v>
      </c>
      <c r="AC580" t="str">
        <f t="shared" si="202"/>
        <v>Green</v>
      </c>
      <c r="AD580" t="str">
        <f t="shared" si="203"/>
        <v>Red</v>
      </c>
    </row>
    <row r="581" spans="1:30" x14ac:dyDescent="0.25">
      <c r="A581" t="str">
        <f t="shared" si="184"/>
        <v>23/07/2026CuiabaAtletico Goianiense</v>
      </c>
      <c r="D581" s="2">
        <v>46226</v>
      </c>
      <c r="E581" s="3">
        <v>0.97916666666666663</v>
      </c>
      <c r="F581" t="s">
        <v>2001</v>
      </c>
      <c r="G581" t="s">
        <v>2002</v>
      </c>
      <c r="H581">
        <v>0</v>
      </c>
      <c r="I581">
        <v>0</v>
      </c>
      <c r="J581">
        <v>0</v>
      </c>
      <c r="K581">
        <v>1</v>
      </c>
      <c r="L581" s="22" t="str">
        <f t="shared" si="185"/>
        <v>23/07/2026</v>
      </c>
      <c r="M581" s="23">
        <f t="shared" si="186"/>
        <v>0.85416666666666663</v>
      </c>
      <c r="N581" t="str">
        <f t="shared" si="187"/>
        <v>0 - 1</v>
      </c>
      <c r="O581" t="str">
        <f t="shared" si="188"/>
        <v>Red</v>
      </c>
      <c r="P581" t="str">
        <f t="shared" si="189"/>
        <v>Red</v>
      </c>
      <c r="Q581" t="str">
        <f t="shared" si="190"/>
        <v>Green</v>
      </c>
      <c r="R581" t="str">
        <f t="shared" si="191"/>
        <v>Red</v>
      </c>
      <c r="S581" t="str">
        <f t="shared" si="192"/>
        <v>Green</v>
      </c>
      <c r="T581" t="str">
        <f t="shared" si="193"/>
        <v>Green</v>
      </c>
      <c r="U581" t="str">
        <f t="shared" si="194"/>
        <v>Red</v>
      </c>
      <c r="V581" t="str">
        <f t="shared" si="195"/>
        <v>Green</v>
      </c>
      <c r="W581" t="str">
        <f t="shared" si="196"/>
        <v>Red</v>
      </c>
      <c r="X581" t="str">
        <f t="shared" si="197"/>
        <v>Red</v>
      </c>
      <c r="Y581" t="str">
        <f t="shared" si="198"/>
        <v>Red</v>
      </c>
      <c r="Z581" t="str">
        <f t="shared" si="199"/>
        <v>Red</v>
      </c>
      <c r="AA581" t="str">
        <f t="shared" si="200"/>
        <v>Green</v>
      </c>
      <c r="AB581" t="str">
        <f t="shared" si="201"/>
        <v>Green</v>
      </c>
      <c r="AC581" t="str">
        <f t="shared" si="202"/>
        <v>Red</v>
      </c>
      <c r="AD581" t="str">
        <f t="shared" si="203"/>
        <v>Green</v>
      </c>
    </row>
    <row r="582" spans="1:30" x14ac:dyDescent="0.25">
      <c r="A582" t="str">
        <f t="shared" si="184"/>
        <v>23/07/2026Deportivo Cali WomenAmerica de Cali Women</v>
      </c>
      <c r="D582" s="2">
        <v>46227</v>
      </c>
      <c r="E582" s="3">
        <v>0</v>
      </c>
      <c r="F582" t="s">
        <v>2014</v>
      </c>
      <c r="G582" t="s">
        <v>2015</v>
      </c>
      <c r="H582">
        <v>0</v>
      </c>
      <c r="I582">
        <v>0</v>
      </c>
      <c r="J582">
        <v>1</v>
      </c>
      <c r="K582">
        <v>0</v>
      </c>
      <c r="L582" s="29" t="s">
        <v>97</v>
      </c>
      <c r="M582" s="23">
        <v>0.875</v>
      </c>
      <c r="N582" t="str">
        <f t="shared" si="187"/>
        <v>1 - 0</v>
      </c>
      <c r="O582" t="str">
        <f t="shared" si="188"/>
        <v>Green</v>
      </c>
      <c r="P582" t="str">
        <f t="shared" si="189"/>
        <v>Red</v>
      </c>
      <c r="Q582" t="str">
        <f t="shared" si="190"/>
        <v>Red</v>
      </c>
      <c r="R582" t="str">
        <f t="shared" si="191"/>
        <v>Green</v>
      </c>
      <c r="S582" t="str">
        <f t="shared" si="192"/>
        <v>Red</v>
      </c>
      <c r="T582" t="str">
        <f t="shared" si="193"/>
        <v>Green</v>
      </c>
      <c r="U582" t="str">
        <f t="shared" si="194"/>
        <v>Red</v>
      </c>
      <c r="V582" t="str">
        <f t="shared" si="195"/>
        <v>Green</v>
      </c>
      <c r="W582" t="str">
        <f t="shared" si="196"/>
        <v>Red</v>
      </c>
      <c r="X582" t="str">
        <f t="shared" si="197"/>
        <v>Red</v>
      </c>
      <c r="Y582" t="str">
        <f t="shared" si="198"/>
        <v>Red</v>
      </c>
      <c r="Z582" t="str">
        <f t="shared" si="199"/>
        <v>Red</v>
      </c>
      <c r="AA582" t="str">
        <f t="shared" si="200"/>
        <v>Green</v>
      </c>
      <c r="AB582" t="str">
        <f t="shared" si="201"/>
        <v>Green</v>
      </c>
      <c r="AC582" t="str">
        <f t="shared" si="202"/>
        <v>Red</v>
      </c>
      <c r="AD582" t="str">
        <f t="shared" si="203"/>
        <v>Green</v>
      </c>
    </row>
    <row r="583" spans="1:30" x14ac:dyDescent="0.25">
      <c r="A583" t="str">
        <f t="shared" si="184"/>
        <v>23/07/2026EmelecMushuc Runa</v>
      </c>
      <c r="D583" s="2">
        <v>46227</v>
      </c>
      <c r="E583" s="3">
        <v>0</v>
      </c>
      <c r="F583" t="s">
        <v>118</v>
      </c>
      <c r="G583" t="s">
        <v>119</v>
      </c>
      <c r="H583">
        <v>1</v>
      </c>
      <c r="I583">
        <v>0</v>
      </c>
      <c r="J583">
        <v>1</v>
      </c>
      <c r="K583">
        <v>1</v>
      </c>
      <c r="L583" s="29" t="s">
        <v>97</v>
      </c>
      <c r="M583" s="23">
        <v>0.875</v>
      </c>
      <c r="N583" t="str">
        <f t="shared" si="187"/>
        <v>1 - 1</v>
      </c>
      <c r="O583" t="str">
        <f t="shared" si="188"/>
        <v>Red</v>
      </c>
      <c r="P583" t="str">
        <f t="shared" si="189"/>
        <v>Green</v>
      </c>
      <c r="Q583" t="str">
        <f t="shared" si="190"/>
        <v>Red</v>
      </c>
      <c r="R583" t="str">
        <f t="shared" si="191"/>
        <v>Green</v>
      </c>
      <c r="S583" t="str">
        <f t="shared" si="192"/>
        <v>Green</v>
      </c>
      <c r="T583" t="str">
        <f t="shared" si="193"/>
        <v>Red</v>
      </c>
      <c r="U583" t="str">
        <f t="shared" si="194"/>
        <v>Green</v>
      </c>
      <c r="V583" t="str">
        <f t="shared" si="195"/>
        <v>Red</v>
      </c>
      <c r="W583" t="str">
        <f t="shared" si="196"/>
        <v>Red</v>
      </c>
      <c r="X583" t="str">
        <f t="shared" si="197"/>
        <v>Green</v>
      </c>
      <c r="Y583" t="str">
        <f t="shared" si="198"/>
        <v>Green</v>
      </c>
      <c r="Z583" t="str">
        <f t="shared" si="199"/>
        <v>Red</v>
      </c>
      <c r="AA583" t="str">
        <f t="shared" si="200"/>
        <v>Green</v>
      </c>
      <c r="AB583" t="str">
        <f t="shared" si="201"/>
        <v>Green</v>
      </c>
      <c r="AC583" t="str">
        <f t="shared" si="202"/>
        <v>Green</v>
      </c>
      <c r="AD583" t="str">
        <f t="shared" si="203"/>
        <v>Red</v>
      </c>
    </row>
    <row r="584" spans="1:30" x14ac:dyDescent="0.25">
      <c r="A584" t="str">
        <f t="shared" si="184"/>
        <v>23/07/2026Boca JuniorsCD OHiggins</v>
      </c>
      <c r="B584" t="s">
        <v>1339</v>
      </c>
      <c r="C584" t="s">
        <v>1340</v>
      </c>
      <c r="D584" s="2">
        <v>46227</v>
      </c>
      <c r="E584" s="3">
        <v>2.0833333333333332E-2</v>
      </c>
      <c r="F584" t="s">
        <v>1221</v>
      </c>
      <c r="G584" t="s">
        <v>1905</v>
      </c>
      <c r="H584">
        <v>1</v>
      </c>
      <c r="I584">
        <v>0</v>
      </c>
      <c r="J584">
        <v>1</v>
      </c>
      <c r="K584">
        <v>0</v>
      </c>
      <c r="L584" s="30" t="str">
        <f t="shared" ref="L584:L588" si="204">DAY(D584)-1&amp;"/"&amp;"07"&amp;"/"&amp;YEAR(D584)</f>
        <v>23/07/2026</v>
      </c>
      <c r="M584" s="31">
        <f t="shared" ref="M584:M588" si="205">E584-TIME(3,0,0)+TIME(12,0,0)+TIME(12,0,0)</f>
        <v>0.89583333333333326</v>
      </c>
      <c r="N584" t="str">
        <f t="shared" si="187"/>
        <v>1 - 0</v>
      </c>
      <c r="O584" t="str">
        <f t="shared" si="188"/>
        <v>Green</v>
      </c>
      <c r="P584" t="str">
        <f t="shared" si="189"/>
        <v>Red</v>
      </c>
      <c r="Q584" t="str">
        <f t="shared" si="190"/>
        <v>Red</v>
      </c>
      <c r="R584" t="str">
        <f t="shared" si="191"/>
        <v>Green</v>
      </c>
      <c r="S584" t="str">
        <f t="shared" si="192"/>
        <v>Red</v>
      </c>
      <c r="T584" t="str">
        <f t="shared" si="193"/>
        <v>Green</v>
      </c>
      <c r="U584" t="str">
        <f t="shared" si="194"/>
        <v>Green</v>
      </c>
      <c r="V584" t="str">
        <f t="shared" si="195"/>
        <v>Red</v>
      </c>
      <c r="W584" t="str">
        <f t="shared" si="196"/>
        <v>Red</v>
      </c>
      <c r="X584" t="str">
        <f t="shared" si="197"/>
        <v>Green</v>
      </c>
      <c r="Y584" t="str">
        <f t="shared" si="198"/>
        <v>Red</v>
      </c>
      <c r="Z584" t="str">
        <f t="shared" si="199"/>
        <v>Red</v>
      </c>
      <c r="AA584" t="str">
        <f t="shared" si="200"/>
        <v>Green</v>
      </c>
      <c r="AB584" t="str">
        <f t="shared" si="201"/>
        <v>Green</v>
      </c>
      <c r="AC584" t="str">
        <f t="shared" si="202"/>
        <v>Red</v>
      </c>
      <c r="AD584" t="str">
        <f t="shared" si="203"/>
        <v>Green</v>
      </c>
    </row>
    <row r="585" spans="1:30" x14ac:dyDescent="0.25">
      <c r="A585" t="str">
        <f t="shared" si="184"/>
        <v>23/07/2026Independiente Santa FeCaracas</v>
      </c>
      <c r="B585" t="s">
        <v>1339</v>
      </c>
      <c r="C585" t="s">
        <v>1340</v>
      </c>
      <c r="D585" s="2">
        <v>46227</v>
      </c>
      <c r="E585" s="3">
        <v>2.0833333333333332E-2</v>
      </c>
      <c r="F585" t="s">
        <v>423</v>
      </c>
      <c r="G585" t="s">
        <v>1906</v>
      </c>
      <c r="H585">
        <v>1</v>
      </c>
      <c r="I585">
        <v>0</v>
      </c>
      <c r="J585">
        <v>2</v>
      </c>
      <c r="K585">
        <v>0</v>
      </c>
      <c r="L585" s="30" t="str">
        <f t="shared" si="204"/>
        <v>23/07/2026</v>
      </c>
      <c r="M585" s="31">
        <f t="shared" si="205"/>
        <v>0.89583333333333326</v>
      </c>
      <c r="N585" t="str">
        <f t="shared" si="187"/>
        <v>2 - 0</v>
      </c>
      <c r="O585" t="str">
        <f t="shared" si="188"/>
        <v>Green</v>
      </c>
      <c r="P585" t="str">
        <f t="shared" si="189"/>
        <v>Red</v>
      </c>
      <c r="Q585" t="str">
        <f t="shared" si="190"/>
        <v>Red</v>
      </c>
      <c r="R585" t="str">
        <f t="shared" si="191"/>
        <v>Green</v>
      </c>
      <c r="S585" t="str">
        <f t="shared" si="192"/>
        <v>Red</v>
      </c>
      <c r="T585" t="str">
        <f t="shared" si="193"/>
        <v>Green</v>
      </c>
      <c r="U585" t="str">
        <f t="shared" si="194"/>
        <v>Green</v>
      </c>
      <c r="V585" t="str">
        <f t="shared" si="195"/>
        <v>Red</v>
      </c>
      <c r="W585" t="str">
        <f t="shared" si="196"/>
        <v>Red</v>
      </c>
      <c r="X585" t="str">
        <f t="shared" si="197"/>
        <v>Green</v>
      </c>
      <c r="Y585" t="str">
        <f t="shared" si="198"/>
        <v>Green</v>
      </c>
      <c r="Z585" t="str">
        <f t="shared" si="199"/>
        <v>Red</v>
      </c>
      <c r="AA585" t="str">
        <f t="shared" si="200"/>
        <v>Green</v>
      </c>
      <c r="AB585" t="str">
        <f t="shared" si="201"/>
        <v>Green</v>
      </c>
      <c r="AC585" t="str">
        <f t="shared" si="202"/>
        <v>Red</v>
      </c>
      <c r="AD585" t="str">
        <f t="shared" si="203"/>
        <v>Green</v>
      </c>
    </row>
    <row r="586" spans="1:30" x14ac:dyDescent="0.25">
      <c r="A586" t="str">
        <f t="shared" si="184"/>
        <v>23/07/2026Botafogo SPEC Juventude</v>
      </c>
      <c r="D586" s="2">
        <v>46227</v>
      </c>
      <c r="E586" s="3">
        <v>2.0833333333333332E-2</v>
      </c>
      <c r="F586" t="s">
        <v>120</v>
      </c>
      <c r="G586" t="s">
        <v>2003</v>
      </c>
      <c r="H586">
        <v>2</v>
      </c>
      <c r="I586">
        <v>0</v>
      </c>
      <c r="J586">
        <v>4</v>
      </c>
      <c r="K586">
        <v>2</v>
      </c>
      <c r="L586" s="30" t="str">
        <f t="shared" si="204"/>
        <v>23/07/2026</v>
      </c>
      <c r="M586" s="31">
        <f t="shared" si="205"/>
        <v>0.89583333333333326</v>
      </c>
      <c r="N586" t="str">
        <f t="shared" si="187"/>
        <v>4 - 2</v>
      </c>
      <c r="O586" t="str">
        <f t="shared" si="188"/>
        <v>Green</v>
      </c>
      <c r="P586" t="str">
        <f t="shared" si="189"/>
        <v>Red</v>
      </c>
      <c r="Q586" t="str">
        <f t="shared" si="190"/>
        <v>Red</v>
      </c>
      <c r="R586" t="str">
        <f t="shared" si="191"/>
        <v>Green</v>
      </c>
      <c r="S586" t="str">
        <f t="shared" si="192"/>
        <v>Red</v>
      </c>
      <c r="T586" t="str">
        <f t="shared" si="193"/>
        <v>Green</v>
      </c>
      <c r="U586" t="str">
        <f t="shared" si="194"/>
        <v>Green</v>
      </c>
      <c r="V586" t="str">
        <f t="shared" si="195"/>
        <v>Red</v>
      </c>
      <c r="W586" t="str">
        <f t="shared" si="196"/>
        <v>Red</v>
      </c>
      <c r="X586" t="str">
        <f t="shared" si="197"/>
        <v>Green</v>
      </c>
      <c r="Y586" t="str">
        <f t="shared" si="198"/>
        <v>Green</v>
      </c>
      <c r="Z586" t="str">
        <f t="shared" si="199"/>
        <v>Green</v>
      </c>
      <c r="AA586" t="str">
        <f t="shared" si="200"/>
        <v>Red</v>
      </c>
      <c r="AB586" t="str">
        <f t="shared" si="201"/>
        <v>Red</v>
      </c>
      <c r="AC586" t="str">
        <f t="shared" si="202"/>
        <v>Green</v>
      </c>
      <c r="AD586" t="str">
        <f t="shared" si="203"/>
        <v>Red</v>
      </c>
    </row>
    <row r="587" spans="1:30" x14ac:dyDescent="0.25">
      <c r="A587" t="str">
        <f t="shared" si="184"/>
        <v>23/07/2026Defensa Y JusticiaAldosivi</v>
      </c>
      <c r="D587" s="2">
        <v>46227</v>
      </c>
      <c r="E587" s="3">
        <v>3.125E-2</v>
      </c>
      <c r="F587" t="s">
        <v>1993</v>
      </c>
      <c r="G587" t="s">
        <v>123</v>
      </c>
      <c r="H587">
        <v>1</v>
      </c>
      <c r="I587">
        <v>1</v>
      </c>
      <c r="J587">
        <v>1</v>
      </c>
      <c r="K587">
        <v>1</v>
      </c>
      <c r="L587" s="30" t="str">
        <f t="shared" si="204"/>
        <v>23/07/2026</v>
      </c>
      <c r="M587" s="31">
        <f t="shared" si="205"/>
        <v>0.90625</v>
      </c>
      <c r="N587" t="str">
        <f t="shared" si="187"/>
        <v>1 - 1</v>
      </c>
      <c r="O587" t="str">
        <f t="shared" si="188"/>
        <v>Red</v>
      </c>
      <c r="P587" t="str">
        <f t="shared" si="189"/>
        <v>Green</v>
      </c>
      <c r="Q587" t="str">
        <f t="shared" si="190"/>
        <v>Red</v>
      </c>
      <c r="R587" t="str">
        <f t="shared" si="191"/>
        <v>Green</v>
      </c>
      <c r="S587" t="str">
        <f t="shared" si="192"/>
        <v>Green</v>
      </c>
      <c r="T587" t="str">
        <f t="shared" si="193"/>
        <v>Red</v>
      </c>
      <c r="U587" t="str">
        <f t="shared" si="194"/>
        <v>Red</v>
      </c>
      <c r="V587" t="str">
        <f t="shared" si="195"/>
        <v>Green</v>
      </c>
      <c r="W587" t="str">
        <f t="shared" si="196"/>
        <v>Red</v>
      </c>
      <c r="X587" t="str">
        <f t="shared" si="197"/>
        <v>Green</v>
      </c>
      <c r="Y587" t="str">
        <f t="shared" si="198"/>
        <v>Green</v>
      </c>
      <c r="Z587" t="str">
        <f t="shared" si="199"/>
        <v>Red</v>
      </c>
      <c r="AA587" t="str">
        <f t="shared" si="200"/>
        <v>Green</v>
      </c>
      <c r="AB587" t="str">
        <f t="shared" si="201"/>
        <v>Green</v>
      </c>
      <c r="AC587" t="str">
        <f t="shared" si="202"/>
        <v>Green</v>
      </c>
      <c r="AD587" t="str">
        <f t="shared" si="203"/>
        <v>Red</v>
      </c>
    </row>
    <row r="588" spans="1:30" x14ac:dyDescent="0.25">
      <c r="A588" t="str">
        <f t="shared" si="184"/>
        <v>23/07/2026CS HeredianoPuntarenas</v>
      </c>
      <c r="D588" s="2">
        <v>46227</v>
      </c>
      <c r="E588" s="3">
        <v>8.3333333333333329E-2</v>
      </c>
      <c r="F588" t="s">
        <v>2016</v>
      </c>
      <c r="G588" t="s">
        <v>2017</v>
      </c>
      <c r="H588">
        <v>1</v>
      </c>
      <c r="I588">
        <v>1</v>
      </c>
      <c r="J588">
        <v>1</v>
      </c>
      <c r="K588">
        <v>1</v>
      </c>
      <c r="L588" s="30" t="str">
        <f t="shared" si="204"/>
        <v>23/07/2026</v>
      </c>
      <c r="M588" s="31">
        <f t="shared" si="205"/>
        <v>0.95833333333333326</v>
      </c>
      <c r="N588" t="str">
        <f t="shared" si="187"/>
        <v>1 - 1</v>
      </c>
      <c r="O588" t="str">
        <f t="shared" si="188"/>
        <v>Red</v>
      </c>
      <c r="P588" t="str">
        <f t="shared" si="189"/>
        <v>Green</v>
      </c>
      <c r="Q588" t="str">
        <f t="shared" si="190"/>
        <v>Red</v>
      </c>
      <c r="R588" t="str">
        <f t="shared" si="191"/>
        <v>Green</v>
      </c>
      <c r="S588" t="str">
        <f t="shared" si="192"/>
        <v>Green</v>
      </c>
      <c r="T588" t="str">
        <f t="shared" si="193"/>
        <v>Red</v>
      </c>
      <c r="U588" t="str">
        <f t="shared" si="194"/>
        <v>Red</v>
      </c>
      <c r="V588" t="str">
        <f t="shared" si="195"/>
        <v>Green</v>
      </c>
      <c r="W588" t="str">
        <f t="shared" si="196"/>
        <v>Red</v>
      </c>
      <c r="X588" t="str">
        <f t="shared" si="197"/>
        <v>Green</v>
      </c>
      <c r="Y588" t="str">
        <f t="shared" si="198"/>
        <v>Green</v>
      </c>
      <c r="Z588" t="str">
        <f t="shared" si="199"/>
        <v>Red</v>
      </c>
      <c r="AA588" t="str">
        <f t="shared" si="200"/>
        <v>Green</v>
      </c>
      <c r="AB588" t="str">
        <f t="shared" si="201"/>
        <v>Green</v>
      </c>
      <c r="AC588" t="str">
        <f t="shared" si="202"/>
        <v>Green</v>
      </c>
      <c r="AD588" t="str">
        <f t="shared" si="203"/>
        <v>Red</v>
      </c>
    </row>
  </sheetData>
  <autoFilter ref="A1:AD588" xr:uid="{2F82443A-C45A-4803-B471-E97A0AB3DE22}"/>
  <sortState xmlns:xlrd2="http://schemas.microsoft.com/office/spreadsheetml/2017/richdata2" ref="B2:M588">
    <sortCondition ref="D2:D588"/>
    <sortCondition ref="E2:E588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551"/>
  <sheetViews>
    <sheetView workbookViewId="0">
      <pane ySplit="1" topLeftCell="A544" activePane="bottomLeft" state="frozen"/>
      <selection pane="bottomLeft" activeCell="L570" sqref="L570"/>
    </sheetView>
  </sheetViews>
  <sheetFormatPr defaultRowHeight="15" x14ac:dyDescent="0.25"/>
  <cols>
    <col min="1" max="2" width="22.5703125" bestFit="1" customWidth="1"/>
    <col min="5" max="5" width="20.28515625" style="1" bestFit="1" customWidth="1"/>
    <col min="7" max="8" width="23.5703125" bestFit="1" customWidth="1"/>
  </cols>
  <sheetData>
    <row r="1" spans="1:5" x14ac:dyDescent="0.25">
      <c r="A1" t="s">
        <v>2123</v>
      </c>
      <c r="B1" t="s">
        <v>2124</v>
      </c>
    </row>
    <row r="2" spans="1:5" x14ac:dyDescent="0.25">
      <c r="A2" t="s">
        <v>235</v>
      </c>
      <c r="B2" t="s">
        <v>399</v>
      </c>
      <c r="E2"/>
    </row>
    <row r="3" spans="1:5" x14ac:dyDescent="0.25">
      <c r="A3" t="s">
        <v>72</v>
      </c>
      <c r="B3" t="s">
        <v>896</v>
      </c>
      <c r="E3"/>
    </row>
    <row r="4" spans="1:5" x14ac:dyDescent="0.25">
      <c r="A4" t="s">
        <v>66</v>
      </c>
      <c r="B4" t="s">
        <v>880</v>
      </c>
      <c r="E4"/>
    </row>
    <row r="5" spans="1:5" x14ac:dyDescent="0.25">
      <c r="A5" t="s">
        <v>232</v>
      </c>
      <c r="B5" t="s">
        <v>375</v>
      </c>
      <c r="E5"/>
    </row>
    <row r="6" spans="1:5" x14ac:dyDescent="0.25">
      <c r="A6" t="s">
        <v>75</v>
      </c>
      <c r="B6" t="s">
        <v>75</v>
      </c>
      <c r="E6"/>
    </row>
    <row r="7" spans="1:5" x14ac:dyDescent="0.25">
      <c r="A7" t="s">
        <v>234</v>
      </c>
      <c r="B7" t="s">
        <v>398</v>
      </c>
      <c r="E7"/>
    </row>
    <row r="8" spans="1:5" x14ac:dyDescent="0.25">
      <c r="A8" t="s">
        <v>233</v>
      </c>
      <c r="B8" t="s">
        <v>233</v>
      </c>
      <c r="E8"/>
    </row>
    <row r="9" spans="1:5" x14ac:dyDescent="0.25">
      <c r="A9" t="s">
        <v>241</v>
      </c>
      <c r="B9" t="s">
        <v>434</v>
      </c>
      <c r="E9"/>
    </row>
    <row r="10" spans="1:5" x14ac:dyDescent="0.25">
      <c r="A10" t="s">
        <v>33</v>
      </c>
      <c r="B10" t="s">
        <v>33</v>
      </c>
      <c r="E10"/>
    </row>
    <row r="11" spans="1:5" x14ac:dyDescent="0.25">
      <c r="A11" t="s">
        <v>265</v>
      </c>
      <c r="B11" t="s">
        <v>265</v>
      </c>
      <c r="E11"/>
    </row>
    <row r="12" spans="1:5" x14ac:dyDescent="0.25">
      <c r="A12" t="s">
        <v>27</v>
      </c>
      <c r="B12" t="s">
        <v>1614</v>
      </c>
      <c r="E12"/>
    </row>
    <row r="13" spans="1:5" x14ac:dyDescent="0.25">
      <c r="A13" t="s">
        <v>216</v>
      </c>
      <c r="B13" t="s">
        <v>1353</v>
      </c>
      <c r="E13"/>
    </row>
    <row r="14" spans="1:5" x14ac:dyDescent="0.25">
      <c r="A14" t="s">
        <v>24</v>
      </c>
      <c r="B14" t="s">
        <v>24</v>
      </c>
      <c r="E14"/>
    </row>
    <row r="15" spans="1:5" x14ac:dyDescent="0.25">
      <c r="A15" t="s">
        <v>47</v>
      </c>
      <c r="B15" t="s">
        <v>1888</v>
      </c>
      <c r="E15"/>
    </row>
    <row r="16" spans="1:5" x14ac:dyDescent="0.25">
      <c r="A16" t="s">
        <v>43</v>
      </c>
      <c r="B16" t="s">
        <v>930</v>
      </c>
      <c r="E16"/>
    </row>
    <row r="17" spans="1:5" x14ac:dyDescent="0.25">
      <c r="A17" t="s">
        <v>80</v>
      </c>
      <c r="B17" t="s">
        <v>882</v>
      </c>
      <c r="E17"/>
    </row>
    <row r="18" spans="1:5" x14ac:dyDescent="0.25">
      <c r="A18" t="s">
        <v>67</v>
      </c>
      <c r="B18" t="s">
        <v>67</v>
      </c>
      <c r="E18"/>
    </row>
    <row r="19" spans="1:5" x14ac:dyDescent="0.25">
      <c r="A19" t="s">
        <v>65</v>
      </c>
      <c r="B19" t="s">
        <v>65</v>
      </c>
      <c r="E19"/>
    </row>
    <row r="20" spans="1:5" x14ac:dyDescent="0.25">
      <c r="A20" t="s">
        <v>58</v>
      </c>
      <c r="B20" t="s">
        <v>58</v>
      </c>
      <c r="E20"/>
    </row>
    <row r="21" spans="1:5" x14ac:dyDescent="0.25">
      <c r="A21" t="s">
        <v>230</v>
      </c>
      <c r="B21" t="s">
        <v>431</v>
      </c>
      <c r="E21"/>
    </row>
    <row r="22" spans="1:5" x14ac:dyDescent="0.25">
      <c r="A22" t="s">
        <v>87</v>
      </c>
      <c r="B22" t="s">
        <v>87</v>
      </c>
      <c r="E22"/>
    </row>
    <row r="23" spans="1:5" x14ac:dyDescent="0.25">
      <c r="A23" t="s">
        <v>83</v>
      </c>
      <c r="B23" t="s">
        <v>1900</v>
      </c>
      <c r="E23"/>
    </row>
    <row r="24" spans="1:5" x14ac:dyDescent="0.25">
      <c r="A24" t="s">
        <v>53</v>
      </c>
      <c r="B24" t="s">
        <v>878</v>
      </c>
      <c r="E24"/>
    </row>
    <row r="25" spans="1:5" x14ac:dyDescent="0.25">
      <c r="A25" t="s">
        <v>41</v>
      </c>
      <c r="B25" t="s">
        <v>893</v>
      </c>
      <c r="E25"/>
    </row>
    <row r="26" spans="1:5" x14ac:dyDescent="0.25">
      <c r="A26" t="s">
        <v>44</v>
      </c>
      <c r="B26" t="s">
        <v>931</v>
      </c>
      <c r="E26"/>
    </row>
    <row r="27" spans="1:5" x14ac:dyDescent="0.25">
      <c r="A27" t="s">
        <v>237</v>
      </c>
      <c r="B27" t="s">
        <v>401</v>
      </c>
      <c r="E27"/>
    </row>
    <row r="28" spans="1:5" x14ac:dyDescent="0.25">
      <c r="A28" t="s">
        <v>70</v>
      </c>
      <c r="B28" t="s">
        <v>70</v>
      </c>
      <c r="E28"/>
    </row>
    <row r="29" spans="1:5" x14ac:dyDescent="0.25">
      <c r="A29" t="s">
        <v>78</v>
      </c>
      <c r="B29" t="s">
        <v>78</v>
      </c>
      <c r="E29"/>
    </row>
    <row r="30" spans="1:5" x14ac:dyDescent="0.25">
      <c r="A30" t="s">
        <v>231</v>
      </c>
      <c r="B30" t="s">
        <v>432</v>
      </c>
      <c r="E30"/>
    </row>
    <row r="31" spans="1:5" x14ac:dyDescent="0.25">
      <c r="A31" t="s">
        <v>260</v>
      </c>
      <c r="B31" t="s">
        <v>260</v>
      </c>
      <c r="E31"/>
    </row>
    <row r="32" spans="1:5" x14ac:dyDescent="0.25">
      <c r="A32" t="s">
        <v>228</v>
      </c>
      <c r="B32" t="s">
        <v>1436</v>
      </c>
      <c r="E32"/>
    </row>
    <row r="33" spans="1:5" x14ac:dyDescent="0.25">
      <c r="A33" t="s">
        <v>55</v>
      </c>
      <c r="B33" t="s">
        <v>55</v>
      </c>
      <c r="E33"/>
    </row>
    <row r="34" spans="1:5" x14ac:dyDescent="0.25">
      <c r="A34" t="s">
        <v>94</v>
      </c>
      <c r="B34" t="s">
        <v>885</v>
      </c>
      <c r="E34"/>
    </row>
    <row r="35" spans="1:5" x14ac:dyDescent="0.25">
      <c r="A35" t="s">
        <v>226</v>
      </c>
      <c r="B35" t="s">
        <v>1386</v>
      </c>
      <c r="E35"/>
    </row>
    <row r="36" spans="1:5" x14ac:dyDescent="0.25">
      <c r="A36" t="s">
        <v>246</v>
      </c>
      <c r="B36" t="s">
        <v>298</v>
      </c>
      <c r="E36"/>
    </row>
    <row r="37" spans="1:5" x14ac:dyDescent="0.25">
      <c r="A37" t="s">
        <v>253</v>
      </c>
      <c r="B37" t="s">
        <v>253</v>
      </c>
      <c r="E37"/>
    </row>
    <row r="38" spans="1:5" x14ac:dyDescent="0.25">
      <c r="A38" t="s">
        <v>29</v>
      </c>
      <c r="B38" t="s">
        <v>29</v>
      </c>
      <c r="E38"/>
    </row>
    <row r="39" spans="1:5" x14ac:dyDescent="0.25">
      <c r="A39" t="s">
        <v>264</v>
      </c>
      <c r="B39" t="s">
        <v>295</v>
      </c>
      <c r="E39"/>
    </row>
    <row r="40" spans="1:5" x14ac:dyDescent="0.25">
      <c r="A40" t="s">
        <v>247</v>
      </c>
      <c r="B40" t="s">
        <v>293</v>
      </c>
      <c r="E40"/>
    </row>
    <row r="41" spans="1:5" x14ac:dyDescent="0.25">
      <c r="A41" t="s">
        <v>142</v>
      </c>
      <c r="B41" t="s">
        <v>371</v>
      </c>
      <c r="E41"/>
    </row>
    <row r="42" spans="1:5" x14ac:dyDescent="0.25">
      <c r="A42" t="s">
        <v>250</v>
      </c>
      <c r="B42" t="s">
        <v>284</v>
      </c>
      <c r="E42"/>
    </row>
    <row r="43" spans="1:5" x14ac:dyDescent="0.25">
      <c r="A43" t="s">
        <v>249</v>
      </c>
      <c r="B43" t="s">
        <v>249</v>
      </c>
      <c r="E43"/>
    </row>
    <row r="44" spans="1:5" x14ac:dyDescent="0.25">
      <c r="A44" t="s">
        <v>256</v>
      </c>
      <c r="B44" t="s">
        <v>291</v>
      </c>
      <c r="E44"/>
    </row>
    <row r="45" spans="1:5" x14ac:dyDescent="0.25">
      <c r="A45" t="s">
        <v>68</v>
      </c>
      <c r="B45" t="s">
        <v>894</v>
      </c>
      <c r="E45"/>
    </row>
    <row r="46" spans="1:5" x14ac:dyDescent="0.25">
      <c r="A46" t="s">
        <v>243</v>
      </c>
      <c r="B46" t="s">
        <v>403</v>
      </c>
      <c r="E46"/>
    </row>
    <row r="47" spans="1:5" x14ac:dyDescent="0.25">
      <c r="A47" t="s">
        <v>262</v>
      </c>
      <c r="B47" t="s">
        <v>270</v>
      </c>
      <c r="E47"/>
    </row>
    <row r="48" spans="1:5" x14ac:dyDescent="0.25">
      <c r="A48" t="s">
        <v>32</v>
      </c>
      <c r="B48" t="s">
        <v>1617</v>
      </c>
      <c r="E48"/>
    </row>
    <row r="49" spans="1:5" x14ac:dyDescent="0.25">
      <c r="A49" t="s">
        <v>51</v>
      </c>
      <c r="B49" t="s">
        <v>933</v>
      </c>
      <c r="E49"/>
    </row>
    <row r="50" spans="1:5" x14ac:dyDescent="0.25">
      <c r="A50" t="s">
        <v>31</v>
      </c>
      <c r="B50" t="s">
        <v>1616</v>
      </c>
      <c r="E50"/>
    </row>
    <row r="51" spans="1:5" x14ac:dyDescent="0.25">
      <c r="A51" t="s">
        <v>146</v>
      </c>
      <c r="B51" t="s">
        <v>146</v>
      </c>
      <c r="E51"/>
    </row>
    <row r="52" spans="1:5" x14ac:dyDescent="0.25">
      <c r="A52" t="s">
        <v>164</v>
      </c>
      <c r="B52" t="s">
        <v>294</v>
      </c>
      <c r="E52"/>
    </row>
    <row r="53" spans="1:5" x14ac:dyDescent="0.25">
      <c r="A53" t="s">
        <v>77</v>
      </c>
      <c r="B53" t="s">
        <v>77</v>
      </c>
      <c r="E53"/>
    </row>
    <row r="54" spans="1:5" x14ac:dyDescent="0.25">
      <c r="A54" t="s">
        <v>266</v>
      </c>
      <c r="B54" t="s">
        <v>266</v>
      </c>
      <c r="E54"/>
    </row>
    <row r="55" spans="1:5" x14ac:dyDescent="0.25">
      <c r="A55" t="s">
        <v>267</v>
      </c>
      <c r="B55" t="s">
        <v>267</v>
      </c>
      <c r="E55"/>
    </row>
    <row r="56" spans="1:5" x14ac:dyDescent="0.25">
      <c r="A56" t="s">
        <v>252</v>
      </c>
      <c r="B56" t="s">
        <v>252</v>
      </c>
      <c r="E56"/>
    </row>
    <row r="57" spans="1:5" x14ac:dyDescent="0.25">
      <c r="A57" t="s">
        <v>39</v>
      </c>
      <c r="B57" t="s">
        <v>39</v>
      </c>
      <c r="E57"/>
    </row>
    <row r="58" spans="1:5" x14ac:dyDescent="0.25">
      <c r="A58" t="s">
        <v>238</v>
      </c>
      <c r="B58" t="s">
        <v>238</v>
      </c>
      <c r="E58"/>
    </row>
    <row r="59" spans="1:5" x14ac:dyDescent="0.25">
      <c r="A59" t="s">
        <v>57</v>
      </c>
      <c r="B59" t="s">
        <v>57</v>
      </c>
      <c r="E59"/>
    </row>
    <row r="60" spans="1:5" x14ac:dyDescent="0.25">
      <c r="A60" t="s">
        <v>48</v>
      </c>
      <c r="B60" t="s">
        <v>1889</v>
      </c>
      <c r="E60"/>
    </row>
    <row r="61" spans="1:5" x14ac:dyDescent="0.25">
      <c r="A61" t="s">
        <v>69</v>
      </c>
      <c r="B61" t="s">
        <v>69</v>
      </c>
      <c r="E61"/>
    </row>
    <row r="62" spans="1:5" x14ac:dyDescent="0.25">
      <c r="A62" t="s">
        <v>218</v>
      </c>
      <c r="B62" t="s">
        <v>218</v>
      </c>
      <c r="E62"/>
    </row>
    <row r="63" spans="1:5" x14ac:dyDescent="0.25">
      <c r="A63" t="s">
        <v>220</v>
      </c>
      <c r="B63" t="s">
        <v>1432</v>
      </c>
      <c r="E63"/>
    </row>
    <row r="64" spans="1:5" x14ac:dyDescent="0.25">
      <c r="A64" t="s">
        <v>258</v>
      </c>
      <c r="B64" t="s">
        <v>343</v>
      </c>
      <c r="E64"/>
    </row>
    <row r="65" spans="1:5" x14ac:dyDescent="0.25">
      <c r="A65" t="s">
        <v>224</v>
      </c>
      <c r="B65" t="s">
        <v>1361</v>
      </c>
      <c r="E65"/>
    </row>
    <row r="66" spans="1:5" x14ac:dyDescent="0.25">
      <c r="A66" t="s">
        <v>170</v>
      </c>
      <c r="B66" t="s">
        <v>170</v>
      </c>
      <c r="E66"/>
    </row>
    <row r="67" spans="1:5" x14ac:dyDescent="0.25">
      <c r="A67" t="s">
        <v>89</v>
      </c>
      <c r="B67" t="s">
        <v>89</v>
      </c>
      <c r="E67"/>
    </row>
    <row r="68" spans="1:5" x14ac:dyDescent="0.25">
      <c r="A68" t="s">
        <v>25</v>
      </c>
      <c r="B68" t="s">
        <v>25</v>
      </c>
      <c r="E68"/>
    </row>
    <row r="69" spans="1:5" x14ac:dyDescent="0.25">
      <c r="A69" t="s">
        <v>26</v>
      </c>
      <c r="B69" t="s">
        <v>26</v>
      </c>
      <c r="E69"/>
    </row>
    <row r="70" spans="1:5" x14ac:dyDescent="0.25">
      <c r="A70" t="s">
        <v>49</v>
      </c>
      <c r="B70" t="s">
        <v>49</v>
      </c>
      <c r="E70"/>
    </row>
    <row r="71" spans="1:5" x14ac:dyDescent="0.25">
      <c r="A71" t="s">
        <v>35</v>
      </c>
      <c r="B71" t="s">
        <v>35</v>
      </c>
      <c r="E71"/>
    </row>
    <row r="72" spans="1:5" x14ac:dyDescent="0.25">
      <c r="A72" t="s">
        <v>74</v>
      </c>
      <c r="B72" t="s">
        <v>934</v>
      </c>
      <c r="E72"/>
    </row>
    <row r="73" spans="1:5" x14ac:dyDescent="0.25">
      <c r="A73" t="s">
        <v>91</v>
      </c>
      <c r="B73" t="s">
        <v>91</v>
      </c>
      <c r="E73"/>
    </row>
    <row r="74" spans="1:5" x14ac:dyDescent="0.25">
      <c r="A74" t="s">
        <v>804</v>
      </c>
      <c r="B74" t="s">
        <v>76</v>
      </c>
      <c r="E74"/>
    </row>
    <row r="75" spans="1:5" x14ac:dyDescent="0.25">
      <c r="A75" t="s">
        <v>37</v>
      </c>
      <c r="B75" t="s">
        <v>1858</v>
      </c>
      <c r="E75"/>
    </row>
    <row r="76" spans="1:5" x14ac:dyDescent="0.25">
      <c r="A76" t="s">
        <v>259</v>
      </c>
      <c r="B76" t="s">
        <v>342</v>
      </c>
      <c r="E76"/>
    </row>
    <row r="77" spans="1:5" x14ac:dyDescent="0.25">
      <c r="A77" t="s">
        <v>63</v>
      </c>
      <c r="B77" t="s">
        <v>63</v>
      </c>
      <c r="E77"/>
    </row>
    <row r="78" spans="1:5" x14ac:dyDescent="0.25">
      <c r="A78" t="s">
        <v>82</v>
      </c>
      <c r="B78" t="s">
        <v>883</v>
      </c>
      <c r="E78"/>
    </row>
    <row r="79" spans="1:5" x14ac:dyDescent="0.25">
      <c r="A79" t="s">
        <v>119</v>
      </c>
      <c r="B79" t="s">
        <v>119</v>
      </c>
      <c r="E79"/>
    </row>
    <row r="80" spans="1:5" x14ac:dyDescent="0.25">
      <c r="A80" t="s">
        <v>268</v>
      </c>
      <c r="B80" t="s">
        <v>311</v>
      </c>
      <c r="E80"/>
    </row>
    <row r="81" spans="1:5" x14ac:dyDescent="0.25">
      <c r="A81" t="s">
        <v>79</v>
      </c>
      <c r="B81" t="s">
        <v>881</v>
      </c>
      <c r="E81"/>
    </row>
    <row r="82" spans="1:5" x14ac:dyDescent="0.25">
      <c r="A82" t="s">
        <v>73</v>
      </c>
      <c r="B82" t="s">
        <v>73</v>
      </c>
      <c r="E82"/>
    </row>
    <row r="83" spans="1:5" x14ac:dyDescent="0.25">
      <c r="A83" t="s">
        <v>59</v>
      </c>
      <c r="B83" t="s">
        <v>59</v>
      </c>
      <c r="E83"/>
    </row>
    <row r="84" spans="1:5" x14ac:dyDescent="0.25">
      <c r="A84" t="s">
        <v>54</v>
      </c>
      <c r="B84" t="s">
        <v>879</v>
      </c>
      <c r="E84"/>
    </row>
    <row r="85" spans="1:5" x14ac:dyDescent="0.25">
      <c r="A85" t="s">
        <v>62</v>
      </c>
      <c r="B85" t="s">
        <v>62</v>
      </c>
      <c r="E85"/>
    </row>
    <row r="86" spans="1:5" x14ac:dyDescent="0.25">
      <c r="A86" t="s">
        <v>20</v>
      </c>
      <c r="B86" t="s">
        <v>912</v>
      </c>
      <c r="E86"/>
    </row>
    <row r="87" spans="1:5" x14ac:dyDescent="0.25">
      <c r="A87" t="s">
        <v>261</v>
      </c>
      <c r="B87" t="s">
        <v>271</v>
      </c>
      <c r="E87"/>
    </row>
    <row r="88" spans="1:5" x14ac:dyDescent="0.25">
      <c r="A88" t="s">
        <v>236</v>
      </c>
      <c r="B88" t="s">
        <v>400</v>
      </c>
      <c r="E88"/>
    </row>
    <row r="89" spans="1:5" x14ac:dyDescent="0.25">
      <c r="A89" t="s">
        <v>45</v>
      </c>
      <c r="B89" t="s">
        <v>932</v>
      </c>
      <c r="E89"/>
    </row>
    <row r="90" spans="1:5" x14ac:dyDescent="0.25">
      <c r="A90" t="s">
        <v>104</v>
      </c>
      <c r="B90" t="s">
        <v>302</v>
      </c>
      <c r="E90"/>
    </row>
    <row r="91" spans="1:5" x14ac:dyDescent="0.25">
      <c r="A91" t="s">
        <v>148</v>
      </c>
      <c r="B91" t="s">
        <v>148</v>
      </c>
      <c r="E91"/>
    </row>
    <row r="92" spans="1:5" x14ac:dyDescent="0.25">
      <c r="A92" t="s">
        <v>96</v>
      </c>
      <c r="B92" t="s">
        <v>886</v>
      </c>
      <c r="E92"/>
    </row>
    <row r="93" spans="1:5" x14ac:dyDescent="0.25">
      <c r="A93" t="s">
        <v>42</v>
      </c>
      <c r="B93" t="s">
        <v>42</v>
      </c>
      <c r="E93"/>
    </row>
    <row r="94" spans="1:5" x14ac:dyDescent="0.25">
      <c r="A94" t="s">
        <v>61</v>
      </c>
      <c r="B94" t="s">
        <v>61</v>
      </c>
      <c r="E94"/>
    </row>
    <row r="95" spans="1:5" x14ac:dyDescent="0.25">
      <c r="A95" t="s">
        <v>30</v>
      </c>
      <c r="B95" t="s">
        <v>30</v>
      </c>
      <c r="E95"/>
    </row>
    <row r="96" spans="1:5" x14ac:dyDescent="0.25">
      <c r="A96" t="s">
        <v>46</v>
      </c>
      <c r="B96" t="s">
        <v>46</v>
      </c>
      <c r="E96"/>
    </row>
    <row r="97" spans="1:5" x14ac:dyDescent="0.25">
      <c r="A97" t="s">
        <v>93</v>
      </c>
      <c r="B97" t="s">
        <v>93</v>
      </c>
      <c r="E97"/>
    </row>
    <row r="98" spans="1:5" x14ac:dyDescent="0.25">
      <c r="A98" t="s">
        <v>135</v>
      </c>
      <c r="B98" t="s">
        <v>135</v>
      </c>
      <c r="E98"/>
    </row>
    <row r="99" spans="1:5" x14ac:dyDescent="0.25">
      <c r="A99" t="s">
        <v>269</v>
      </c>
      <c r="B99" t="s">
        <v>269</v>
      </c>
      <c r="E99"/>
    </row>
    <row r="100" spans="1:5" x14ac:dyDescent="0.25">
      <c r="A100" t="s">
        <v>239</v>
      </c>
      <c r="B100" t="s">
        <v>397</v>
      </c>
      <c r="E100"/>
    </row>
    <row r="101" spans="1:5" x14ac:dyDescent="0.25">
      <c r="A101" t="s">
        <v>92</v>
      </c>
      <c r="B101" t="s">
        <v>92</v>
      </c>
      <c r="E101"/>
    </row>
    <row r="102" spans="1:5" x14ac:dyDescent="0.25">
      <c r="A102" t="s">
        <v>257</v>
      </c>
      <c r="B102" t="s">
        <v>290</v>
      </c>
      <c r="E102"/>
    </row>
    <row r="103" spans="1:5" x14ac:dyDescent="0.25">
      <c r="A103" t="s">
        <v>248</v>
      </c>
      <c r="B103" t="s">
        <v>292</v>
      </c>
      <c r="E103"/>
    </row>
    <row r="104" spans="1:5" x14ac:dyDescent="0.25">
      <c r="A104" t="s">
        <v>263</v>
      </c>
      <c r="B104" t="s">
        <v>313</v>
      </c>
      <c r="E104"/>
    </row>
    <row r="105" spans="1:5" x14ac:dyDescent="0.25">
      <c r="A105" t="s">
        <v>88</v>
      </c>
      <c r="B105" t="s">
        <v>88</v>
      </c>
      <c r="E105"/>
    </row>
    <row r="106" spans="1:5" x14ac:dyDescent="0.25">
      <c r="A106" t="s">
        <v>95</v>
      </c>
      <c r="B106" t="s">
        <v>95</v>
      </c>
      <c r="E106"/>
    </row>
    <row r="107" spans="1:5" x14ac:dyDescent="0.25">
      <c r="A107" t="s">
        <v>71</v>
      </c>
      <c r="B107" t="s">
        <v>895</v>
      </c>
      <c r="E107"/>
    </row>
    <row r="108" spans="1:5" x14ac:dyDescent="0.25">
      <c r="A108" t="s">
        <v>255</v>
      </c>
      <c r="B108" t="s">
        <v>255</v>
      </c>
      <c r="E108"/>
    </row>
    <row r="109" spans="1:5" x14ac:dyDescent="0.25">
      <c r="A109" t="s">
        <v>76</v>
      </c>
      <c r="B109" t="s">
        <v>76</v>
      </c>
      <c r="E109"/>
    </row>
    <row r="110" spans="1:5" x14ac:dyDescent="0.25">
      <c r="A110" t="s">
        <v>144</v>
      </c>
      <c r="B110" t="s">
        <v>359</v>
      </c>
      <c r="E110"/>
    </row>
    <row r="111" spans="1:5" x14ac:dyDescent="0.25">
      <c r="A111" t="s">
        <v>254</v>
      </c>
      <c r="B111" t="s">
        <v>254</v>
      </c>
      <c r="E111"/>
    </row>
    <row r="112" spans="1:5" x14ac:dyDescent="0.25">
      <c r="A112" t="s">
        <v>52</v>
      </c>
      <c r="B112" t="s">
        <v>52</v>
      </c>
      <c r="E112"/>
    </row>
    <row r="113" spans="1:5" x14ac:dyDescent="0.25">
      <c r="A113" t="s">
        <v>81</v>
      </c>
      <c r="B113" t="s">
        <v>81</v>
      </c>
      <c r="E113"/>
    </row>
    <row r="114" spans="1:5" x14ac:dyDescent="0.25">
      <c r="A114" t="s">
        <v>90</v>
      </c>
      <c r="B114" t="s">
        <v>884</v>
      </c>
      <c r="E114"/>
    </row>
    <row r="115" spans="1:5" x14ac:dyDescent="0.25">
      <c r="A115" t="s">
        <v>251</v>
      </c>
      <c r="B115" t="s">
        <v>285</v>
      </c>
      <c r="E115"/>
    </row>
    <row r="116" spans="1:5" x14ac:dyDescent="0.25">
      <c r="A116" t="s">
        <v>60</v>
      </c>
      <c r="B116" t="s">
        <v>60</v>
      </c>
      <c r="E116"/>
    </row>
    <row r="117" spans="1:5" x14ac:dyDescent="0.25">
      <c r="A117" t="s">
        <v>245</v>
      </c>
      <c r="B117" t="s">
        <v>299</v>
      </c>
      <c r="E117"/>
    </row>
    <row r="118" spans="1:5" x14ac:dyDescent="0.25">
      <c r="A118" t="s">
        <v>23</v>
      </c>
      <c r="B118" t="s">
        <v>910</v>
      </c>
      <c r="E118"/>
    </row>
    <row r="119" spans="1:5" x14ac:dyDescent="0.25">
      <c r="A119" t="s">
        <v>240</v>
      </c>
      <c r="B119" t="s">
        <v>433</v>
      </c>
      <c r="E119"/>
    </row>
    <row r="120" spans="1:5" x14ac:dyDescent="0.25">
      <c r="A120" t="s">
        <v>222</v>
      </c>
      <c r="B120" t="s">
        <v>1434</v>
      </c>
      <c r="E120"/>
    </row>
    <row r="121" spans="1:5" x14ac:dyDescent="0.25">
      <c r="A121" t="s">
        <v>56</v>
      </c>
      <c r="B121" t="s">
        <v>56</v>
      </c>
      <c r="E121"/>
    </row>
    <row r="122" spans="1:5" x14ac:dyDescent="0.25">
      <c r="A122" t="s">
        <v>85</v>
      </c>
      <c r="B122" t="s">
        <v>85</v>
      </c>
      <c r="E122"/>
    </row>
    <row r="123" spans="1:5" x14ac:dyDescent="0.25">
      <c r="A123" t="s">
        <v>169</v>
      </c>
      <c r="B123" t="s">
        <v>169</v>
      </c>
      <c r="E123"/>
    </row>
    <row r="124" spans="1:5" x14ac:dyDescent="0.25">
      <c r="A124" t="s">
        <v>242</v>
      </c>
      <c r="B124" t="s">
        <v>402</v>
      </c>
      <c r="E124"/>
    </row>
    <row r="125" spans="1:5" x14ac:dyDescent="0.25">
      <c r="A125" t="s">
        <v>98</v>
      </c>
      <c r="B125" t="s">
        <v>98</v>
      </c>
      <c r="E125"/>
    </row>
    <row r="126" spans="1:5" x14ac:dyDescent="0.25">
      <c r="A126" t="s">
        <v>100</v>
      </c>
      <c r="B126" t="s">
        <v>100</v>
      </c>
      <c r="E126"/>
    </row>
    <row r="127" spans="1:5" x14ac:dyDescent="0.25">
      <c r="A127" t="s">
        <v>102</v>
      </c>
      <c r="B127" t="s">
        <v>2018</v>
      </c>
    </row>
    <row r="128" spans="1:5" x14ac:dyDescent="0.25">
      <c r="A128" t="s">
        <v>106</v>
      </c>
      <c r="B128" t="s">
        <v>1991</v>
      </c>
      <c r="E128"/>
    </row>
    <row r="129" spans="1:5" x14ac:dyDescent="0.25">
      <c r="A129" t="s">
        <v>108</v>
      </c>
      <c r="B129" t="s">
        <v>1992</v>
      </c>
      <c r="E129"/>
    </row>
    <row r="130" spans="1:5" x14ac:dyDescent="0.25">
      <c r="A130" t="s">
        <v>110</v>
      </c>
      <c r="B130" t="s">
        <v>1989</v>
      </c>
      <c r="E130"/>
    </row>
    <row r="131" spans="1:5" x14ac:dyDescent="0.25">
      <c r="A131" t="s">
        <v>112</v>
      </c>
      <c r="B131" t="s">
        <v>112</v>
      </c>
      <c r="E131"/>
    </row>
    <row r="132" spans="1:5" x14ac:dyDescent="0.25">
      <c r="A132" t="s">
        <v>114</v>
      </c>
      <c r="B132" t="s">
        <v>1999</v>
      </c>
      <c r="E132"/>
    </row>
    <row r="133" spans="1:5" x14ac:dyDescent="0.25">
      <c r="A133" t="s">
        <v>116</v>
      </c>
      <c r="B133" t="s">
        <v>2001</v>
      </c>
      <c r="E133"/>
    </row>
    <row r="134" spans="1:5" x14ac:dyDescent="0.25">
      <c r="A134" t="s">
        <v>118</v>
      </c>
      <c r="B134" t="s">
        <v>118</v>
      </c>
      <c r="E134"/>
    </row>
    <row r="135" spans="1:5" x14ac:dyDescent="0.25">
      <c r="A135" t="s">
        <v>120</v>
      </c>
      <c r="B135" t="s">
        <v>120</v>
      </c>
      <c r="E135"/>
    </row>
    <row r="136" spans="1:5" x14ac:dyDescent="0.25">
      <c r="A136" t="s">
        <v>122</v>
      </c>
      <c r="B136" t="s">
        <v>1993</v>
      </c>
      <c r="E136"/>
    </row>
    <row r="137" spans="1:5" x14ac:dyDescent="0.25">
      <c r="A137" t="s">
        <v>125</v>
      </c>
      <c r="B137" t="s">
        <v>1323</v>
      </c>
      <c r="E137"/>
    </row>
    <row r="138" spans="1:5" x14ac:dyDescent="0.25">
      <c r="A138" t="s">
        <v>127</v>
      </c>
      <c r="B138" t="s">
        <v>1506</v>
      </c>
      <c r="E138"/>
    </row>
    <row r="139" spans="1:5" x14ac:dyDescent="0.25">
      <c r="A139" t="s">
        <v>129</v>
      </c>
      <c r="B139" t="s">
        <v>394</v>
      </c>
      <c r="E139"/>
    </row>
    <row r="140" spans="1:5" x14ac:dyDescent="0.25">
      <c r="A140" t="s">
        <v>131</v>
      </c>
      <c r="B140" t="s">
        <v>1582</v>
      </c>
      <c r="E140"/>
    </row>
    <row r="141" spans="1:5" x14ac:dyDescent="0.25">
      <c r="A141" t="s">
        <v>133</v>
      </c>
    </row>
    <row r="142" spans="1:5" x14ac:dyDescent="0.25">
      <c r="A142" t="s">
        <v>137</v>
      </c>
    </row>
    <row r="143" spans="1:5" x14ac:dyDescent="0.25">
      <c r="A143" t="s">
        <v>139</v>
      </c>
    </row>
    <row r="144" spans="1:5" x14ac:dyDescent="0.25">
      <c r="A144" t="s">
        <v>141</v>
      </c>
      <c r="B144" t="s">
        <v>1930</v>
      </c>
      <c r="E144"/>
    </row>
    <row r="145" spans="1:5" x14ac:dyDescent="0.25">
      <c r="A145" t="s">
        <v>143</v>
      </c>
      <c r="B145" t="s">
        <v>1665</v>
      </c>
      <c r="E145"/>
    </row>
    <row r="146" spans="1:5" x14ac:dyDescent="0.25">
      <c r="A146" t="s">
        <v>145</v>
      </c>
      <c r="B146" t="s">
        <v>1948</v>
      </c>
      <c r="E146"/>
    </row>
    <row r="147" spans="1:5" x14ac:dyDescent="0.25">
      <c r="A147" t="s">
        <v>147</v>
      </c>
      <c r="B147" t="s">
        <v>1456</v>
      </c>
      <c r="E147"/>
    </row>
    <row r="148" spans="1:5" x14ac:dyDescent="0.25">
      <c r="A148" t="s">
        <v>149</v>
      </c>
    </row>
    <row r="149" spans="1:5" x14ac:dyDescent="0.25">
      <c r="A149" t="s">
        <v>151</v>
      </c>
    </row>
    <row r="150" spans="1:5" x14ac:dyDescent="0.25">
      <c r="A150" t="s">
        <v>153</v>
      </c>
    </row>
    <row r="151" spans="1:5" x14ac:dyDescent="0.25">
      <c r="A151" t="s">
        <v>155</v>
      </c>
    </row>
    <row r="152" spans="1:5" x14ac:dyDescent="0.25">
      <c r="A152" t="s">
        <v>157</v>
      </c>
    </row>
    <row r="153" spans="1:5" x14ac:dyDescent="0.25">
      <c r="A153" t="s">
        <v>159</v>
      </c>
    </row>
    <row r="154" spans="1:5" x14ac:dyDescent="0.25">
      <c r="A154" t="s">
        <v>161</v>
      </c>
      <c r="B154" t="s">
        <v>1707</v>
      </c>
      <c r="E154"/>
    </row>
    <row r="155" spans="1:5" x14ac:dyDescent="0.25">
      <c r="A155" t="s">
        <v>163</v>
      </c>
    </row>
    <row r="156" spans="1:5" x14ac:dyDescent="0.25">
      <c r="A156" t="s">
        <v>165</v>
      </c>
    </row>
    <row r="157" spans="1:5" x14ac:dyDescent="0.25">
      <c r="A157" t="s">
        <v>167</v>
      </c>
    </row>
    <row r="158" spans="1:5" x14ac:dyDescent="0.25">
      <c r="A158" t="s">
        <v>171</v>
      </c>
    </row>
    <row r="159" spans="1:5" x14ac:dyDescent="0.25">
      <c r="A159" t="s">
        <v>173</v>
      </c>
    </row>
    <row r="160" spans="1:5" x14ac:dyDescent="0.25">
      <c r="A160" t="s">
        <v>175</v>
      </c>
      <c r="B160" t="s">
        <v>422</v>
      </c>
      <c r="E160"/>
    </row>
    <row r="161" spans="1:5" x14ac:dyDescent="0.25">
      <c r="A161" t="s">
        <v>177</v>
      </c>
      <c r="E161"/>
    </row>
    <row r="162" spans="1:5" x14ac:dyDescent="0.25">
      <c r="A162" t="s">
        <v>179</v>
      </c>
      <c r="E162"/>
    </row>
    <row r="163" spans="1:5" x14ac:dyDescent="0.25">
      <c r="A163" t="s">
        <v>181</v>
      </c>
      <c r="B163" t="s">
        <v>1943</v>
      </c>
      <c r="E163"/>
    </row>
    <row r="164" spans="1:5" x14ac:dyDescent="0.25">
      <c r="A164" t="s">
        <v>183</v>
      </c>
      <c r="E164"/>
    </row>
    <row r="165" spans="1:5" x14ac:dyDescent="0.25">
      <c r="A165" t="s">
        <v>185</v>
      </c>
    </row>
    <row r="166" spans="1:5" x14ac:dyDescent="0.25">
      <c r="A166" t="s">
        <v>187</v>
      </c>
      <c r="B166" t="s">
        <v>1341</v>
      </c>
      <c r="E166"/>
    </row>
    <row r="167" spans="1:5" x14ac:dyDescent="0.25">
      <c r="A167" t="s">
        <v>189</v>
      </c>
      <c r="B167" t="s">
        <v>1625</v>
      </c>
      <c r="E167"/>
    </row>
    <row r="168" spans="1:5" x14ac:dyDescent="0.25">
      <c r="A168" t="s">
        <v>191</v>
      </c>
      <c r="B168" t="s">
        <v>191</v>
      </c>
      <c r="E168"/>
    </row>
    <row r="169" spans="1:5" x14ac:dyDescent="0.25">
      <c r="A169" t="s">
        <v>193</v>
      </c>
      <c r="B169" t="s">
        <v>2089</v>
      </c>
      <c r="E169"/>
    </row>
    <row r="170" spans="1:5" x14ac:dyDescent="0.25">
      <c r="A170" t="s">
        <v>195</v>
      </c>
    </row>
    <row r="171" spans="1:5" x14ac:dyDescent="0.25">
      <c r="A171" t="s">
        <v>197</v>
      </c>
    </row>
    <row r="172" spans="1:5" x14ac:dyDescent="0.25">
      <c r="A172" t="s">
        <v>199</v>
      </c>
      <c r="B172" t="s">
        <v>1026</v>
      </c>
      <c r="E172"/>
    </row>
    <row r="173" spans="1:5" x14ac:dyDescent="0.25">
      <c r="A173" t="s">
        <v>201</v>
      </c>
      <c r="B173" t="s">
        <v>1628</v>
      </c>
      <c r="E173"/>
    </row>
    <row r="174" spans="1:5" x14ac:dyDescent="0.25">
      <c r="A174" t="s">
        <v>203</v>
      </c>
      <c r="B174" t="s">
        <v>1937</v>
      </c>
      <c r="E174"/>
    </row>
    <row r="175" spans="1:5" x14ac:dyDescent="0.25">
      <c r="A175" t="s">
        <v>205</v>
      </c>
    </row>
    <row r="176" spans="1:5" x14ac:dyDescent="0.25">
      <c r="A176" t="s">
        <v>207</v>
      </c>
    </row>
    <row r="177" spans="1:5" x14ac:dyDescent="0.25">
      <c r="A177" t="s">
        <v>209</v>
      </c>
      <c r="B177" t="s">
        <v>2018</v>
      </c>
      <c r="E177"/>
    </row>
    <row r="178" spans="1:5" x14ac:dyDescent="0.25">
      <c r="A178" t="s">
        <v>211</v>
      </c>
      <c r="B178" t="s">
        <v>809</v>
      </c>
      <c r="E178"/>
    </row>
    <row r="179" spans="1:5" x14ac:dyDescent="0.25">
      <c r="A179" t="s">
        <v>213</v>
      </c>
      <c r="B179" t="s">
        <v>2020</v>
      </c>
      <c r="E179"/>
    </row>
    <row r="180" spans="1:5" x14ac:dyDescent="0.25">
      <c r="A180" t="s">
        <v>509</v>
      </c>
    </row>
    <row r="181" spans="1:5" x14ac:dyDescent="0.25">
      <c r="A181" t="s">
        <v>511</v>
      </c>
      <c r="B181" t="s">
        <v>385</v>
      </c>
      <c r="E181"/>
    </row>
    <row r="182" spans="1:5" x14ac:dyDescent="0.25">
      <c r="A182" t="s">
        <v>514</v>
      </c>
    </row>
    <row r="183" spans="1:5" x14ac:dyDescent="0.25">
      <c r="A183" t="s">
        <v>515</v>
      </c>
    </row>
    <row r="184" spans="1:5" x14ac:dyDescent="0.25">
      <c r="A184" t="s">
        <v>517</v>
      </c>
      <c r="B184" t="s">
        <v>1306</v>
      </c>
      <c r="E184"/>
    </row>
    <row r="185" spans="1:5" x14ac:dyDescent="0.25">
      <c r="A185" t="s">
        <v>519</v>
      </c>
    </row>
    <row r="186" spans="1:5" x14ac:dyDescent="0.25">
      <c r="A186" t="s">
        <v>521</v>
      </c>
    </row>
    <row r="187" spans="1:5" x14ac:dyDescent="0.25">
      <c r="A187" t="s">
        <v>523</v>
      </c>
    </row>
    <row r="188" spans="1:5" x14ac:dyDescent="0.25">
      <c r="A188" t="s">
        <v>525</v>
      </c>
    </row>
    <row r="189" spans="1:5" x14ac:dyDescent="0.25">
      <c r="A189" t="s">
        <v>527</v>
      </c>
    </row>
    <row r="190" spans="1:5" x14ac:dyDescent="0.25">
      <c r="A190" t="s">
        <v>529</v>
      </c>
    </row>
    <row r="191" spans="1:5" x14ac:dyDescent="0.25">
      <c r="A191" t="s">
        <v>531</v>
      </c>
      <c r="B191" t="s">
        <v>531</v>
      </c>
      <c r="E191"/>
    </row>
    <row r="192" spans="1:5" x14ac:dyDescent="0.25">
      <c r="A192" t="s">
        <v>533</v>
      </c>
    </row>
    <row r="193" spans="1:5" x14ac:dyDescent="0.25">
      <c r="A193" t="s">
        <v>535</v>
      </c>
    </row>
    <row r="194" spans="1:5" x14ac:dyDescent="0.25">
      <c r="A194" t="s">
        <v>537</v>
      </c>
    </row>
    <row r="195" spans="1:5" x14ac:dyDescent="0.25">
      <c r="A195" t="s">
        <v>540</v>
      </c>
      <c r="B195" t="s">
        <v>392</v>
      </c>
      <c r="E195"/>
    </row>
    <row r="196" spans="1:5" x14ac:dyDescent="0.25">
      <c r="A196" t="s">
        <v>542</v>
      </c>
    </row>
    <row r="197" spans="1:5" x14ac:dyDescent="0.25">
      <c r="A197" t="s">
        <v>544</v>
      </c>
    </row>
    <row r="198" spans="1:5" x14ac:dyDescent="0.25">
      <c r="A198" t="s">
        <v>545</v>
      </c>
    </row>
    <row r="199" spans="1:5" x14ac:dyDescent="0.25">
      <c r="A199" t="s">
        <v>547</v>
      </c>
      <c r="B199" t="s">
        <v>922</v>
      </c>
      <c r="E199"/>
    </row>
    <row r="200" spans="1:5" x14ac:dyDescent="0.25">
      <c r="A200" t="s">
        <v>549</v>
      </c>
    </row>
    <row r="201" spans="1:5" x14ac:dyDescent="0.25">
      <c r="A201" t="s">
        <v>551</v>
      </c>
    </row>
    <row r="202" spans="1:5" x14ac:dyDescent="0.25">
      <c r="A202" t="s">
        <v>552</v>
      </c>
    </row>
    <row r="203" spans="1:5" x14ac:dyDescent="0.25">
      <c r="A203" t="s">
        <v>555</v>
      </c>
    </row>
    <row r="204" spans="1:5" x14ac:dyDescent="0.25">
      <c r="A204" t="s">
        <v>557</v>
      </c>
    </row>
    <row r="205" spans="1:5" x14ac:dyDescent="0.25">
      <c r="A205" t="s">
        <v>559</v>
      </c>
    </row>
    <row r="206" spans="1:5" x14ac:dyDescent="0.25">
      <c r="A206" t="s">
        <v>562</v>
      </c>
      <c r="B206" t="s">
        <v>411</v>
      </c>
      <c r="E206"/>
    </row>
    <row r="207" spans="1:5" x14ac:dyDescent="0.25">
      <c r="A207" t="s">
        <v>404</v>
      </c>
      <c r="B207" t="s">
        <v>404</v>
      </c>
      <c r="E207"/>
    </row>
    <row r="208" spans="1:5" x14ac:dyDescent="0.25">
      <c r="A208" t="s">
        <v>566</v>
      </c>
      <c r="B208" t="s">
        <v>1672</v>
      </c>
      <c r="E208"/>
    </row>
    <row r="209" spans="1:5" x14ac:dyDescent="0.25">
      <c r="A209" t="s">
        <v>568</v>
      </c>
      <c r="B209" t="s">
        <v>1617</v>
      </c>
      <c r="E209"/>
    </row>
    <row r="210" spans="1:5" x14ac:dyDescent="0.25">
      <c r="A210" t="s">
        <v>570</v>
      </c>
      <c r="B210" t="s">
        <v>1431</v>
      </c>
      <c r="E210"/>
    </row>
    <row r="211" spans="1:5" x14ac:dyDescent="0.25">
      <c r="A211" t="s">
        <v>572</v>
      </c>
      <c r="B211" t="s">
        <v>1615</v>
      </c>
      <c r="E211"/>
    </row>
    <row r="212" spans="1:5" x14ac:dyDescent="0.25">
      <c r="A212" t="s">
        <v>574</v>
      </c>
      <c r="B212" t="s">
        <v>1433</v>
      </c>
      <c r="E212"/>
    </row>
    <row r="213" spans="1:5" x14ac:dyDescent="0.25">
      <c r="A213" t="s">
        <v>577</v>
      </c>
      <c r="B213" t="s">
        <v>417</v>
      </c>
      <c r="E213"/>
    </row>
    <row r="214" spans="1:5" x14ac:dyDescent="0.25">
      <c r="A214" t="s">
        <v>579</v>
      </c>
    </row>
    <row r="215" spans="1:5" x14ac:dyDescent="0.25">
      <c r="A215" t="s">
        <v>581</v>
      </c>
      <c r="B215" t="s">
        <v>1619</v>
      </c>
      <c r="E215"/>
    </row>
    <row r="216" spans="1:5" x14ac:dyDescent="0.25">
      <c r="A216" t="s">
        <v>583</v>
      </c>
    </row>
    <row r="217" spans="1:5" x14ac:dyDescent="0.25">
      <c r="A217" t="s">
        <v>585</v>
      </c>
    </row>
    <row r="218" spans="1:5" x14ac:dyDescent="0.25">
      <c r="A218" t="s">
        <v>588</v>
      </c>
    </row>
    <row r="219" spans="1:5" x14ac:dyDescent="0.25">
      <c r="A219" t="s">
        <v>589</v>
      </c>
    </row>
    <row r="220" spans="1:5" x14ac:dyDescent="0.25">
      <c r="A220" t="s">
        <v>591</v>
      </c>
    </row>
    <row r="221" spans="1:5" x14ac:dyDescent="0.25">
      <c r="A221" t="s">
        <v>593</v>
      </c>
    </row>
    <row r="222" spans="1:5" x14ac:dyDescent="0.25">
      <c r="A222" t="s">
        <v>595</v>
      </c>
    </row>
    <row r="223" spans="1:5" x14ac:dyDescent="0.25">
      <c r="A223" t="s">
        <v>597</v>
      </c>
    </row>
    <row r="224" spans="1:5" x14ac:dyDescent="0.25">
      <c r="A224" t="s">
        <v>599</v>
      </c>
    </row>
    <row r="225" spans="1:5" x14ac:dyDescent="0.25">
      <c r="A225" t="s">
        <v>406</v>
      </c>
      <c r="B225" t="s">
        <v>406</v>
      </c>
      <c r="E225"/>
    </row>
    <row r="226" spans="1:5" x14ac:dyDescent="0.25">
      <c r="A226" t="s">
        <v>603</v>
      </c>
    </row>
    <row r="227" spans="1:5" x14ac:dyDescent="0.25">
      <c r="A227" t="s">
        <v>412</v>
      </c>
      <c r="B227" t="s">
        <v>412</v>
      </c>
      <c r="E227"/>
    </row>
    <row r="228" spans="1:5" x14ac:dyDescent="0.25">
      <c r="A228" t="s">
        <v>605</v>
      </c>
      <c r="B228" t="s">
        <v>2118</v>
      </c>
      <c r="E228"/>
    </row>
    <row r="229" spans="1:5" x14ac:dyDescent="0.25">
      <c r="A229" t="s">
        <v>606</v>
      </c>
    </row>
    <row r="230" spans="1:5" x14ac:dyDescent="0.25">
      <c r="A230" t="s">
        <v>607</v>
      </c>
      <c r="B230" t="s">
        <v>1939</v>
      </c>
      <c r="E230"/>
    </row>
    <row r="231" spans="1:5" x14ac:dyDescent="0.25">
      <c r="A231" t="s">
        <v>609</v>
      </c>
      <c r="B231" t="s">
        <v>1767</v>
      </c>
      <c r="E231"/>
    </row>
    <row r="232" spans="1:5" x14ac:dyDescent="0.25">
      <c r="A232" t="s">
        <v>610</v>
      </c>
      <c r="B232" t="s">
        <v>1959</v>
      </c>
      <c r="E232"/>
    </row>
    <row r="233" spans="1:5" x14ac:dyDescent="0.25">
      <c r="A233" t="s">
        <v>612</v>
      </c>
      <c r="B233" t="s">
        <v>1706</v>
      </c>
      <c r="E233"/>
    </row>
    <row r="234" spans="1:5" x14ac:dyDescent="0.25">
      <c r="A234" t="s">
        <v>614</v>
      </c>
    </row>
    <row r="235" spans="1:5" x14ac:dyDescent="0.25">
      <c r="A235" t="s">
        <v>616</v>
      </c>
      <c r="B235" t="s">
        <v>1513</v>
      </c>
      <c r="E235"/>
    </row>
    <row r="236" spans="1:5" x14ac:dyDescent="0.25">
      <c r="A236" t="s">
        <v>617</v>
      </c>
    </row>
    <row r="237" spans="1:5" x14ac:dyDescent="0.25">
      <c r="A237" t="s">
        <v>620</v>
      </c>
      <c r="B237" t="s">
        <v>359</v>
      </c>
      <c r="E237"/>
    </row>
    <row r="238" spans="1:5" x14ac:dyDescent="0.25">
      <c r="A238" t="s">
        <v>622</v>
      </c>
      <c r="B238" t="s">
        <v>622</v>
      </c>
      <c r="E238"/>
    </row>
    <row r="239" spans="1:5" x14ac:dyDescent="0.25">
      <c r="A239" t="s">
        <v>624</v>
      </c>
    </row>
    <row r="240" spans="1:5" x14ac:dyDescent="0.25">
      <c r="A240" t="s">
        <v>626</v>
      </c>
    </row>
    <row r="241" spans="1:5" x14ac:dyDescent="0.25">
      <c r="A241" t="s">
        <v>628</v>
      </c>
    </row>
    <row r="242" spans="1:5" x14ac:dyDescent="0.25">
      <c r="A242" t="s">
        <v>631</v>
      </c>
      <c r="B242" t="s">
        <v>1514</v>
      </c>
      <c r="E242"/>
    </row>
    <row r="243" spans="1:5" x14ac:dyDescent="0.25">
      <c r="A243" t="s">
        <v>633</v>
      </c>
      <c r="B243" t="s">
        <v>2084</v>
      </c>
      <c r="E243"/>
    </row>
    <row r="244" spans="1:5" x14ac:dyDescent="0.25">
      <c r="A244" t="s">
        <v>635</v>
      </c>
    </row>
    <row r="245" spans="1:5" x14ac:dyDescent="0.25">
      <c r="A245" t="s">
        <v>637</v>
      </c>
    </row>
    <row r="246" spans="1:5" x14ac:dyDescent="0.25">
      <c r="A246" t="s">
        <v>639</v>
      </c>
    </row>
    <row r="247" spans="1:5" x14ac:dyDescent="0.25">
      <c r="A247" t="s">
        <v>641</v>
      </c>
      <c r="B247" t="s">
        <v>319</v>
      </c>
      <c r="E247"/>
    </row>
    <row r="248" spans="1:5" x14ac:dyDescent="0.25">
      <c r="A248" t="s">
        <v>645</v>
      </c>
      <c r="B248" t="s">
        <v>1983</v>
      </c>
      <c r="E248"/>
    </row>
    <row r="249" spans="1:5" x14ac:dyDescent="0.25">
      <c r="A249" t="s">
        <v>647</v>
      </c>
      <c r="B249" t="s">
        <v>1495</v>
      </c>
      <c r="E249"/>
    </row>
    <row r="250" spans="1:5" x14ac:dyDescent="0.25">
      <c r="A250" t="s">
        <v>649</v>
      </c>
    </row>
    <row r="251" spans="1:5" x14ac:dyDescent="0.25">
      <c r="A251" t="s">
        <v>651</v>
      </c>
    </row>
    <row r="252" spans="1:5" x14ac:dyDescent="0.25">
      <c r="A252" t="s">
        <v>653</v>
      </c>
      <c r="B252" t="s">
        <v>1386</v>
      </c>
      <c r="E252"/>
    </row>
    <row r="253" spans="1:5" x14ac:dyDescent="0.25">
      <c r="A253" t="s">
        <v>654</v>
      </c>
    </row>
    <row r="254" spans="1:5" x14ac:dyDescent="0.25">
      <c r="A254" t="s">
        <v>657</v>
      </c>
      <c r="B254" t="s">
        <v>1762</v>
      </c>
      <c r="E254"/>
    </row>
    <row r="255" spans="1:5" x14ac:dyDescent="0.25">
      <c r="A255" t="s">
        <v>659</v>
      </c>
    </row>
    <row r="256" spans="1:5" x14ac:dyDescent="0.25">
      <c r="A256" t="s">
        <v>661</v>
      </c>
    </row>
    <row r="257" spans="1:5" x14ac:dyDescent="0.25">
      <c r="A257" t="s">
        <v>663</v>
      </c>
    </row>
    <row r="258" spans="1:5" x14ac:dyDescent="0.25">
      <c r="A258" t="s">
        <v>666</v>
      </c>
    </row>
    <row r="259" spans="1:5" x14ac:dyDescent="0.25">
      <c r="A259" t="s">
        <v>669</v>
      </c>
    </row>
    <row r="260" spans="1:5" x14ac:dyDescent="0.25">
      <c r="A260" t="s">
        <v>671</v>
      </c>
      <c r="B260" t="s">
        <v>321</v>
      </c>
      <c r="E260"/>
    </row>
    <row r="261" spans="1:5" x14ac:dyDescent="0.25">
      <c r="A261" t="s">
        <v>673</v>
      </c>
    </row>
    <row r="262" spans="1:5" x14ac:dyDescent="0.25">
      <c r="A262" t="s">
        <v>323</v>
      </c>
      <c r="B262" t="s">
        <v>323</v>
      </c>
      <c r="E262"/>
    </row>
    <row r="263" spans="1:5" x14ac:dyDescent="0.25">
      <c r="A263" t="s">
        <v>676</v>
      </c>
      <c r="B263" t="s">
        <v>1726</v>
      </c>
      <c r="E263"/>
    </row>
    <row r="264" spans="1:5" x14ac:dyDescent="0.25">
      <c r="A264" t="s">
        <v>678</v>
      </c>
    </row>
    <row r="265" spans="1:5" x14ac:dyDescent="0.25">
      <c r="A265" t="s">
        <v>679</v>
      </c>
      <c r="B265" t="s">
        <v>366</v>
      </c>
      <c r="E265"/>
    </row>
    <row r="266" spans="1:5" x14ac:dyDescent="0.25">
      <c r="A266" t="s">
        <v>681</v>
      </c>
    </row>
    <row r="267" spans="1:5" x14ac:dyDescent="0.25">
      <c r="A267" t="s">
        <v>381</v>
      </c>
      <c r="B267" t="s">
        <v>381</v>
      </c>
      <c r="E267"/>
    </row>
    <row r="268" spans="1:5" x14ac:dyDescent="0.25">
      <c r="A268" t="s">
        <v>318</v>
      </c>
      <c r="B268" t="s">
        <v>318</v>
      </c>
      <c r="E268"/>
    </row>
    <row r="269" spans="1:5" x14ac:dyDescent="0.25">
      <c r="A269" t="s">
        <v>685</v>
      </c>
      <c r="B269" t="s">
        <v>685</v>
      </c>
      <c r="E269"/>
    </row>
    <row r="270" spans="1:5" x14ac:dyDescent="0.25">
      <c r="A270" t="s">
        <v>686</v>
      </c>
    </row>
    <row r="271" spans="1:5" x14ac:dyDescent="0.25">
      <c r="A271" t="s">
        <v>320</v>
      </c>
      <c r="B271" t="s">
        <v>320</v>
      </c>
      <c r="E271"/>
    </row>
    <row r="272" spans="1:5" x14ac:dyDescent="0.25">
      <c r="A272" t="s">
        <v>688</v>
      </c>
    </row>
    <row r="273" spans="1:5" x14ac:dyDescent="0.25">
      <c r="A273" t="s">
        <v>690</v>
      </c>
      <c r="B273" t="s">
        <v>374</v>
      </c>
      <c r="E273"/>
    </row>
    <row r="274" spans="1:5" x14ac:dyDescent="0.25">
      <c r="A274" t="s">
        <v>692</v>
      </c>
      <c r="B274" t="s">
        <v>809</v>
      </c>
      <c r="E274"/>
    </row>
    <row r="275" spans="1:5" x14ac:dyDescent="0.25">
      <c r="A275" t="s">
        <v>694</v>
      </c>
      <c r="B275" t="s">
        <v>694</v>
      </c>
      <c r="E275"/>
    </row>
    <row r="276" spans="1:5" x14ac:dyDescent="0.25">
      <c r="A276" t="s">
        <v>696</v>
      </c>
      <c r="B276" t="s">
        <v>1575</v>
      </c>
      <c r="E276"/>
    </row>
    <row r="277" spans="1:5" x14ac:dyDescent="0.25">
      <c r="A277" t="s">
        <v>698</v>
      </c>
      <c r="B277" t="s">
        <v>1982</v>
      </c>
      <c r="E277"/>
    </row>
    <row r="278" spans="1:5" x14ac:dyDescent="0.25">
      <c r="A278" t="s">
        <v>700</v>
      </c>
      <c r="B278" t="s">
        <v>1994</v>
      </c>
      <c r="E278"/>
    </row>
    <row r="279" spans="1:5" x14ac:dyDescent="0.25">
      <c r="A279" t="s">
        <v>702</v>
      </c>
    </row>
    <row r="280" spans="1:5" x14ac:dyDescent="0.25">
      <c r="A280" t="s">
        <v>704</v>
      </c>
    </row>
    <row r="281" spans="1:5" x14ac:dyDescent="0.25">
      <c r="A281" t="s">
        <v>706</v>
      </c>
      <c r="B281" t="s">
        <v>1894</v>
      </c>
      <c r="E281"/>
    </row>
    <row r="282" spans="1:5" x14ac:dyDescent="0.25">
      <c r="A282" t="s">
        <v>708</v>
      </c>
    </row>
    <row r="283" spans="1:5" x14ac:dyDescent="0.25">
      <c r="A283" t="s">
        <v>710</v>
      </c>
    </row>
    <row r="284" spans="1:5" x14ac:dyDescent="0.25">
      <c r="A284" t="s">
        <v>712</v>
      </c>
    </row>
    <row r="285" spans="1:5" x14ac:dyDescent="0.25">
      <c r="A285" t="s">
        <v>714</v>
      </c>
      <c r="B285" t="s">
        <v>909</v>
      </c>
      <c r="E285"/>
    </row>
    <row r="286" spans="1:5" x14ac:dyDescent="0.25">
      <c r="A286" t="s">
        <v>716</v>
      </c>
      <c r="B286" t="s">
        <v>339</v>
      </c>
      <c r="E286"/>
    </row>
    <row r="287" spans="1:5" x14ac:dyDescent="0.25">
      <c r="A287" t="s">
        <v>718</v>
      </c>
      <c r="B287" t="s">
        <v>376</v>
      </c>
      <c r="E287"/>
    </row>
    <row r="288" spans="1:5" x14ac:dyDescent="0.25">
      <c r="A288" t="s">
        <v>720</v>
      </c>
      <c r="B288" t="s">
        <v>330</v>
      </c>
      <c r="E288"/>
    </row>
    <row r="289" spans="1:2" x14ac:dyDescent="0.25">
      <c r="A289" t="s">
        <v>701</v>
      </c>
    </row>
    <row r="290" spans="1:2" x14ac:dyDescent="0.25">
      <c r="A290" t="s">
        <v>722</v>
      </c>
      <c r="B290" t="s">
        <v>335</v>
      </c>
    </row>
    <row r="291" spans="1:2" x14ac:dyDescent="0.25">
      <c r="A291" t="s">
        <v>724</v>
      </c>
    </row>
    <row r="292" spans="1:2" x14ac:dyDescent="0.25">
      <c r="A292" t="s">
        <v>726</v>
      </c>
    </row>
    <row r="293" spans="1:2" x14ac:dyDescent="0.25">
      <c r="A293" t="s">
        <v>728</v>
      </c>
    </row>
    <row r="294" spans="1:2" x14ac:dyDescent="0.25">
      <c r="A294" t="s">
        <v>730</v>
      </c>
    </row>
    <row r="295" spans="1:2" x14ac:dyDescent="0.25">
      <c r="A295" t="s">
        <v>732</v>
      </c>
    </row>
    <row r="296" spans="1:2" x14ac:dyDescent="0.25">
      <c r="A296" t="s">
        <v>734</v>
      </c>
    </row>
    <row r="297" spans="1:2" x14ac:dyDescent="0.25">
      <c r="A297" t="s">
        <v>736</v>
      </c>
    </row>
    <row r="298" spans="1:2" x14ac:dyDescent="0.25">
      <c r="A298" t="s">
        <v>738</v>
      </c>
    </row>
    <row r="299" spans="1:2" x14ac:dyDescent="0.25">
      <c r="A299" t="s">
        <v>740</v>
      </c>
    </row>
    <row r="300" spans="1:2" x14ac:dyDescent="0.25">
      <c r="A300" t="s">
        <v>742</v>
      </c>
    </row>
    <row r="301" spans="1:2" x14ac:dyDescent="0.25">
      <c r="A301" t="s">
        <v>744</v>
      </c>
    </row>
    <row r="302" spans="1:2" x14ac:dyDescent="0.25">
      <c r="A302" t="s">
        <v>747</v>
      </c>
      <c r="B302" t="s">
        <v>332</v>
      </c>
    </row>
    <row r="303" spans="1:2" x14ac:dyDescent="0.25">
      <c r="A303" t="s">
        <v>749</v>
      </c>
    </row>
    <row r="304" spans="1:2" x14ac:dyDescent="0.25">
      <c r="A304" t="s">
        <v>751</v>
      </c>
    </row>
    <row r="305" spans="1:2" x14ac:dyDescent="0.25">
      <c r="A305" t="s">
        <v>753</v>
      </c>
      <c r="B305" t="s">
        <v>1221</v>
      </c>
    </row>
    <row r="306" spans="1:2" x14ac:dyDescent="0.25">
      <c r="A306" t="s">
        <v>755</v>
      </c>
      <c r="B306" t="s">
        <v>426</v>
      </c>
    </row>
    <row r="307" spans="1:2" x14ac:dyDescent="0.25">
      <c r="A307" t="s">
        <v>758</v>
      </c>
      <c r="B307" t="s">
        <v>1333</v>
      </c>
    </row>
    <row r="308" spans="1:2" x14ac:dyDescent="0.25">
      <c r="A308" t="s">
        <v>760</v>
      </c>
      <c r="B308" t="s">
        <v>1878</v>
      </c>
    </row>
    <row r="309" spans="1:2" x14ac:dyDescent="0.25">
      <c r="A309" t="s">
        <v>761</v>
      </c>
    </row>
    <row r="310" spans="1:2" x14ac:dyDescent="0.25">
      <c r="A310" t="s">
        <v>762</v>
      </c>
      <c r="B310" t="s">
        <v>762</v>
      </c>
    </row>
    <row r="311" spans="1:2" x14ac:dyDescent="0.25">
      <c r="A311" t="s">
        <v>763</v>
      </c>
    </row>
    <row r="312" spans="1:2" x14ac:dyDescent="0.25">
      <c r="A312" t="s">
        <v>765</v>
      </c>
      <c r="B312" t="s">
        <v>1303</v>
      </c>
    </row>
    <row r="313" spans="1:2" x14ac:dyDescent="0.25">
      <c r="A313" t="s">
        <v>767</v>
      </c>
      <c r="B313" t="s">
        <v>1903</v>
      </c>
    </row>
    <row r="314" spans="1:2" x14ac:dyDescent="0.25">
      <c r="A314" t="s">
        <v>769</v>
      </c>
      <c r="B314" t="s">
        <v>2086</v>
      </c>
    </row>
    <row r="315" spans="1:2" x14ac:dyDescent="0.25">
      <c r="A315" t="s">
        <v>721</v>
      </c>
      <c r="B315" t="s">
        <v>721</v>
      </c>
    </row>
    <row r="316" spans="1:2" x14ac:dyDescent="0.25">
      <c r="A316" t="s">
        <v>310</v>
      </c>
      <c r="B316" t="s">
        <v>310</v>
      </c>
    </row>
    <row r="317" spans="1:2" x14ac:dyDescent="0.25">
      <c r="A317" t="s">
        <v>772</v>
      </c>
      <c r="B317" t="s">
        <v>1847</v>
      </c>
    </row>
    <row r="318" spans="1:2" x14ac:dyDescent="0.25">
      <c r="A318" t="s">
        <v>774</v>
      </c>
      <c r="B318" t="s">
        <v>1330</v>
      </c>
    </row>
    <row r="319" spans="1:2" x14ac:dyDescent="0.25">
      <c r="A319" t="s">
        <v>776</v>
      </c>
    </row>
    <row r="320" spans="1:2" x14ac:dyDescent="0.25">
      <c r="A320" t="s">
        <v>778</v>
      </c>
    </row>
    <row r="321" spans="1:2" x14ac:dyDescent="0.25">
      <c r="A321" t="s">
        <v>780</v>
      </c>
    </row>
    <row r="322" spans="1:2" x14ac:dyDescent="0.25">
      <c r="A322" t="s">
        <v>84</v>
      </c>
      <c r="B322" t="s">
        <v>84</v>
      </c>
    </row>
    <row r="323" spans="1:2" x14ac:dyDescent="0.25">
      <c r="A323" t="s">
        <v>783</v>
      </c>
    </row>
    <row r="324" spans="1:2" x14ac:dyDescent="0.25">
      <c r="A324" t="s">
        <v>785</v>
      </c>
    </row>
    <row r="325" spans="1:2" x14ac:dyDescent="0.25">
      <c r="A325" t="s">
        <v>787</v>
      </c>
      <c r="B325" t="s">
        <v>1317</v>
      </c>
    </row>
    <row r="326" spans="1:2" x14ac:dyDescent="0.25">
      <c r="A326" t="s">
        <v>789</v>
      </c>
      <c r="B326" t="s">
        <v>1496</v>
      </c>
    </row>
    <row r="327" spans="1:2" x14ac:dyDescent="0.25">
      <c r="A327" t="s">
        <v>791</v>
      </c>
      <c r="B327" t="s">
        <v>1230</v>
      </c>
    </row>
    <row r="328" spans="1:2" x14ac:dyDescent="0.25">
      <c r="A328" t="s">
        <v>794</v>
      </c>
    </row>
    <row r="329" spans="1:2" x14ac:dyDescent="0.25">
      <c r="A329" t="s">
        <v>797</v>
      </c>
      <c r="B329" t="s">
        <v>1343</v>
      </c>
    </row>
    <row r="330" spans="1:2" x14ac:dyDescent="0.25">
      <c r="A330" t="s">
        <v>430</v>
      </c>
      <c r="B330" t="s">
        <v>430</v>
      </c>
    </row>
    <row r="331" spans="1:2" x14ac:dyDescent="0.25">
      <c r="A331" t="s">
        <v>40</v>
      </c>
      <c r="B331" t="s">
        <v>40</v>
      </c>
    </row>
    <row r="332" spans="1:2" x14ac:dyDescent="0.25">
      <c r="A332" t="s">
        <v>800</v>
      </c>
      <c r="B332" t="s">
        <v>1896</v>
      </c>
    </row>
    <row r="333" spans="1:2" x14ac:dyDescent="0.25">
      <c r="A333" t="s">
        <v>802</v>
      </c>
    </row>
    <row r="334" spans="1:2" x14ac:dyDescent="0.25">
      <c r="A334" t="s">
        <v>803</v>
      </c>
      <c r="B334" t="s">
        <v>1839</v>
      </c>
    </row>
    <row r="335" spans="1:2" x14ac:dyDescent="0.25">
      <c r="A335" t="s">
        <v>806</v>
      </c>
    </row>
    <row r="336" spans="1:2" x14ac:dyDescent="0.25">
      <c r="A336" t="s">
        <v>808</v>
      </c>
      <c r="B336" t="s">
        <v>752</v>
      </c>
    </row>
    <row r="337" spans="1:2" x14ac:dyDescent="0.25">
      <c r="A337" t="s">
        <v>421</v>
      </c>
      <c r="B337" t="s">
        <v>421</v>
      </c>
    </row>
    <row r="338" spans="1:2" x14ac:dyDescent="0.25">
      <c r="A338" t="s">
        <v>811</v>
      </c>
      <c r="B338" t="s">
        <v>1343</v>
      </c>
    </row>
    <row r="339" spans="1:2" x14ac:dyDescent="0.25">
      <c r="A339" t="s">
        <v>813</v>
      </c>
      <c r="B339" t="s">
        <v>2125</v>
      </c>
    </row>
    <row r="340" spans="1:2" x14ac:dyDescent="0.25">
      <c r="A340" t="s">
        <v>50</v>
      </c>
      <c r="B340" t="s">
        <v>50</v>
      </c>
    </row>
    <row r="341" spans="1:2" x14ac:dyDescent="0.25">
      <c r="A341" t="s">
        <v>816</v>
      </c>
      <c r="B341" t="s">
        <v>2126</v>
      </c>
    </row>
    <row r="342" spans="1:2" x14ac:dyDescent="0.25">
      <c r="A342" t="s">
        <v>949</v>
      </c>
      <c r="B342" t="s">
        <v>914</v>
      </c>
    </row>
    <row r="343" spans="1:2" x14ac:dyDescent="0.25">
      <c r="A343" t="s">
        <v>951</v>
      </c>
      <c r="B343" t="s">
        <v>1342</v>
      </c>
    </row>
    <row r="344" spans="1:2" x14ac:dyDescent="0.25">
      <c r="A344" t="s">
        <v>953</v>
      </c>
      <c r="B344" t="s">
        <v>2127</v>
      </c>
    </row>
    <row r="345" spans="1:2" x14ac:dyDescent="0.25">
      <c r="A345" t="s">
        <v>955</v>
      </c>
      <c r="B345" t="s">
        <v>1835</v>
      </c>
    </row>
    <row r="346" spans="1:2" x14ac:dyDescent="0.25">
      <c r="A346" t="s">
        <v>957</v>
      </c>
      <c r="B346" t="s">
        <v>915</v>
      </c>
    </row>
    <row r="347" spans="1:2" x14ac:dyDescent="0.25">
      <c r="A347" t="s">
        <v>959</v>
      </c>
    </row>
    <row r="348" spans="1:2" x14ac:dyDescent="0.25">
      <c r="A348" t="s">
        <v>961</v>
      </c>
    </row>
    <row r="349" spans="1:2" x14ac:dyDescent="0.25">
      <c r="A349" t="s">
        <v>963</v>
      </c>
      <c r="B349" t="s">
        <v>410</v>
      </c>
    </row>
    <row r="350" spans="1:2" x14ac:dyDescent="0.25">
      <c r="A350" t="s">
        <v>966</v>
      </c>
    </row>
    <row r="351" spans="1:2" x14ac:dyDescent="0.25">
      <c r="A351" t="s">
        <v>968</v>
      </c>
    </row>
    <row r="352" spans="1:2" x14ac:dyDescent="0.25">
      <c r="A352" t="s">
        <v>28</v>
      </c>
      <c r="B352" t="s">
        <v>1615</v>
      </c>
    </row>
    <row r="353" spans="1:2" x14ac:dyDescent="0.25">
      <c r="A353" t="s">
        <v>223</v>
      </c>
      <c r="B353" t="s">
        <v>1435</v>
      </c>
    </row>
    <row r="354" spans="1:2" x14ac:dyDescent="0.25">
      <c r="A354" t="s">
        <v>970</v>
      </c>
      <c r="B354" t="s">
        <v>1860</v>
      </c>
    </row>
    <row r="355" spans="1:2" x14ac:dyDescent="0.25">
      <c r="A355" t="s">
        <v>972</v>
      </c>
    </row>
    <row r="356" spans="1:2" x14ac:dyDescent="0.25">
      <c r="A356" t="s">
        <v>416</v>
      </c>
      <c r="B356" t="s">
        <v>416</v>
      </c>
    </row>
    <row r="357" spans="1:2" x14ac:dyDescent="0.25">
      <c r="A357" t="s">
        <v>975</v>
      </c>
    </row>
    <row r="358" spans="1:2" x14ac:dyDescent="0.25">
      <c r="A358" t="s">
        <v>977</v>
      </c>
    </row>
    <row r="359" spans="1:2" x14ac:dyDescent="0.25">
      <c r="A359" t="s">
        <v>979</v>
      </c>
    </row>
    <row r="360" spans="1:2" x14ac:dyDescent="0.25">
      <c r="A360" t="s">
        <v>981</v>
      </c>
    </row>
    <row r="361" spans="1:2" x14ac:dyDescent="0.25">
      <c r="A361" t="s">
        <v>984</v>
      </c>
      <c r="B361" t="s">
        <v>984</v>
      </c>
    </row>
    <row r="362" spans="1:2" x14ac:dyDescent="0.25">
      <c r="A362" t="s">
        <v>986</v>
      </c>
      <c r="B362" t="s">
        <v>417</v>
      </c>
    </row>
    <row r="363" spans="1:2" x14ac:dyDescent="0.25">
      <c r="A363" t="s">
        <v>988</v>
      </c>
      <c r="B363" t="s">
        <v>413</v>
      </c>
    </row>
    <row r="364" spans="1:2" x14ac:dyDescent="0.25">
      <c r="A364" t="s">
        <v>991</v>
      </c>
    </row>
    <row r="365" spans="1:2" x14ac:dyDescent="0.25">
      <c r="A365" t="s">
        <v>993</v>
      </c>
      <c r="B365" t="s">
        <v>1557</v>
      </c>
    </row>
    <row r="366" spans="1:2" x14ac:dyDescent="0.25">
      <c r="A366" t="s">
        <v>995</v>
      </c>
    </row>
    <row r="367" spans="1:2" x14ac:dyDescent="0.25">
      <c r="A367" t="s">
        <v>997</v>
      </c>
    </row>
    <row r="368" spans="1:2" x14ac:dyDescent="0.25">
      <c r="A368" t="s">
        <v>999</v>
      </c>
      <c r="B368" t="s">
        <v>1939</v>
      </c>
    </row>
    <row r="369" spans="1:2" x14ac:dyDescent="0.25">
      <c r="A369" t="s">
        <v>1001</v>
      </c>
      <c r="B369" t="s">
        <v>1001</v>
      </c>
    </row>
    <row r="370" spans="1:2" x14ac:dyDescent="0.25">
      <c r="A370" t="s">
        <v>1004</v>
      </c>
    </row>
    <row r="371" spans="1:2" x14ac:dyDescent="0.25">
      <c r="A371" t="s">
        <v>1006</v>
      </c>
      <c r="B371" t="s">
        <v>1795</v>
      </c>
    </row>
    <row r="372" spans="1:2" x14ac:dyDescent="0.25">
      <c r="A372" t="s">
        <v>1010</v>
      </c>
      <c r="B372" t="s">
        <v>1948</v>
      </c>
    </row>
    <row r="373" spans="1:2" x14ac:dyDescent="0.25">
      <c r="A373" t="s">
        <v>1012</v>
      </c>
      <c r="B373" t="s">
        <v>1012</v>
      </c>
    </row>
    <row r="374" spans="1:2" x14ac:dyDescent="0.25">
      <c r="A374" t="s">
        <v>1014</v>
      </c>
      <c r="B374" t="s">
        <v>1309</v>
      </c>
    </row>
    <row r="375" spans="1:2" x14ac:dyDescent="0.25">
      <c r="A375" t="s">
        <v>1016</v>
      </c>
      <c r="B375" t="s">
        <v>1480</v>
      </c>
    </row>
    <row r="376" spans="1:2" x14ac:dyDescent="0.25">
      <c r="A376" t="s">
        <v>1019</v>
      </c>
    </row>
    <row r="377" spans="1:2" x14ac:dyDescent="0.25">
      <c r="A377" t="s">
        <v>1021</v>
      </c>
    </row>
    <row r="378" spans="1:2" x14ac:dyDescent="0.25">
      <c r="A378" t="s">
        <v>1023</v>
      </c>
    </row>
    <row r="379" spans="1:2" x14ac:dyDescent="0.25">
      <c r="A379" t="s">
        <v>1026</v>
      </c>
      <c r="B379" t="s">
        <v>1026</v>
      </c>
    </row>
    <row r="380" spans="1:2" x14ac:dyDescent="0.25">
      <c r="A380" t="s">
        <v>1028</v>
      </c>
      <c r="B380" t="s">
        <v>1956</v>
      </c>
    </row>
    <row r="381" spans="1:2" x14ac:dyDescent="0.25">
      <c r="A381" t="s">
        <v>1031</v>
      </c>
    </row>
    <row r="382" spans="1:2" x14ac:dyDescent="0.25">
      <c r="A382" t="s">
        <v>1034</v>
      </c>
      <c r="B382" t="s">
        <v>1034</v>
      </c>
    </row>
    <row r="383" spans="1:2" x14ac:dyDescent="0.25">
      <c r="A383" t="s">
        <v>1036</v>
      </c>
      <c r="B383" t="s">
        <v>2021</v>
      </c>
    </row>
    <row r="384" spans="1:2" x14ac:dyDescent="0.25">
      <c r="A384" t="s">
        <v>1038</v>
      </c>
    </row>
    <row r="385" spans="1:2" x14ac:dyDescent="0.25">
      <c r="A385" t="s">
        <v>1040</v>
      </c>
      <c r="B385" t="s">
        <v>1573</v>
      </c>
    </row>
    <row r="386" spans="1:2" x14ac:dyDescent="0.25">
      <c r="A386" t="s">
        <v>1043</v>
      </c>
      <c r="B386" t="s">
        <v>1879</v>
      </c>
    </row>
    <row r="387" spans="1:2" x14ac:dyDescent="0.25">
      <c r="A387" t="s">
        <v>1045</v>
      </c>
      <c r="B387" t="s">
        <v>2081</v>
      </c>
    </row>
    <row r="388" spans="1:2" x14ac:dyDescent="0.25">
      <c r="A388" t="s">
        <v>1047</v>
      </c>
      <c r="B388" t="s">
        <v>888</v>
      </c>
    </row>
    <row r="389" spans="1:2" x14ac:dyDescent="0.25">
      <c r="A389" t="s">
        <v>1049</v>
      </c>
      <c r="B389" t="s">
        <v>1960</v>
      </c>
    </row>
    <row r="390" spans="1:2" x14ac:dyDescent="0.25">
      <c r="A390" t="s">
        <v>1052</v>
      </c>
      <c r="B390" t="s">
        <v>1427</v>
      </c>
    </row>
    <row r="391" spans="1:2" x14ac:dyDescent="0.25">
      <c r="A391" t="s">
        <v>1054</v>
      </c>
      <c r="B391" t="s">
        <v>1054</v>
      </c>
    </row>
    <row r="392" spans="1:2" x14ac:dyDescent="0.25">
      <c r="A392" t="s">
        <v>1055</v>
      </c>
      <c r="B392" t="s">
        <v>303</v>
      </c>
    </row>
    <row r="393" spans="1:2" x14ac:dyDescent="0.25">
      <c r="A393" t="s">
        <v>1057</v>
      </c>
      <c r="B393" t="s">
        <v>1743</v>
      </c>
    </row>
    <row r="394" spans="1:2" x14ac:dyDescent="0.25">
      <c r="A394" t="s">
        <v>1059</v>
      </c>
    </row>
    <row r="395" spans="1:2" x14ac:dyDescent="0.25">
      <c r="A395" t="s">
        <v>1062</v>
      </c>
      <c r="B395" t="s">
        <v>274</v>
      </c>
    </row>
    <row r="396" spans="1:2" x14ac:dyDescent="0.25">
      <c r="A396" t="s">
        <v>1064</v>
      </c>
      <c r="B396" t="s">
        <v>1953</v>
      </c>
    </row>
    <row r="397" spans="1:2" x14ac:dyDescent="0.25">
      <c r="A397" t="s">
        <v>1067</v>
      </c>
      <c r="B397" t="s">
        <v>2084</v>
      </c>
    </row>
    <row r="398" spans="1:2" x14ac:dyDescent="0.25">
      <c r="A398" t="s">
        <v>1069</v>
      </c>
      <c r="B398" t="s">
        <v>880</v>
      </c>
    </row>
    <row r="399" spans="1:2" x14ac:dyDescent="0.25">
      <c r="A399" t="s">
        <v>1071</v>
      </c>
      <c r="B399" t="s">
        <v>1451</v>
      </c>
    </row>
    <row r="400" spans="1:2" x14ac:dyDescent="0.25">
      <c r="A400" t="s">
        <v>1073</v>
      </c>
    </row>
    <row r="401" spans="1:2" x14ac:dyDescent="0.25">
      <c r="A401" t="s">
        <v>1075</v>
      </c>
      <c r="B401" t="s">
        <v>1075</v>
      </c>
    </row>
    <row r="402" spans="1:2" x14ac:dyDescent="0.25">
      <c r="A402" t="s">
        <v>1076</v>
      </c>
    </row>
    <row r="403" spans="1:2" x14ac:dyDescent="0.25">
      <c r="A403" t="s">
        <v>1077</v>
      </c>
      <c r="B403" t="s">
        <v>1077</v>
      </c>
    </row>
    <row r="404" spans="1:2" x14ac:dyDescent="0.25">
      <c r="A404" t="s">
        <v>1079</v>
      </c>
      <c r="B404" t="s">
        <v>1727</v>
      </c>
    </row>
    <row r="405" spans="1:2" x14ac:dyDescent="0.25">
      <c r="A405" t="s">
        <v>1081</v>
      </c>
      <c r="B405" t="s">
        <v>1081</v>
      </c>
    </row>
    <row r="406" spans="1:2" x14ac:dyDescent="0.25">
      <c r="A406" t="s">
        <v>1083</v>
      </c>
      <c r="B406" t="s">
        <v>1441</v>
      </c>
    </row>
    <row r="407" spans="1:2" x14ac:dyDescent="0.25">
      <c r="A407" t="s">
        <v>1085</v>
      </c>
      <c r="B407" t="s">
        <v>1085</v>
      </c>
    </row>
    <row r="408" spans="1:2" x14ac:dyDescent="0.25">
      <c r="A408" t="s">
        <v>1087</v>
      </c>
    </row>
    <row r="409" spans="1:2" x14ac:dyDescent="0.25">
      <c r="A409" t="s">
        <v>1089</v>
      </c>
      <c r="B409" t="s">
        <v>1089</v>
      </c>
    </row>
    <row r="410" spans="1:2" x14ac:dyDescent="0.25">
      <c r="A410" t="s">
        <v>1092</v>
      </c>
      <c r="B410" t="s">
        <v>1092</v>
      </c>
    </row>
    <row r="411" spans="1:2" x14ac:dyDescent="0.25">
      <c r="A411" t="s">
        <v>1095</v>
      </c>
      <c r="B411" t="s">
        <v>1503</v>
      </c>
    </row>
    <row r="412" spans="1:2" x14ac:dyDescent="0.25">
      <c r="A412" t="s">
        <v>1097</v>
      </c>
    </row>
    <row r="413" spans="1:2" x14ac:dyDescent="0.25">
      <c r="A413" t="s">
        <v>1100</v>
      </c>
    </row>
    <row r="414" spans="1:2" x14ac:dyDescent="0.25">
      <c r="A414" t="s">
        <v>1102</v>
      </c>
    </row>
    <row r="415" spans="1:2" x14ac:dyDescent="0.25">
      <c r="A415" t="s">
        <v>1105</v>
      </c>
      <c r="B415" t="s">
        <v>1105</v>
      </c>
    </row>
    <row r="416" spans="1:2" x14ac:dyDescent="0.25">
      <c r="A416" t="s">
        <v>1107</v>
      </c>
      <c r="B416" t="s">
        <v>1107</v>
      </c>
    </row>
    <row r="417" spans="1:2" x14ac:dyDescent="0.25">
      <c r="A417" t="s">
        <v>1109</v>
      </c>
      <c r="B417" t="s">
        <v>1109</v>
      </c>
    </row>
    <row r="418" spans="1:2" x14ac:dyDescent="0.25">
      <c r="A418" t="s">
        <v>1111</v>
      </c>
    </row>
    <row r="419" spans="1:2" x14ac:dyDescent="0.25">
      <c r="A419" t="s">
        <v>1113</v>
      </c>
      <c r="B419" t="s">
        <v>670</v>
      </c>
    </row>
    <row r="420" spans="1:2" x14ac:dyDescent="0.25">
      <c r="A420" t="s">
        <v>1115</v>
      </c>
    </row>
    <row r="421" spans="1:2" x14ac:dyDescent="0.25">
      <c r="A421" t="s">
        <v>1117</v>
      </c>
    </row>
    <row r="422" spans="1:2" x14ac:dyDescent="0.25">
      <c r="A422" t="s">
        <v>1119</v>
      </c>
    </row>
    <row r="423" spans="1:2" x14ac:dyDescent="0.25">
      <c r="A423" t="s">
        <v>1121</v>
      </c>
    </row>
    <row r="424" spans="1:2" x14ac:dyDescent="0.25">
      <c r="A424" t="s">
        <v>373</v>
      </c>
      <c r="B424" t="s">
        <v>373</v>
      </c>
    </row>
    <row r="425" spans="1:2" x14ac:dyDescent="0.25">
      <c r="A425" t="s">
        <v>1125</v>
      </c>
    </row>
    <row r="426" spans="1:2" x14ac:dyDescent="0.25">
      <c r="A426" t="s">
        <v>1126</v>
      </c>
    </row>
    <row r="427" spans="1:2" x14ac:dyDescent="0.25">
      <c r="A427" t="s">
        <v>1128</v>
      </c>
      <c r="B427" t="s">
        <v>276</v>
      </c>
    </row>
    <row r="428" spans="1:2" x14ac:dyDescent="0.25">
      <c r="A428" t="s">
        <v>1130</v>
      </c>
    </row>
    <row r="429" spans="1:2" x14ac:dyDescent="0.25">
      <c r="A429" t="s">
        <v>1131</v>
      </c>
    </row>
    <row r="430" spans="1:2" x14ac:dyDescent="0.25">
      <c r="A430" t="s">
        <v>1132</v>
      </c>
    </row>
    <row r="431" spans="1:2" x14ac:dyDescent="0.25">
      <c r="A431" t="s">
        <v>1133</v>
      </c>
    </row>
    <row r="432" spans="1:2" x14ac:dyDescent="0.25">
      <c r="A432" t="s">
        <v>336</v>
      </c>
      <c r="B432" t="s">
        <v>336</v>
      </c>
    </row>
    <row r="433" spans="1:2" x14ac:dyDescent="0.25">
      <c r="A433" t="s">
        <v>1135</v>
      </c>
    </row>
    <row r="434" spans="1:2" x14ac:dyDescent="0.25">
      <c r="A434" t="s">
        <v>1137</v>
      </c>
      <c r="B434" t="s">
        <v>1964</v>
      </c>
    </row>
    <row r="435" spans="1:2" x14ac:dyDescent="0.25">
      <c r="A435" t="s">
        <v>1139</v>
      </c>
    </row>
    <row r="436" spans="1:2" x14ac:dyDescent="0.25">
      <c r="A436" t="s">
        <v>1141</v>
      </c>
      <c r="B436" t="s">
        <v>2066</v>
      </c>
    </row>
    <row r="437" spans="1:2" x14ac:dyDescent="0.25">
      <c r="A437" t="s">
        <v>695</v>
      </c>
      <c r="B437" t="s">
        <v>695</v>
      </c>
    </row>
    <row r="438" spans="1:2" x14ac:dyDescent="0.25">
      <c r="A438" t="s">
        <v>1143</v>
      </c>
      <c r="B438" t="s">
        <v>2115</v>
      </c>
    </row>
    <row r="439" spans="1:2" x14ac:dyDescent="0.25">
      <c r="A439" t="s">
        <v>1144</v>
      </c>
      <c r="B439" t="s">
        <v>303</v>
      </c>
    </row>
    <row r="440" spans="1:2" x14ac:dyDescent="0.25">
      <c r="A440" t="s">
        <v>105</v>
      </c>
      <c r="B440" t="s">
        <v>2019</v>
      </c>
    </row>
    <row r="441" spans="1:2" x14ac:dyDescent="0.25">
      <c r="A441" t="s">
        <v>1146</v>
      </c>
      <c r="B441" t="s">
        <v>1981</v>
      </c>
    </row>
    <row r="442" spans="1:2" x14ac:dyDescent="0.25">
      <c r="A442" t="s">
        <v>1148</v>
      </c>
      <c r="B442" t="s">
        <v>1500</v>
      </c>
    </row>
    <row r="443" spans="1:2" x14ac:dyDescent="0.25">
      <c r="A443" t="s">
        <v>717</v>
      </c>
      <c r="B443" t="s">
        <v>2128</v>
      </c>
    </row>
    <row r="444" spans="1:2" x14ac:dyDescent="0.25">
      <c r="A444" t="s">
        <v>1150</v>
      </c>
      <c r="B444" t="s">
        <v>326</v>
      </c>
    </row>
    <row r="445" spans="1:2" x14ac:dyDescent="0.25">
      <c r="A445" t="s">
        <v>1151</v>
      </c>
    </row>
    <row r="446" spans="1:2" x14ac:dyDescent="0.25">
      <c r="A446" t="s">
        <v>1153</v>
      </c>
    </row>
    <row r="447" spans="1:2" x14ac:dyDescent="0.25">
      <c r="A447" t="s">
        <v>1155</v>
      </c>
      <c r="B447" t="s">
        <v>328</v>
      </c>
    </row>
    <row r="448" spans="1:2" x14ac:dyDescent="0.25">
      <c r="A448" t="s">
        <v>719</v>
      </c>
      <c r="B448" t="s">
        <v>332</v>
      </c>
    </row>
    <row r="449" spans="1:2" x14ac:dyDescent="0.25">
      <c r="A449" t="s">
        <v>1157</v>
      </c>
    </row>
    <row r="450" spans="1:2" x14ac:dyDescent="0.25">
      <c r="A450" t="s">
        <v>329</v>
      </c>
      <c r="B450" t="s">
        <v>329</v>
      </c>
    </row>
    <row r="451" spans="1:2" x14ac:dyDescent="0.25">
      <c r="A451" t="s">
        <v>1160</v>
      </c>
    </row>
    <row r="452" spans="1:2" x14ac:dyDescent="0.25">
      <c r="A452" t="s">
        <v>115</v>
      </c>
      <c r="B452" t="s">
        <v>2000</v>
      </c>
    </row>
    <row r="453" spans="1:2" x14ac:dyDescent="0.25">
      <c r="A453" t="s">
        <v>1162</v>
      </c>
      <c r="B453" t="s">
        <v>1709</v>
      </c>
    </row>
    <row r="454" spans="1:2" x14ac:dyDescent="0.25">
      <c r="A454" t="s">
        <v>1164</v>
      </c>
      <c r="B454" t="s">
        <v>2058</v>
      </c>
    </row>
    <row r="455" spans="1:2" x14ac:dyDescent="0.25">
      <c r="A455" t="s">
        <v>1166</v>
      </c>
      <c r="B455" t="s">
        <v>305</v>
      </c>
    </row>
    <row r="456" spans="1:2" x14ac:dyDescent="0.25">
      <c r="A456" t="s">
        <v>1168</v>
      </c>
    </row>
    <row r="457" spans="1:2" x14ac:dyDescent="0.25">
      <c r="A457" t="s">
        <v>1170</v>
      </c>
    </row>
    <row r="458" spans="1:2" x14ac:dyDescent="0.25">
      <c r="A458" t="s">
        <v>1172</v>
      </c>
      <c r="B458" t="s">
        <v>419</v>
      </c>
    </row>
    <row r="459" spans="1:2" x14ac:dyDescent="0.25">
      <c r="A459" t="s">
        <v>1174</v>
      </c>
    </row>
    <row r="460" spans="1:2" x14ac:dyDescent="0.25">
      <c r="A460" t="s">
        <v>1176</v>
      </c>
    </row>
    <row r="461" spans="1:2" x14ac:dyDescent="0.25">
      <c r="A461" t="s">
        <v>1178</v>
      </c>
      <c r="B461" t="s">
        <v>1379</v>
      </c>
    </row>
    <row r="462" spans="1:2" x14ac:dyDescent="0.25">
      <c r="A462" t="s">
        <v>1180</v>
      </c>
      <c r="B462" t="s">
        <v>379</v>
      </c>
    </row>
    <row r="463" spans="1:2" x14ac:dyDescent="0.25">
      <c r="A463" t="s">
        <v>1181</v>
      </c>
    </row>
    <row r="464" spans="1:2" x14ac:dyDescent="0.25">
      <c r="A464" t="s">
        <v>1183</v>
      </c>
      <c r="B464" t="s">
        <v>1655</v>
      </c>
    </row>
    <row r="465" spans="1:2" x14ac:dyDescent="0.25">
      <c r="A465" t="s">
        <v>1185</v>
      </c>
      <c r="B465" t="s">
        <v>332</v>
      </c>
    </row>
    <row r="466" spans="1:2" x14ac:dyDescent="0.25">
      <c r="A466" t="s">
        <v>1187</v>
      </c>
      <c r="B466" t="s">
        <v>1479</v>
      </c>
    </row>
    <row r="467" spans="1:2" x14ac:dyDescent="0.25">
      <c r="A467" t="s">
        <v>1189</v>
      </c>
      <c r="B467" t="s">
        <v>1890</v>
      </c>
    </row>
    <row r="468" spans="1:2" x14ac:dyDescent="0.25">
      <c r="A468" t="s">
        <v>1191</v>
      </c>
      <c r="B468" t="s">
        <v>382</v>
      </c>
    </row>
    <row r="469" spans="1:2" x14ac:dyDescent="0.25">
      <c r="A469" t="s">
        <v>1193</v>
      </c>
      <c r="B469" t="s">
        <v>752</v>
      </c>
    </row>
    <row r="470" spans="1:2" x14ac:dyDescent="0.25">
      <c r="A470" t="s">
        <v>377</v>
      </c>
      <c r="B470" t="s">
        <v>377</v>
      </c>
    </row>
    <row r="471" spans="1:2" x14ac:dyDescent="0.25">
      <c r="A471" t="s">
        <v>1196</v>
      </c>
    </row>
    <row r="472" spans="1:2" x14ac:dyDescent="0.25">
      <c r="A472" t="s">
        <v>1198</v>
      </c>
      <c r="B472" t="s">
        <v>1553</v>
      </c>
    </row>
    <row r="473" spans="1:2" x14ac:dyDescent="0.25">
      <c r="A473" t="s">
        <v>1200</v>
      </c>
      <c r="B473" t="s">
        <v>1453</v>
      </c>
    </row>
    <row r="474" spans="1:2" x14ac:dyDescent="0.25">
      <c r="A474" t="s">
        <v>1202</v>
      </c>
      <c r="B474" t="s">
        <v>1009</v>
      </c>
    </row>
    <row r="475" spans="1:2" x14ac:dyDescent="0.25">
      <c r="A475" t="s">
        <v>1203</v>
      </c>
      <c r="B475" t="s">
        <v>1903</v>
      </c>
    </row>
    <row r="476" spans="1:2" x14ac:dyDescent="0.25">
      <c r="A476" t="s">
        <v>1204</v>
      </c>
      <c r="B476" t="s">
        <v>1897</v>
      </c>
    </row>
    <row r="477" spans="1:2" x14ac:dyDescent="0.25">
      <c r="A477" t="s">
        <v>1205</v>
      </c>
      <c r="B477" t="s">
        <v>1904</v>
      </c>
    </row>
    <row r="478" spans="1:2" x14ac:dyDescent="0.25">
      <c r="A478" t="s">
        <v>1207</v>
      </c>
    </row>
    <row r="479" spans="1:2" x14ac:dyDescent="0.25">
      <c r="A479" t="s">
        <v>1209</v>
      </c>
      <c r="B479" t="s">
        <v>946</v>
      </c>
    </row>
    <row r="480" spans="1:2" x14ac:dyDescent="0.25">
      <c r="A480" t="s">
        <v>1211</v>
      </c>
    </row>
    <row r="481" spans="1:2" x14ac:dyDescent="0.25">
      <c r="A481" t="s">
        <v>1213</v>
      </c>
      <c r="B481" t="s">
        <v>1877</v>
      </c>
    </row>
    <row r="482" spans="1:2" x14ac:dyDescent="0.25">
      <c r="A482" t="s">
        <v>1215</v>
      </c>
    </row>
    <row r="483" spans="1:2" x14ac:dyDescent="0.25">
      <c r="A483" t="s">
        <v>1217</v>
      </c>
    </row>
    <row r="484" spans="1:2" x14ac:dyDescent="0.25">
      <c r="A484" t="s">
        <v>1219</v>
      </c>
    </row>
    <row r="485" spans="1:2" x14ac:dyDescent="0.25">
      <c r="A485" t="s">
        <v>1220</v>
      </c>
    </row>
    <row r="486" spans="1:2" x14ac:dyDescent="0.25">
      <c r="A486" t="s">
        <v>113</v>
      </c>
      <c r="B486" t="s">
        <v>1988</v>
      </c>
    </row>
    <row r="487" spans="1:2" x14ac:dyDescent="0.25">
      <c r="A487" t="s">
        <v>1222</v>
      </c>
    </row>
    <row r="488" spans="1:2" x14ac:dyDescent="0.25">
      <c r="A488" t="s">
        <v>1224</v>
      </c>
    </row>
    <row r="489" spans="1:2" x14ac:dyDescent="0.25">
      <c r="A489" t="s">
        <v>1225</v>
      </c>
    </row>
    <row r="490" spans="1:2" x14ac:dyDescent="0.25">
      <c r="A490" t="s">
        <v>1227</v>
      </c>
    </row>
    <row r="491" spans="1:2" x14ac:dyDescent="0.25">
      <c r="A491" t="s">
        <v>1228</v>
      </c>
      <c r="B491" t="s">
        <v>1605</v>
      </c>
    </row>
    <row r="492" spans="1:2" x14ac:dyDescent="0.25">
      <c r="A492" t="s">
        <v>1230</v>
      </c>
    </row>
    <row r="493" spans="1:2" x14ac:dyDescent="0.25">
      <c r="A493" t="s">
        <v>1231</v>
      </c>
    </row>
    <row r="494" spans="1:2" x14ac:dyDescent="0.25">
      <c r="A494" t="s">
        <v>1233</v>
      </c>
      <c r="B494" t="s">
        <v>2129</v>
      </c>
    </row>
    <row r="495" spans="1:2" x14ac:dyDescent="0.25">
      <c r="A495" t="s">
        <v>1235</v>
      </c>
      <c r="B495" t="s">
        <v>1640</v>
      </c>
    </row>
    <row r="496" spans="1:2" x14ac:dyDescent="0.25">
      <c r="A496" t="s">
        <v>1238</v>
      </c>
      <c r="B496" t="s">
        <v>1601</v>
      </c>
    </row>
    <row r="497" spans="1:2" x14ac:dyDescent="0.25">
      <c r="A497" t="s">
        <v>1240</v>
      </c>
      <c r="B497" t="s">
        <v>282</v>
      </c>
    </row>
    <row r="498" spans="1:2" x14ac:dyDescent="0.25">
      <c r="A498" t="s">
        <v>1242</v>
      </c>
      <c r="B498" t="s">
        <v>1670</v>
      </c>
    </row>
    <row r="499" spans="1:2" x14ac:dyDescent="0.25">
      <c r="A499" t="s">
        <v>1244</v>
      </c>
      <c r="B499" t="s">
        <v>1483</v>
      </c>
    </row>
    <row r="500" spans="1:2" x14ac:dyDescent="0.25">
      <c r="A500" t="s">
        <v>427</v>
      </c>
      <c r="B500" t="s">
        <v>427</v>
      </c>
    </row>
    <row r="501" spans="1:2" x14ac:dyDescent="0.25">
      <c r="A501" t="s">
        <v>1247</v>
      </c>
      <c r="B501" t="s">
        <v>1332</v>
      </c>
    </row>
    <row r="502" spans="1:2" x14ac:dyDescent="0.25">
      <c r="A502" t="s">
        <v>1250</v>
      </c>
    </row>
    <row r="503" spans="1:2" x14ac:dyDescent="0.25">
      <c r="A503" t="s">
        <v>1252</v>
      </c>
      <c r="B503" t="s">
        <v>928</v>
      </c>
    </row>
    <row r="504" spans="1:2" x14ac:dyDescent="0.25">
      <c r="A504" t="s">
        <v>1253</v>
      </c>
      <c r="B504" t="s">
        <v>1944</v>
      </c>
    </row>
    <row r="505" spans="1:2" x14ac:dyDescent="0.25">
      <c r="A505" t="s">
        <v>1255</v>
      </c>
      <c r="B505" t="s">
        <v>1928</v>
      </c>
    </row>
    <row r="506" spans="1:2" x14ac:dyDescent="0.25">
      <c r="A506" t="s">
        <v>1258</v>
      </c>
      <c r="B506" t="s">
        <v>1942</v>
      </c>
    </row>
    <row r="507" spans="1:2" x14ac:dyDescent="0.25">
      <c r="A507" t="s">
        <v>1260</v>
      </c>
      <c r="B507" t="s">
        <v>2025</v>
      </c>
    </row>
    <row r="508" spans="1:2" x14ac:dyDescent="0.25">
      <c r="A508" t="s">
        <v>1263</v>
      </c>
      <c r="B508" t="s">
        <v>1672</v>
      </c>
    </row>
    <row r="509" spans="1:2" x14ac:dyDescent="0.25">
      <c r="A509" t="s">
        <v>1264</v>
      </c>
      <c r="B509" t="s">
        <v>1847</v>
      </c>
    </row>
    <row r="510" spans="1:2" x14ac:dyDescent="0.25">
      <c r="A510" t="s">
        <v>1266</v>
      </c>
      <c r="B510" t="s">
        <v>1508</v>
      </c>
    </row>
    <row r="511" spans="1:2" x14ac:dyDescent="0.25">
      <c r="A511" t="s">
        <v>1268</v>
      </c>
      <c r="B511" t="s">
        <v>1584</v>
      </c>
    </row>
    <row r="512" spans="1:2" x14ac:dyDescent="0.25">
      <c r="A512" t="s">
        <v>1270</v>
      </c>
      <c r="B512" t="s">
        <v>1447</v>
      </c>
    </row>
    <row r="513" spans="1:2" x14ac:dyDescent="0.25">
      <c r="A513" t="s">
        <v>1272</v>
      </c>
    </row>
    <row r="514" spans="1:2" x14ac:dyDescent="0.25">
      <c r="A514" t="s">
        <v>1274</v>
      </c>
      <c r="B514" t="s">
        <v>2130</v>
      </c>
    </row>
    <row r="515" spans="1:2" x14ac:dyDescent="0.25">
      <c r="A515" t="s">
        <v>1275</v>
      </c>
      <c r="B515" t="s">
        <v>1275</v>
      </c>
    </row>
    <row r="516" spans="1:2" x14ac:dyDescent="0.25">
      <c r="A516" t="s">
        <v>1277</v>
      </c>
      <c r="B516" t="s">
        <v>1501</v>
      </c>
    </row>
    <row r="517" spans="1:2" x14ac:dyDescent="0.25">
      <c r="A517" t="s">
        <v>1279</v>
      </c>
      <c r="B517" t="s">
        <v>1488</v>
      </c>
    </row>
    <row r="518" spans="1:2" x14ac:dyDescent="0.25">
      <c r="A518" t="s">
        <v>1282</v>
      </c>
      <c r="B518" t="s">
        <v>305</v>
      </c>
    </row>
    <row r="519" spans="1:2" x14ac:dyDescent="0.25">
      <c r="A519" t="s">
        <v>1283</v>
      </c>
      <c r="B519" t="s">
        <v>1765</v>
      </c>
    </row>
    <row r="520" spans="1:2" x14ac:dyDescent="0.25">
      <c r="A520" t="s">
        <v>1284</v>
      </c>
      <c r="B520" t="s">
        <v>1872</v>
      </c>
    </row>
    <row r="521" spans="1:2" x14ac:dyDescent="0.25">
      <c r="A521" t="s">
        <v>1286</v>
      </c>
      <c r="B521" t="s">
        <v>2064</v>
      </c>
    </row>
    <row r="522" spans="1:2" x14ac:dyDescent="0.25">
      <c r="A522" t="s">
        <v>428</v>
      </c>
      <c r="B522" t="s">
        <v>428</v>
      </c>
    </row>
    <row r="523" spans="1:2" x14ac:dyDescent="0.25">
      <c r="A523" t="s">
        <v>103</v>
      </c>
      <c r="B523" t="s">
        <v>103</v>
      </c>
    </row>
    <row r="524" spans="1:2" x14ac:dyDescent="0.25">
      <c r="A524" t="s">
        <v>1289</v>
      </c>
      <c r="B524" t="s">
        <v>1483</v>
      </c>
    </row>
    <row r="525" spans="1:2" x14ac:dyDescent="0.25">
      <c r="A525" t="s">
        <v>117</v>
      </c>
      <c r="B525" t="s">
        <v>2002</v>
      </c>
    </row>
    <row r="526" spans="1:2" x14ac:dyDescent="0.25">
      <c r="A526" t="s">
        <v>1291</v>
      </c>
      <c r="B526" t="s">
        <v>1338</v>
      </c>
    </row>
    <row r="527" spans="1:2" x14ac:dyDescent="0.25">
      <c r="A527" t="s">
        <v>1293</v>
      </c>
      <c r="B527" t="s">
        <v>1347</v>
      </c>
    </row>
    <row r="528" spans="1:2" x14ac:dyDescent="0.25">
      <c r="A528" t="s">
        <v>1295</v>
      </c>
      <c r="B528" t="s">
        <v>942</v>
      </c>
    </row>
    <row r="529" spans="1:2" x14ac:dyDescent="0.25">
      <c r="A529" t="s">
        <v>1297</v>
      </c>
      <c r="B529" t="s">
        <v>1398</v>
      </c>
    </row>
    <row r="530" spans="1:2" x14ac:dyDescent="0.25">
      <c r="A530" t="s">
        <v>38</v>
      </c>
      <c r="B530" t="s">
        <v>1859</v>
      </c>
    </row>
    <row r="531" spans="1:2" x14ac:dyDescent="0.25">
      <c r="A531" t="s">
        <v>1299</v>
      </c>
      <c r="B531" t="s">
        <v>1994</v>
      </c>
    </row>
    <row r="532" spans="1:2" x14ac:dyDescent="0.25">
      <c r="A532" t="s">
        <v>1301</v>
      </c>
      <c r="B532" t="s">
        <v>1332</v>
      </c>
    </row>
    <row r="533" spans="1:2" x14ac:dyDescent="0.25">
      <c r="A533" t="s">
        <v>190</v>
      </c>
      <c r="B533" t="s">
        <v>312</v>
      </c>
    </row>
    <row r="534" spans="1:2" x14ac:dyDescent="0.25">
      <c r="A534" t="s">
        <v>217</v>
      </c>
      <c r="B534" t="s">
        <v>1354</v>
      </c>
    </row>
    <row r="535" spans="1:2" x14ac:dyDescent="0.25">
      <c r="A535" t="s">
        <v>219</v>
      </c>
      <c r="B535" t="s">
        <v>1431</v>
      </c>
    </row>
    <row r="536" spans="1:2" x14ac:dyDescent="0.25">
      <c r="A536" t="s">
        <v>221</v>
      </c>
      <c r="B536" t="s">
        <v>1433</v>
      </c>
    </row>
    <row r="537" spans="1:2" x14ac:dyDescent="0.25">
      <c r="A537" t="s">
        <v>225</v>
      </c>
      <c r="B537" t="s">
        <v>1362</v>
      </c>
    </row>
    <row r="538" spans="1:2" x14ac:dyDescent="0.25">
      <c r="A538" t="s">
        <v>227</v>
      </c>
      <c r="B538" t="s">
        <v>1387</v>
      </c>
    </row>
    <row r="539" spans="1:2" x14ac:dyDescent="0.25">
      <c r="A539" t="s">
        <v>229</v>
      </c>
      <c r="B539" t="s">
        <v>229</v>
      </c>
    </row>
    <row r="540" spans="1:2" x14ac:dyDescent="0.25">
      <c r="A540" t="s">
        <v>21</v>
      </c>
      <c r="B540" t="s">
        <v>21</v>
      </c>
    </row>
    <row r="541" spans="1:2" x14ac:dyDescent="0.25">
      <c r="A541" t="s">
        <v>34</v>
      </c>
      <c r="B541" t="s">
        <v>1772</v>
      </c>
    </row>
    <row r="542" spans="1:2" x14ac:dyDescent="0.25">
      <c r="A542" t="s">
        <v>36</v>
      </c>
      <c r="B542" t="s">
        <v>1771</v>
      </c>
    </row>
    <row r="543" spans="1:2" x14ac:dyDescent="0.25">
      <c r="A543" t="s">
        <v>64</v>
      </c>
      <c r="B543" t="s">
        <v>64</v>
      </c>
    </row>
    <row r="544" spans="1:2" x14ac:dyDescent="0.25">
      <c r="A544" t="s">
        <v>86</v>
      </c>
      <c r="B544" t="s">
        <v>86</v>
      </c>
    </row>
    <row r="545" spans="1:2" x14ac:dyDescent="0.25">
      <c r="A545" s="7" t="s">
        <v>99</v>
      </c>
      <c r="B545" t="s">
        <v>2089</v>
      </c>
    </row>
    <row r="546" spans="1:2" x14ac:dyDescent="0.25">
      <c r="A546" s="8" t="s">
        <v>101</v>
      </c>
      <c r="B546" t="s">
        <v>2063</v>
      </c>
    </row>
    <row r="547" spans="1:2" x14ac:dyDescent="0.25">
      <c r="A547" s="7" t="s">
        <v>107</v>
      </c>
      <c r="B547" t="s">
        <v>107</v>
      </c>
    </row>
    <row r="548" spans="1:2" x14ac:dyDescent="0.25">
      <c r="A548" s="8" t="s">
        <v>109</v>
      </c>
      <c r="B548" t="s">
        <v>109</v>
      </c>
    </row>
    <row r="549" spans="1:2" x14ac:dyDescent="0.25">
      <c r="A549" s="7" t="s">
        <v>111</v>
      </c>
      <c r="B549" t="s">
        <v>1990</v>
      </c>
    </row>
    <row r="550" spans="1:2" x14ac:dyDescent="0.25">
      <c r="A550" s="8" t="s">
        <v>121</v>
      </c>
      <c r="B550" t="s">
        <v>2003</v>
      </c>
    </row>
    <row r="551" spans="1:2" x14ac:dyDescent="0.25">
      <c r="A551" s="7" t="s">
        <v>123</v>
      </c>
      <c r="B551" t="s">
        <v>123</v>
      </c>
    </row>
  </sheetData>
  <autoFilter ref="A1:B532" xr:uid="{9AB6C352-3DE9-4C93-A883-9D93887D916B}"/>
  <conditionalFormatting sqref="A1:A532 A544:A1048576">
    <cfRule type="duplicateValues" dxfId="6" priority="5"/>
  </conditionalFormatting>
  <conditionalFormatting sqref="A290:A532 A1:A125 A544:A1048576">
    <cfRule type="duplicateValues" dxfId="5" priority="7"/>
  </conditionalFormatting>
  <conditionalFormatting sqref="A1:A1048576">
    <cfRule type="duplicateValues" dxfId="4" priority="4"/>
  </conditionalFormatting>
  <conditionalFormatting sqref="B544">
    <cfRule type="duplicateValues" dxfId="3" priority="2"/>
  </conditionalFormatting>
  <conditionalFormatting sqref="B544">
    <cfRule type="duplicateValues" dxfId="2" priority="3"/>
  </conditionalFormatting>
  <conditionalFormatting sqref="B544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T83"/>
  <sheetViews>
    <sheetView topLeftCell="A46" workbookViewId="0">
      <selection activeCell="R76" sqref="R76"/>
    </sheetView>
  </sheetViews>
  <sheetFormatPr defaultRowHeight="15" x14ac:dyDescent="0.25"/>
  <sheetData>
    <row r="1" spans="1:46" x14ac:dyDescent="0.25"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E1" s="32">
        <f>COUNTIFS(AE3:AE83,"Green")/COUNTA(AE3:AE83)</f>
        <v>0.48148148148148145</v>
      </c>
      <c r="AF1" s="32">
        <f t="shared" ref="AF1:AT1" si="1">COUNTIFS(AF3:AF83,"Green")/COUNTA(AF3:AF83)</f>
        <v>0.22222222222222221</v>
      </c>
      <c r="AG1" s="32">
        <f t="shared" si="1"/>
        <v>0.29629629629629628</v>
      </c>
      <c r="AH1" s="32">
        <f t="shared" si="1"/>
        <v>0.70370370370370372</v>
      </c>
      <c r="AI1" s="32">
        <f t="shared" si="1"/>
        <v>0.51851851851851849</v>
      </c>
      <c r="AJ1" s="32">
        <f t="shared" si="1"/>
        <v>0.77777777777777779</v>
      </c>
      <c r="AK1" s="32">
        <f t="shared" si="1"/>
        <v>0.34567901234567899</v>
      </c>
      <c r="AL1" s="32">
        <f t="shared" si="1"/>
        <v>0.38271604938271603</v>
      </c>
      <c r="AM1" s="32">
        <f t="shared" si="1"/>
        <v>0.27160493827160492</v>
      </c>
      <c r="AN1" s="32">
        <f t="shared" si="1"/>
        <v>0.81481481481481477</v>
      </c>
      <c r="AO1" s="32">
        <f t="shared" si="1"/>
        <v>0.85185185185185186</v>
      </c>
      <c r="AP1" s="32">
        <f t="shared" si="1"/>
        <v>0.65432098765432101</v>
      </c>
      <c r="AQ1" s="32">
        <f t="shared" si="1"/>
        <v>0.34567901234567899</v>
      </c>
      <c r="AR1" s="32">
        <f t="shared" si="1"/>
        <v>0.62962962962962965</v>
      </c>
      <c r="AS1" s="32">
        <f t="shared" si="1"/>
        <v>0.65432098765432101</v>
      </c>
      <c r="AT1" s="32">
        <f t="shared" si="1"/>
        <v>0.34567901234567899</v>
      </c>
    </row>
    <row r="2" spans="1:46" x14ac:dyDescent="0.25">
      <c r="A2" t="s">
        <v>875</v>
      </c>
      <c r="B2" t="s">
        <v>461</v>
      </c>
      <c r="C2" t="s">
        <v>0</v>
      </c>
      <c r="D2" t="s">
        <v>1</v>
      </c>
      <c r="E2" t="s">
        <v>2</v>
      </c>
      <c r="F2" t="s">
        <v>3</v>
      </c>
      <c r="G2" t="s">
        <v>462</v>
      </c>
      <c r="H2" s="28" t="s">
        <v>349</v>
      </c>
      <c r="I2" t="s">
        <v>4</v>
      </c>
      <c r="J2" s="28" t="s">
        <v>348</v>
      </c>
      <c r="K2" t="s">
        <v>5</v>
      </c>
      <c r="L2" t="s">
        <v>6</v>
      </c>
      <c r="M2" s="28" t="s">
        <v>2241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17</v>
      </c>
      <c r="Y2" t="s">
        <v>18</v>
      </c>
      <c r="Z2" t="s">
        <v>444</v>
      </c>
      <c r="AA2" t="s">
        <v>2131</v>
      </c>
      <c r="AB2" t="s">
        <v>2132</v>
      </c>
      <c r="AC2" t="s">
        <v>444</v>
      </c>
      <c r="AD2" t="s">
        <v>462</v>
      </c>
      <c r="AE2" t="s">
        <v>441</v>
      </c>
      <c r="AF2" t="s">
        <v>4</v>
      </c>
      <c r="AG2" t="s">
        <v>442</v>
      </c>
      <c r="AH2" t="s">
        <v>5</v>
      </c>
      <c r="AI2" t="s">
        <v>6</v>
      </c>
      <c r="AJ2" t="s">
        <v>443</v>
      </c>
      <c r="AK2" t="s">
        <v>7</v>
      </c>
      <c r="AL2" t="s">
        <v>8</v>
      </c>
      <c r="AM2" t="s">
        <v>9</v>
      </c>
      <c r="AN2" t="s">
        <v>2133</v>
      </c>
      <c r="AO2" t="s">
        <v>2134</v>
      </c>
      <c r="AP2" t="s">
        <v>2135</v>
      </c>
      <c r="AQ2" t="s">
        <v>2136</v>
      </c>
      <c r="AR2" t="s">
        <v>2137</v>
      </c>
      <c r="AS2" t="s">
        <v>15</v>
      </c>
      <c r="AT2" t="s">
        <v>16</v>
      </c>
    </row>
    <row r="3" spans="1:46" x14ac:dyDescent="0.25">
      <c r="C3" t="s">
        <v>244</v>
      </c>
      <c r="D3">
        <v>0.5</v>
      </c>
      <c r="E3" t="s">
        <v>245</v>
      </c>
      <c r="F3" t="s">
        <v>246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>
        <v>25</v>
      </c>
      <c r="Y3">
        <v>37.5</v>
      </c>
      <c r="Z3" t="s">
        <v>449</v>
      </c>
      <c r="AA3" t="s">
        <v>299</v>
      </c>
      <c r="AB3" t="s">
        <v>298</v>
      </c>
      <c r="AC3" t="s">
        <v>2138</v>
      </c>
      <c r="AD3" t="s">
        <v>2139</v>
      </c>
      <c r="AE3" t="s">
        <v>2140</v>
      </c>
      <c r="AF3" t="s">
        <v>2140</v>
      </c>
      <c r="AG3" t="s">
        <v>2141</v>
      </c>
      <c r="AH3" t="s">
        <v>2140</v>
      </c>
      <c r="AI3" t="s">
        <v>2141</v>
      </c>
      <c r="AJ3" t="s">
        <v>2141</v>
      </c>
      <c r="AK3" t="s">
        <v>2140</v>
      </c>
      <c r="AL3" t="s">
        <v>2140</v>
      </c>
      <c r="AM3" t="s">
        <v>2141</v>
      </c>
      <c r="AN3" t="s">
        <v>2141</v>
      </c>
      <c r="AO3" t="s">
        <v>2141</v>
      </c>
      <c r="AP3" t="s">
        <v>2141</v>
      </c>
      <c r="AQ3" t="s">
        <v>2140</v>
      </c>
      <c r="AR3" t="s">
        <v>2140</v>
      </c>
      <c r="AS3" t="s">
        <v>2141</v>
      </c>
      <c r="AT3" t="s">
        <v>2140</v>
      </c>
    </row>
    <row r="4" spans="1:46" x14ac:dyDescent="0.25">
      <c r="C4" t="s">
        <v>244</v>
      </c>
      <c r="D4">
        <v>0.5</v>
      </c>
      <c r="E4" t="s">
        <v>247</v>
      </c>
      <c r="F4" t="s">
        <v>248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>
        <v>0</v>
      </c>
      <c r="Y4">
        <v>9.1</v>
      </c>
      <c r="Z4" t="s">
        <v>450</v>
      </c>
      <c r="AA4" t="s">
        <v>293</v>
      </c>
      <c r="AB4" t="s">
        <v>292</v>
      </c>
      <c r="AC4" t="s">
        <v>2142</v>
      </c>
      <c r="AD4" t="s">
        <v>474</v>
      </c>
      <c r="AE4" t="s">
        <v>2140</v>
      </c>
      <c r="AF4" t="s">
        <v>2140</v>
      </c>
      <c r="AG4" t="s">
        <v>2141</v>
      </c>
      <c r="AH4" t="s">
        <v>2140</v>
      </c>
      <c r="AI4" t="s">
        <v>2141</v>
      </c>
      <c r="AJ4" t="s">
        <v>2141</v>
      </c>
      <c r="AK4" t="s">
        <v>2140</v>
      </c>
      <c r="AL4" t="s">
        <v>2140</v>
      </c>
      <c r="AM4" t="s">
        <v>2141</v>
      </c>
      <c r="AN4" t="s">
        <v>2141</v>
      </c>
      <c r="AO4" t="s">
        <v>2140</v>
      </c>
      <c r="AP4" t="s">
        <v>2140</v>
      </c>
      <c r="AQ4" t="s">
        <v>2141</v>
      </c>
      <c r="AR4" t="s">
        <v>2141</v>
      </c>
      <c r="AS4" t="s">
        <v>2140</v>
      </c>
      <c r="AT4" t="s">
        <v>2141</v>
      </c>
    </row>
    <row r="5" spans="1:46" x14ac:dyDescent="0.25">
      <c r="C5" t="s">
        <v>244</v>
      </c>
      <c r="D5">
        <v>0.5</v>
      </c>
      <c r="E5" t="s">
        <v>249</v>
      </c>
      <c r="F5" t="s">
        <v>250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>
        <v>0</v>
      </c>
      <c r="Y5">
        <v>14.3</v>
      </c>
      <c r="Z5" t="s">
        <v>451</v>
      </c>
      <c r="AA5" t="s">
        <v>249</v>
      </c>
      <c r="AB5" t="s">
        <v>284</v>
      </c>
      <c r="AC5" t="s">
        <v>2143</v>
      </c>
      <c r="AD5" t="s">
        <v>2144</v>
      </c>
      <c r="AE5" t="s">
        <v>2140</v>
      </c>
      <c r="AF5" t="s">
        <v>2141</v>
      </c>
      <c r="AG5" t="s">
        <v>2140</v>
      </c>
      <c r="AH5" t="s">
        <v>2141</v>
      </c>
      <c r="AI5" t="s">
        <v>2141</v>
      </c>
      <c r="AJ5" t="s">
        <v>2140</v>
      </c>
      <c r="AK5" t="s">
        <v>2140</v>
      </c>
      <c r="AL5" t="s">
        <v>2141</v>
      </c>
      <c r="AM5" t="s">
        <v>2140</v>
      </c>
      <c r="AN5" t="s">
        <v>2141</v>
      </c>
      <c r="AO5" t="s">
        <v>2141</v>
      </c>
      <c r="AP5" t="s">
        <v>2141</v>
      </c>
      <c r="AQ5" t="s">
        <v>2140</v>
      </c>
      <c r="AR5" t="s">
        <v>2140</v>
      </c>
      <c r="AS5" t="s">
        <v>2141</v>
      </c>
      <c r="AT5" t="s">
        <v>2140</v>
      </c>
    </row>
    <row r="6" spans="1:46" x14ac:dyDescent="0.25">
      <c r="C6" t="s">
        <v>244</v>
      </c>
      <c r="D6">
        <v>0.53125</v>
      </c>
      <c r="E6" t="s">
        <v>251</v>
      </c>
      <c r="F6" t="s">
        <v>146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>
        <v>9.1</v>
      </c>
      <c r="Y6">
        <v>33.299999999999997</v>
      </c>
      <c r="Z6" t="s">
        <v>452</v>
      </c>
      <c r="AA6" t="s">
        <v>285</v>
      </c>
      <c r="AB6" t="s">
        <v>146</v>
      </c>
      <c r="AC6" t="s">
        <v>2145</v>
      </c>
      <c r="AD6" t="s">
        <v>2146</v>
      </c>
      <c r="AE6" t="s">
        <v>2141</v>
      </c>
      <c r="AF6" t="s">
        <v>2140</v>
      </c>
      <c r="AG6" t="s">
        <v>2140</v>
      </c>
      <c r="AH6" t="s">
        <v>2141</v>
      </c>
      <c r="AI6" t="s">
        <v>2140</v>
      </c>
      <c r="AJ6" t="s">
        <v>2141</v>
      </c>
      <c r="AK6" t="s">
        <v>2141</v>
      </c>
      <c r="AL6" t="s">
        <v>2140</v>
      </c>
      <c r="AM6" t="s">
        <v>2140</v>
      </c>
      <c r="AN6" t="s">
        <v>2141</v>
      </c>
      <c r="AO6" t="s">
        <v>2141</v>
      </c>
      <c r="AP6" t="s">
        <v>2141</v>
      </c>
      <c r="AQ6" t="s">
        <v>2140</v>
      </c>
      <c r="AR6" t="s">
        <v>2140</v>
      </c>
      <c r="AS6" t="s">
        <v>2141</v>
      </c>
      <c r="AT6" t="s">
        <v>2140</v>
      </c>
    </row>
    <row r="7" spans="1:46" x14ac:dyDescent="0.25">
      <c r="C7" t="s">
        <v>244</v>
      </c>
      <c r="D7">
        <v>0.54166666666666663</v>
      </c>
      <c r="E7" t="s">
        <v>252</v>
      </c>
      <c r="F7" t="s">
        <v>253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>
        <v>0</v>
      </c>
      <c r="Y7">
        <v>16.7</v>
      </c>
      <c r="Z7" t="s">
        <v>445</v>
      </c>
      <c r="AA7" t="s">
        <v>252</v>
      </c>
      <c r="AB7" t="s">
        <v>253</v>
      </c>
      <c r="AC7" t="s">
        <v>2147</v>
      </c>
      <c r="AD7" t="s">
        <v>467</v>
      </c>
      <c r="AE7" t="s">
        <v>2140</v>
      </c>
      <c r="AF7" t="s">
        <v>2140</v>
      </c>
      <c r="AG7" t="s">
        <v>2141</v>
      </c>
      <c r="AH7" t="s">
        <v>2140</v>
      </c>
      <c r="AI7" t="s">
        <v>2141</v>
      </c>
      <c r="AJ7" t="s">
        <v>2141</v>
      </c>
      <c r="AK7" t="s">
        <v>2140</v>
      </c>
      <c r="AL7" t="s">
        <v>2140</v>
      </c>
      <c r="AM7" t="s">
        <v>2141</v>
      </c>
      <c r="AN7" t="s">
        <v>2141</v>
      </c>
      <c r="AO7" t="s">
        <v>2141</v>
      </c>
      <c r="AP7" t="s">
        <v>2140</v>
      </c>
      <c r="AQ7" t="s">
        <v>2141</v>
      </c>
      <c r="AR7" t="s">
        <v>2141</v>
      </c>
      <c r="AS7" t="s">
        <v>2140</v>
      </c>
      <c r="AT7" t="s">
        <v>2141</v>
      </c>
    </row>
    <row r="8" spans="1:46" x14ac:dyDescent="0.25">
      <c r="C8" t="s">
        <v>244</v>
      </c>
      <c r="D8">
        <v>0.54166666666666663</v>
      </c>
      <c r="E8" t="s">
        <v>254</v>
      </c>
      <c r="F8" t="s">
        <v>255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>
        <v>10</v>
      </c>
      <c r="Y8">
        <v>10</v>
      </c>
      <c r="Z8" t="s">
        <v>446</v>
      </c>
      <c r="AA8" t="s">
        <v>254</v>
      </c>
      <c r="AB8" t="s">
        <v>255</v>
      </c>
      <c r="AC8" t="s">
        <v>2148</v>
      </c>
      <c r="AD8" t="s">
        <v>2149</v>
      </c>
      <c r="AE8" t="s">
        <v>2141</v>
      </c>
      <c r="AF8" t="s">
        <v>2140</v>
      </c>
      <c r="AG8" t="s">
        <v>2140</v>
      </c>
      <c r="AH8" t="s">
        <v>2141</v>
      </c>
      <c r="AI8" t="s">
        <v>2140</v>
      </c>
      <c r="AJ8" t="s">
        <v>2141</v>
      </c>
      <c r="AK8" t="s">
        <v>2140</v>
      </c>
      <c r="AL8" t="s">
        <v>2141</v>
      </c>
      <c r="AM8" t="s">
        <v>2140</v>
      </c>
      <c r="AN8" t="s">
        <v>2140</v>
      </c>
      <c r="AO8" t="s">
        <v>2141</v>
      </c>
      <c r="AP8" t="s">
        <v>2140</v>
      </c>
      <c r="AQ8" t="s">
        <v>2141</v>
      </c>
      <c r="AR8" t="s">
        <v>2141</v>
      </c>
      <c r="AS8" t="s">
        <v>2140</v>
      </c>
      <c r="AT8" t="s">
        <v>2141</v>
      </c>
    </row>
    <row r="9" spans="1:46" x14ac:dyDescent="0.25">
      <c r="C9" t="s">
        <v>244</v>
      </c>
      <c r="D9">
        <v>0.54166666666666663</v>
      </c>
      <c r="E9" t="s">
        <v>256</v>
      </c>
      <c r="F9" t="s">
        <v>257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22</v>
      </c>
      <c r="Y9" t="s">
        <v>22</v>
      </c>
      <c r="Z9" t="s">
        <v>453</v>
      </c>
      <c r="AA9" t="s">
        <v>291</v>
      </c>
      <c r="AB9" t="s">
        <v>290</v>
      </c>
      <c r="AC9" t="s">
        <v>2150</v>
      </c>
      <c r="AD9" t="s">
        <v>2149</v>
      </c>
      <c r="AE9" t="s">
        <v>2141</v>
      </c>
      <c r="AF9" t="s">
        <v>2140</v>
      </c>
      <c r="AG9" t="s">
        <v>2140</v>
      </c>
      <c r="AH9" t="s">
        <v>2141</v>
      </c>
      <c r="AI9" t="s">
        <v>2140</v>
      </c>
      <c r="AJ9" t="s">
        <v>2141</v>
      </c>
      <c r="AK9" t="s">
        <v>2140</v>
      </c>
      <c r="AL9" t="s">
        <v>2141</v>
      </c>
      <c r="AM9" t="s">
        <v>2140</v>
      </c>
      <c r="AN9" t="s">
        <v>2140</v>
      </c>
      <c r="AO9" t="s">
        <v>2141</v>
      </c>
      <c r="AP9" t="s">
        <v>2140</v>
      </c>
      <c r="AQ9" t="s">
        <v>2141</v>
      </c>
      <c r="AR9" t="s">
        <v>2141</v>
      </c>
      <c r="AS9" t="s">
        <v>2140</v>
      </c>
      <c r="AT9" t="s">
        <v>2141</v>
      </c>
    </row>
    <row r="10" spans="1:46" x14ac:dyDescent="0.25">
      <c r="C10" t="s">
        <v>244</v>
      </c>
      <c r="D10">
        <v>0.58333333333333337</v>
      </c>
      <c r="E10" t="s">
        <v>258</v>
      </c>
      <c r="F10" t="s">
        <v>259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>
        <v>33.299999999999997</v>
      </c>
      <c r="Y10">
        <v>20</v>
      </c>
      <c r="Z10" t="s">
        <v>454</v>
      </c>
      <c r="AA10" t="s">
        <v>343</v>
      </c>
      <c r="AB10" t="s">
        <v>342</v>
      </c>
      <c r="AC10" t="s">
        <v>2151</v>
      </c>
      <c r="AD10" t="s">
        <v>2144</v>
      </c>
      <c r="AE10" t="s">
        <v>2140</v>
      </c>
      <c r="AF10" t="s">
        <v>2141</v>
      </c>
      <c r="AG10" t="s">
        <v>2140</v>
      </c>
      <c r="AH10" t="s">
        <v>2141</v>
      </c>
      <c r="AI10" t="s">
        <v>2141</v>
      </c>
      <c r="AJ10" t="s">
        <v>2140</v>
      </c>
      <c r="AK10" t="s">
        <v>2141</v>
      </c>
      <c r="AL10" t="s">
        <v>2140</v>
      </c>
      <c r="AM10" t="s">
        <v>2140</v>
      </c>
      <c r="AN10" t="s">
        <v>2141</v>
      </c>
      <c r="AO10" t="s">
        <v>2141</v>
      </c>
      <c r="AP10" t="s">
        <v>2141</v>
      </c>
      <c r="AQ10" t="s">
        <v>2140</v>
      </c>
      <c r="AR10" t="s">
        <v>2140</v>
      </c>
      <c r="AS10" t="s">
        <v>2141</v>
      </c>
      <c r="AT10" t="s">
        <v>2140</v>
      </c>
    </row>
    <row r="11" spans="1:46" x14ac:dyDescent="0.25">
      <c r="C11" t="s">
        <v>244</v>
      </c>
      <c r="D11">
        <v>0.58333333333333337</v>
      </c>
      <c r="E11" t="s">
        <v>148</v>
      </c>
      <c r="F11" t="s">
        <v>260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>
        <v>16.7</v>
      </c>
      <c r="Y11">
        <v>50</v>
      </c>
      <c r="Z11" t="s">
        <v>447</v>
      </c>
      <c r="AA11" t="s">
        <v>148</v>
      </c>
      <c r="AB11" t="s">
        <v>260</v>
      </c>
      <c r="AC11" t="s">
        <v>2152</v>
      </c>
      <c r="AD11" t="s">
        <v>465</v>
      </c>
      <c r="AE11" t="s">
        <v>2140</v>
      </c>
      <c r="AF11" t="s">
        <v>2141</v>
      </c>
      <c r="AG11" t="s">
        <v>2140</v>
      </c>
      <c r="AH11" t="s">
        <v>2141</v>
      </c>
      <c r="AI11" t="s">
        <v>2141</v>
      </c>
      <c r="AJ11" t="s">
        <v>2140</v>
      </c>
      <c r="AK11" t="s">
        <v>2140</v>
      </c>
      <c r="AL11" t="s">
        <v>2141</v>
      </c>
      <c r="AM11" t="s">
        <v>2140</v>
      </c>
      <c r="AN11" t="s">
        <v>2140</v>
      </c>
      <c r="AO11" t="s">
        <v>2140</v>
      </c>
      <c r="AP11" t="s">
        <v>2140</v>
      </c>
      <c r="AQ11" t="s">
        <v>2141</v>
      </c>
      <c r="AR11" t="s">
        <v>2141</v>
      </c>
      <c r="AS11" t="s">
        <v>2140</v>
      </c>
      <c r="AT11" t="s">
        <v>2141</v>
      </c>
    </row>
    <row r="12" spans="1:46" x14ac:dyDescent="0.25">
      <c r="C12" t="s">
        <v>244</v>
      </c>
      <c r="D12">
        <v>0.58333333333333337</v>
      </c>
      <c r="E12" t="s">
        <v>261</v>
      </c>
      <c r="F12" t="s">
        <v>262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22</v>
      </c>
      <c r="Y12" t="s">
        <v>22</v>
      </c>
      <c r="Z12" t="s">
        <v>455</v>
      </c>
      <c r="AA12" t="s">
        <v>271</v>
      </c>
      <c r="AB12" t="s">
        <v>270</v>
      </c>
      <c r="AC12" t="s">
        <v>2153</v>
      </c>
      <c r="AD12" t="s">
        <v>2154</v>
      </c>
      <c r="AE12" t="s">
        <v>2141</v>
      </c>
      <c r="AF12" t="s">
        <v>2140</v>
      </c>
      <c r="AG12" t="s">
        <v>2140</v>
      </c>
      <c r="AH12" t="s">
        <v>2141</v>
      </c>
      <c r="AI12" t="s">
        <v>2140</v>
      </c>
      <c r="AJ12" t="s">
        <v>2141</v>
      </c>
      <c r="AK12" t="s">
        <v>2140</v>
      </c>
      <c r="AL12" t="s">
        <v>2141</v>
      </c>
      <c r="AM12" t="s">
        <v>2140</v>
      </c>
      <c r="AN12" t="s">
        <v>2140</v>
      </c>
      <c r="AO12" t="s">
        <v>2141</v>
      </c>
      <c r="AP12" t="s">
        <v>2141</v>
      </c>
      <c r="AQ12" t="s">
        <v>2140</v>
      </c>
      <c r="AR12" t="s">
        <v>2140</v>
      </c>
      <c r="AS12" t="s">
        <v>2141</v>
      </c>
      <c r="AT12" t="s">
        <v>2140</v>
      </c>
    </row>
    <row r="13" spans="1:46" x14ac:dyDescent="0.25">
      <c r="C13" t="s">
        <v>244</v>
      </c>
      <c r="D13">
        <v>0.66666666666666663</v>
      </c>
      <c r="E13" t="s">
        <v>263</v>
      </c>
      <c r="F13" t="s">
        <v>190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>
        <v>20</v>
      </c>
      <c r="Y13">
        <v>25</v>
      </c>
      <c r="Z13" t="s">
        <v>456</v>
      </c>
      <c r="AA13" t="s">
        <v>313</v>
      </c>
      <c r="AB13" t="s">
        <v>312</v>
      </c>
      <c r="AC13" t="s">
        <v>2155</v>
      </c>
      <c r="AD13" t="s">
        <v>480</v>
      </c>
      <c r="AE13" t="s">
        <v>2141</v>
      </c>
      <c r="AF13" t="s">
        <v>2140</v>
      </c>
      <c r="AG13" t="s">
        <v>2140</v>
      </c>
      <c r="AH13" t="s">
        <v>2141</v>
      </c>
      <c r="AI13" t="s">
        <v>2140</v>
      </c>
      <c r="AJ13" t="s">
        <v>2141</v>
      </c>
      <c r="AK13" t="s">
        <v>2140</v>
      </c>
      <c r="AL13" t="s">
        <v>2141</v>
      </c>
      <c r="AM13" t="s">
        <v>2140</v>
      </c>
      <c r="AN13" t="s">
        <v>2141</v>
      </c>
      <c r="AO13" t="s">
        <v>2141</v>
      </c>
      <c r="AP13" t="s">
        <v>2141</v>
      </c>
      <c r="AQ13" t="s">
        <v>2140</v>
      </c>
      <c r="AR13" t="s">
        <v>2141</v>
      </c>
      <c r="AS13" t="s">
        <v>2141</v>
      </c>
      <c r="AT13" t="s">
        <v>2140</v>
      </c>
    </row>
    <row r="14" spans="1:46" x14ac:dyDescent="0.25">
      <c r="C14" t="s">
        <v>244</v>
      </c>
      <c r="D14">
        <v>0.66666666666666663</v>
      </c>
      <c r="E14" t="s">
        <v>119</v>
      </c>
      <c r="F14" t="s">
        <v>104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>
        <v>10</v>
      </c>
      <c r="Y14">
        <v>22.2</v>
      </c>
      <c r="Z14" t="s">
        <v>457</v>
      </c>
      <c r="AA14" t="s">
        <v>119</v>
      </c>
      <c r="AB14" t="s">
        <v>302</v>
      </c>
      <c r="AC14" t="s">
        <v>2156</v>
      </c>
      <c r="AD14" t="s">
        <v>480</v>
      </c>
      <c r="AE14" t="s">
        <v>2141</v>
      </c>
      <c r="AF14" t="s">
        <v>2140</v>
      </c>
      <c r="AG14" t="s">
        <v>2140</v>
      </c>
      <c r="AH14" t="s">
        <v>2141</v>
      </c>
      <c r="AI14" t="s">
        <v>2140</v>
      </c>
      <c r="AJ14" t="s">
        <v>2141</v>
      </c>
      <c r="AK14" t="s">
        <v>2140</v>
      </c>
      <c r="AL14" t="s">
        <v>2141</v>
      </c>
      <c r="AM14" t="s">
        <v>2140</v>
      </c>
      <c r="AN14" t="s">
        <v>2141</v>
      </c>
      <c r="AO14" t="s">
        <v>2141</v>
      </c>
      <c r="AP14" t="s">
        <v>2141</v>
      </c>
      <c r="AQ14" t="s">
        <v>2140</v>
      </c>
      <c r="AR14" t="s">
        <v>2141</v>
      </c>
      <c r="AS14" t="s">
        <v>2141</v>
      </c>
      <c r="AT14" t="s">
        <v>2140</v>
      </c>
    </row>
    <row r="15" spans="1:46" x14ac:dyDescent="0.25">
      <c r="C15" t="s">
        <v>244</v>
      </c>
      <c r="D15">
        <v>0.67708333333333337</v>
      </c>
      <c r="E15" t="s">
        <v>264</v>
      </c>
      <c r="F15" t="s">
        <v>265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>
        <v>28.6</v>
      </c>
      <c r="Y15">
        <v>57.1</v>
      </c>
      <c r="Z15" t="s">
        <v>458</v>
      </c>
      <c r="AA15" t="s">
        <v>295</v>
      </c>
      <c r="AB15" t="s">
        <v>265</v>
      </c>
      <c r="AC15" t="s">
        <v>2157</v>
      </c>
      <c r="AD15" t="s">
        <v>465</v>
      </c>
      <c r="AE15" t="s">
        <v>2140</v>
      </c>
      <c r="AF15" t="s">
        <v>2141</v>
      </c>
      <c r="AG15" t="s">
        <v>2140</v>
      </c>
      <c r="AH15" t="s">
        <v>2141</v>
      </c>
      <c r="AI15" t="s">
        <v>2141</v>
      </c>
      <c r="AJ15" t="s">
        <v>2140</v>
      </c>
      <c r="AK15" t="s">
        <v>2140</v>
      </c>
      <c r="AL15" t="s">
        <v>2141</v>
      </c>
      <c r="AM15" t="s">
        <v>2140</v>
      </c>
      <c r="AN15" t="s">
        <v>2140</v>
      </c>
      <c r="AO15" t="s">
        <v>2140</v>
      </c>
      <c r="AP15" t="s">
        <v>2140</v>
      </c>
      <c r="AQ15" t="s">
        <v>2141</v>
      </c>
      <c r="AR15" t="s">
        <v>2141</v>
      </c>
      <c r="AS15" t="s">
        <v>2140</v>
      </c>
      <c r="AT15" t="s">
        <v>2141</v>
      </c>
    </row>
    <row r="16" spans="1:46" x14ac:dyDescent="0.25">
      <c r="C16" t="s">
        <v>244</v>
      </c>
      <c r="D16">
        <v>0.67708333333333337</v>
      </c>
      <c r="E16" t="s">
        <v>170</v>
      </c>
      <c r="F16" t="s">
        <v>266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22</v>
      </c>
      <c r="Y16" t="s">
        <v>22</v>
      </c>
      <c r="Z16" t="s">
        <v>448</v>
      </c>
      <c r="AA16" t="s">
        <v>170</v>
      </c>
      <c r="AB16" t="s">
        <v>266</v>
      </c>
      <c r="AC16" t="s">
        <v>2158</v>
      </c>
      <c r="AD16" t="s">
        <v>2159</v>
      </c>
      <c r="AE16" t="s">
        <v>2141</v>
      </c>
      <c r="AF16" t="s">
        <v>2140</v>
      </c>
      <c r="AG16" t="s">
        <v>2140</v>
      </c>
      <c r="AH16" t="s">
        <v>2141</v>
      </c>
      <c r="AI16" t="s">
        <v>2140</v>
      </c>
      <c r="AJ16" t="s">
        <v>2141</v>
      </c>
      <c r="AK16" t="s">
        <v>2141</v>
      </c>
      <c r="AL16" t="s">
        <v>2140</v>
      </c>
      <c r="AM16" t="s">
        <v>2140</v>
      </c>
      <c r="AN16" t="s">
        <v>2141</v>
      </c>
      <c r="AO16" t="s">
        <v>2141</v>
      </c>
      <c r="AP16" t="s">
        <v>2141</v>
      </c>
      <c r="AQ16" t="s">
        <v>2140</v>
      </c>
      <c r="AR16" t="s">
        <v>2140</v>
      </c>
      <c r="AS16" t="s">
        <v>2141</v>
      </c>
      <c r="AT16" t="s">
        <v>2140</v>
      </c>
    </row>
    <row r="17" spans="2:46" x14ac:dyDescent="0.25">
      <c r="C17" t="s">
        <v>244</v>
      </c>
      <c r="D17">
        <v>0.67708333333333337</v>
      </c>
      <c r="E17" t="s">
        <v>164</v>
      </c>
      <c r="F17" t="s">
        <v>267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22</v>
      </c>
      <c r="Y17" t="s">
        <v>22</v>
      </c>
      <c r="Z17" t="s">
        <v>459</v>
      </c>
      <c r="AA17" t="s">
        <v>294</v>
      </c>
      <c r="AB17" t="s">
        <v>267</v>
      </c>
      <c r="AC17" t="s">
        <v>2160</v>
      </c>
      <c r="AD17" t="s">
        <v>2161</v>
      </c>
      <c r="AE17" t="s">
        <v>2141</v>
      </c>
      <c r="AF17" t="s">
        <v>2140</v>
      </c>
      <c r="AG17" t="s">
        <v>2140</v>
      </c>
      <c r="AH17" t="s">
        <v>2141</v>
      </c>
      <c r="AI17" t="s">
        <v>2140</v>
      </c>
      <c r="AJ17" t="s">
        <v>2141</v>
      </c>
      <c r="AK17" t="s">
        <v>2141</v>
      </c>
      <c r="AL17" t="s">
        <v>2140</v>
      </c>
      <c r="AM17" t="s">
        <v>2140</v>
      </c>
      <c r="AN17" t="s">
        <v>2141</v>
      </c>
      <c r="AO17" t="s">
        <v>2141</v>
      </c>
      <c r="AP17" t="s">
        <v>2141</v>
      </c>
      <c r="AQ17" t="s">
        <v>2140</v>
      </c>
      <c r="AR17" t="s">
        <v>2140</v>
      </c>
      <c r="AS17" t="s">
        <v>2141</v>
      </c>
      <c r="AT17" t="s">
        <v>2140</v>
      </c>
    </row>
    <row r="18" spans="2:46" x14ac:dyDescent="0.25">
      <c r="C18" t="s">
        <v>244</v>
      </c>
      <c r="D18">
        <v>0.83333333333333337</v>
      </c>
      <c r="E18" t="s">
        <v>268</v>
      </c>
      <c r="F18" t="s">
        <v>269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>
        <v>0</v>
      </c>
      <c r="Y18">
        <v>25</v>
      </c>
      <c r="Z18" t="s">
        <v>460</v>
      </c>
      <c r="AA18" t="s">
        <v>311</v>
      </c>
      <c r="AB18" t="s">
        <v>269</v>
      </c>
      <c r="AC18" t="s">
        <v>2162</v>
      </c>
      <c r="AD18" t="s">
        <v>2163</v>
      </c>
      <c r="AE18" t="s">
        <v>2140</v>
      </c>
      <c r="AF18" t="s">
        <v>2140</v>
      </c>
      <c r="AG18" t="s">
        <v>2141</v>
      </c>
      <c r="AH18" t="s">
        <v>2140</v>
      </c>
      <c r="AI18" t="s">
        <v>2141</v>
      </c>
      <c r="AJ18" t="s">
        <v>2141</v>
      </c>
      <c r="AK18" t="s">
        <v>2140</v>
      </c>
      <c r="AL18" t="s">
        <v>2140</v>
      </c>
      <c r="AM18" t="s">
        <v>2141</v>
      </c>
      <c r="AN18" t="s">
        <v>2141</v>
      </c>
      <c r="AO18" t="s">
        <v>2141</v>
      </c>
      <c r="AP18" t="s">
        <v>2141</v>
      </c>
      <c r="AQ18" t="s">
        <v>2140</v>
      </c>
      <c r="AR18" t="s">
        <v>2140</v>
      </c>
      <c r="AS18" t="s">
        <v>2141</v>
      </c>
      <c r="AT18" t="s">
        <v>2140</v>
      </c>
    </row>
    <row r="19" spans="2:46" x14ac:dyDescent="0.25">
      <c r="B19" t="s">
        <v>463</v>
      </c>
      <c r="C19" t="s">
        <v>215</v>
      </c>
      <c r="D19">
        <v>0.27083333333333331</v>
      </c>
      <c r="E19" t="s">
        <v>216</v>
      </c>
      <c r="F19" t="s">
        <v>217</v>
      </c>
      <c r="G19" t="s">
        <v>476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>
        <v>0</v>
      </c>
      <c r="Y19">
        <v>12.5</v>
      </c>
      <c r="AA19" t="s">
        <v>1353</v>
      </c>
      <c r="AB19" t="s">
        <v>1354</v>
      </c>
      <c r="AC19" t="s">
        <v>2164</v>
      </c>
      <c r="AD19" t="s">
        <v>480</v>
      </c>
      <c r="AE19" t="s">
        <v>2141</v>
      </c>
      <c r="AF19" t="s">
        <v>2140</v>
      </c>
      <c r="AG19" t="s">
        <v>2140</v>
      </c>
      <c r="AH19" t="s">
        <v>2141</v>
      </c>
      <c r="AI19" t="s">
        <v>2140</v>
      </c>
      <c r="AJ19" t="s">
        <v>2141</v>
      </c>
      <c r="AK19" t="s">
        <v>2141</v>
      </c>
      <c r="AL19" t="s">
        <v>2140</v>
      </c>
      <c r="AM19" t="s">
        <v>2140</v>
      </c>
      <c r="AN19" t="s">
        <v>2141</v>
      </c>
      <c r="AO19" t="s">
        <v>2141</v>
      </c>
      <c r="AP19" t="s">
        <v>2141</v>
      </c>
      <c r="AQ19" t="s">
        <v>2140</v>
      </c>
      <c r="AR19" t="s">
        <v>2141</v>
      </c>
      <c r="AS19" t="s">
        <v>2141</v>
      </c>
      <c r="AT19" t="s">
        <v>2140</v>
      </c>
    </row>
    <row r="20" spans="2:46" x14ac:dyDescent="0.25">
      <c r="B20" t="s">
        <v>464</v>
      </c>
      <c r="C20" t="s">
        <v>215</v>
      </c>
      <c r="D20">
        <v>0.3125</v>
      </c>
      <c r="E20" t="s">
        <v>218</v>
      </c>
      <c r="F20" t="s">
        <v>219</v>
      </c>
      <c r="G20" t="s">
        <v>477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>
        <v>0</v>
      </c>
      <c r="Y20">
        <v>0</v>
      </c>
      <c r="AA20" t="s">
        <v>218</v>
      </c>
      <c r="AB20" t="s">
        <v>1431</v>
      </c>
      <c r="AC20" t="s">
        <v>2165</v>
      </c>
      <c r="AD20" t="s">
        <v>477</v>
      </c>
      <c r="AE20" t="s">
        <v>2140</v>
      </c>
      <c r="AF20" t="s">
        <v>2141</v>
      </c>
      <c r="AG20" t="s">
        <v>2140</v>
      </c>
      <c r="AH20" t="s">
        <v>2141</v>
      </c>
      <c r="AI20" t="s">
        <v>2141</v>
      </c>
      <c r="AJ20" t="s">
        <v>2140</v>
      </c>
      <c r="AK20" t="s">
        <v>2140</v>
      </c>
      <c r="AL20" t="s">
        <v>2141</v>
      </c>
      <c r="AM20" t="s">
        <v>2140</v>
      </c>
      <c r="AN20" t="s">
        <v>2141</v>
      </c>
      <c r="AO20" t="s">
        <v>2141</v>
      </c>
      <c r="AP20" t="s">
        <v>2140</v>
      </c>
      <c r="AQ20" t="s">
        <v>2141</v>
      </c>
      <c r="AR20" t="s">
        <v>2141</v>
      </c>
      <c r="AS20" t="s">
        <v>2141</v>
      </c>
      <c r="AT20" t="s">
        <v>2140</v>
      </c>
    </row>
    <row r="21" spans="2:46" x14ac:dyDescent="0.25">
      <c r="B21" t="s">
        <v>464</v>
      </c>
      <c r="C21" t="s">
        <v>215</v>
      </c>
      <c r="D21">
        <v>0.3125</v>
      </c>
      <c r="E21" t="s">
        <v>220</v>
      </c>
      <c r="F21" t="s">
        <v>221</v>
      </c>
      <c r="G21" t="s">
        <v>465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>
        <v>25</v>
      </c>
      <c r="Y21">
        <v>25</v>
      </c>
      <c r="AA21" t="s">
        <v>1432</v>
      </c>
      <c r="AB21" t="s">
        <v>1433</v>
      </c>
      <c r="AC21" t="s">
        <v>2166</v>
      </c>
      <c r="AD21" t="s">
        <v>465</v>
      </c>
      <c r="AE21" t="s">
        <v>2140</v>
      </c>
      <c r="AF21" t="s">
        <v>2141</v>
      </c>
      <c r="AG21" t="s">
        <v>2140</v>
      </c>
      <c r="AH21" t="s">
        <v>2141</v>
      </c>
      <c r="AI21" t="s">
        <v>2141</v>
      </c>
      <c r="AJ21" t="s">
        <v>2140</v>
      </c>
      <c r="AK21" t="s">
        <v>2140</v>
      </c>
      <c r="AL21" t="s">
        <v>2141</v>
      </c>
      <c r="AM21" t="s">
        <v>2140</v>
      </c>
      <c r="AN21" t="s">
        <v>2140</v>
      </c>
      <c r="AO21" t="s">
        <v>2140</v>
      </c>
      <c r="AP21" t="s">
        <v>2140</v>
      </c>
      <c r="AQ21" t="s">
        <v>2141</v>
      </c>
      <c r="AR21" t="s">
        <v>2141</v>
      </c>
      <c r="AS21" t="s">
        <v>2140</v>
      </c>
      <c r="AT21" t="s">
        <v>2141</v>
      </c>
    </row>
    <row r="22" spans="2:46" x14ac:dyDescent="0.25">
      <c r="B22" t="s">
        <v>464</v>
      </c>
      <c r="C22" t="s">
        <v>215</v>
      </c>
      <c r="D22">
        <v>0.3125</v>
      </c>
      <c r="E22" t="s">
        <v>222</v>
      </c>
      <c r="F22" t="s">
        <v>223</v>
      </c>
      <c r="G22" t="s">
        <v>478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>
        <v>12.5</v>
      </c>
      <c r="Y22">
        <v>0</v>
      </c>
      <c r="AA22" t="s">
        <v>1434</v>
      </c>
      <c r="AB22" t="s">
        <v>1435</v>
      </c>
      <c r="AC22" t="s">
        <v>2167</v>
      </c>
      <c r="AD22" t="s">
        <v>478</v>
      </c>
      <c r="AE22" t="s">
        <v>2140</v>
      </c>
      <c r="AF22" t="s">
        <v>2140</v>
      </c>
      <c r="AG22" t="s">
        <v>2141</v>
      </c>
      <c r="AH22" t="s">
        <v>2140</v>
      </c>
      <c r="AI22" t="s">
        <v>2141</v>
      </c>
      <c r="AJ22" t="s">
        <v>2141</v>
      </c>
      <c r="AK22" t="s">
        <v>2140</v>
      </c>
      <c r="AL22" t="s">
        <v>2141</v>
      </c>
      <c r="AM22" t="s">
        <v>2140</v>
      </c>
      <c r="AN22" t="s">
        <v>2141</v>
      </c>
      <c r="AO22" t="s">
        <v>2141</v>
      </c>
      <c r="AP22" t="s">
        <v>2141</v>
      </c>
      <c r="AQ22" t="s">
        <v>2140</v>
      </c>
      <c r="AR22" t="s">
        <v>2141</v>
      </c>
      <c r="AS22" t="s">
        <v>2141</v>
      </c>
      <c r="AT22" t="s">
        <v>2140</v>
      </c>
    </row>
    <row r="23" spans="2:46" x14ac:dyDescent="0.25">
      <c r="B23" t="s">
        <v>466</v>
      </c>
      <c r="C23" t="s">
        <v>215</v>
      </c>
      <c r="D23">
        <v>0.54166666666666663</v>
      </c>
      <c r="E23" t="s">
        <v>224</v>
      </c>
      <c r="F23" t="s">
        <v>225</v>
      </c>
      <c r="G23" t="s">
        <v>467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>
        <v>14.3</v>
      </c>
      <c r="Y23">
        <v>0</v>
      </c>
      <c r="AA23" t="s">
        <v>1361</v>
      </c>
      <c r="AB23" t="s">
        <v>1362</v>
      </c>
      <c r="AC23" t="s">
        <v>2168</v>
      </c>
      <c r="AD23" t="s">
        <v>467</v>
      </c>
      <c r="AE23" t="s">
        <v>2140</v>
      </c>
      <c r="AF23" t="s">
        <v>2140</v>
      </c>
      <c r="AG23" t="s">
        <v>2141</v>
      </c>
      <c r="AH23" t="s">
        <v>2140</v>
      </c>
      <c r="AI23" t="s">
        <v>2141</v>
      </c>
      <c r="AJ23" t="s">
        <v>2141</v>
      </c>
      <c r="AK23" t="s">
        <v>2140</v>
      </c>
      <c r="AL23" t="s">
        <v>2140</v>
      </c>
      <c r="AM23" t="s">
        <v>2141</v>
      </c>
      <c r="AN23" t="s">
        <v>2141</v>
      </c>
      <c r="AO23" t="s">
        <v>2141</v>
      </c>
      <c r="AP23" t="s">
        <v>2140</v>
      </c>
      <c r="AQ23" t="s">
        <v>2141</v>
      </c>
      <c r="AR23" t="s">
        <v>2141</v>
      </c>
      <c r="AS23" t="s">
        <v>2140</v>
      </c>
      <c r="AT23" t="s">
        <v>2141</v>
      </c>
    </row>
    <row r="24" spans="2:46" x14ac:dyDescent="0.25">
      <c r="B24" t="s">
        <v>468</v>
      </c>
      <c r="C24" t="s">
        <v>215</v>
      </c>
      <c r="D24">
        <v>0.54166666666666663</v>
      </c>
      <c r="E24" t="s">
        <v>226</v>
      </c>
      <c r="F24" t="s">
        <v>227</v>
      </c>
      <c r="G24" t="s">
        <v>467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>
        <v>0</v>
      </c>
      <c r="Y24">
        <v>0</v>
      </c>
      <c r="AA24" t="s">
        <v>1386</v>
      </c>
      <c r="AB24" t="s">
        <v>1387</v>
      </c>
      <c r="AC24" t="s">
        <v>2169</v>
      </c>
      <c r="AD24" t="s">
        <v>467</v>
      </c>
      <c r="AE24" t="s">
        <v>2140</v>
      </c>
      <c r="AF24" t="s">
        <v>2140</v>
      </c>
      <c r="AG24" t="s">
        <v>2141</v>
      </c>
      <c r="AH24" t="s">
        <v>2140</v>
      </c>
      <c r="AI24" t="s">
        <v>2141</v>
      </c>
      <c r="AJ24" t="s">
        <v>2141</v>
      </c>
      <c r="AK24" t="s">
        <v>2140</v>
      </c>
      <c r="AL24" t="s">
        <v>2140</v>
      </c>
      <c r="AM24" t="s">
        <v>2141</v>
      </c>
      <c r="AN24" t="s">
        <v>2141</v>
      </c>
      <c r="AO24" t="s">
        <v>2141</v>
      </c>
      <c r="AP24" t="s">
        <v>2140</v>
      </c>
      <c r="AQ24" t="s">
        <v>2141</v>
      </c>
      <c r="AR24" t="s">
        <v>2141</v>
      </c>
      <c r="AS24" t="s">
        <v>2140</v>
      </c>
      <c r="AT24" t="s">
        <v>2141</v>
      </c>
    </row>
    <row r="25" spans="2:46" x14ac:dyDescent="0.25">
      <c r="B25" t="s">
        <v>469</v>
      </c>
      <c r="C25" t="s">
        <v>215</v>
      </c>
      <c r="D25">
        <v>0.58333333333333337</v>
      </c>
      <c r="E25" t="s">
        <v>228</v>
      </c>
      <c r="F25" t="s">
        <v>229</v>
      </c>
      <c r="G25" t="s">
        <v>479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>
        <v>14.3</v>
      </c>
      <c r="Y25">
        <v>16.7</v>
      </c>
      <c r="AA25" t="s">
        <v>1436</v>
      </c>
      <c r="AB25" t="s">
        <v>229</v>
      </c>
      <c r="AC25" t="s">
        <v>2170</v>
      </c>
      <c r="AD25" t="s">
        <v>479</v>
      </c>
      <c r="AE25" t="s">
        <v>2140</v>
      </c>
      <c r="AF25" t="s">
        <v>2140</v>
      </c>
      <c r="AG25" t="s">
        <v>2141</v>
      </c>
      <c r="AH25" t="s">
        <v>2140</v>
      </c>
      <c r="AI25" t="s">
        <v>2141</v>
      </c>
      <c r="AJ25" t="s">
        <v>2141</v>
      </c>
      <c r="AK25" t="s">
        <v>2140</v>
      </c>
      <c r="AL25" t="s">
        <v>2140</v>
      </c>
      <c r="AM25" t="s">
        <v>2141</v>
      </c>
      <c r="AN25" t="s">
        <v>2141</v>
      </c>
      <c r="AO25" t="s">
        <v>2141</v>
      </c>
      <c r="AP25" t="s">
        <v>2141</v>
      </c>
      <c r="AQ25" t="s">
        <v>2140</v>
      </c>
      <c r="AR25" t="s">
        <v>2140</v>
      </c>
      <c r="AS25" t="s">
        <v>2141</v>
      </c>
      <c r="AT25" t="s">
        <v>2140</v>
      </c>
    </row>
    <row r="26" spans="2:46" x14ac:dyDescent="0.25">
      <c r="B26" t="s">
        <v>470</v>
      </c>
      <c r="C26" t="s">
        <v>215</v>
      </c>
      <c r="D26">
        <v>0.77083333333333337</v>
      </c>
      <c r="E26" t="s">
        <v>230</v>
      </c>
      <c r="F26" t="s">
        <v>231</v>
      </c>
      <c r="G26" t="s">
        <v>471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>
        <v>11.1</v>
      </c>
      <c r="Y26">
        <v>20</v>
      </c>
      <c r="AA26" t="s">
        <v>431</v>
      </c>
      <c r="AB26" t="s">
        <v>432</v>
      </c>
      <c r="AC26" t="s">
        <v>2171</v>
      </c>
      <c r="AD26" t="s">
        <v>471</v>
      </c>
      <c r="AE26" t="s">
        <v>2141</v>
      </c>
      <c r="AF26" t="s">
        <v>2140</v>
      </c>
      <c r="AG26" t="s">
        <v>2140</v>
      </c>
      <c r="AH26" t="s">
        <v>2141</v>
      </c>
      <c r="AI26" t="s">
        <v>2140</v>
      </c>
      <c r="AJ26" t="s">
        <v>2141</v>
      </c>
      <c r="AK26" t="s">
        <v>2140</v>
      </c>
      <c r="AL26" t="s">
        <v>2141</v>
      </c>
      <c r="AM26" t="s">
        <v>2140</v>
      </c>
      <c r="AN26" t="s">
        <v>2140</v>
      </c>
      <c r="AO26" t="s">
        <v>2140</v>
      </c>
      <c r="AP26" t="s">
        <v>2140</v>
      </c>
      <c r="AQ26" t="s">
        <v>2141</v>
      </c>
      <c r="AR26" t="s">
        <v>2141</v>
      </c>
      <c r="AS26" t="s">
        <v>2140</v>
      </c>
      <c r="AT26" t="s">
        <v>2141</v>
      </c>
    </row>
    <row r="27" spans="2:46" x14ac:dyDescent="0.25">
      <c r="B27" t="s">
        <v>472</v>
      </c>
      <c r="C27" t="s">
        <v>215</v>
      </c>
      <c r="D27">
        <v>0.8125</v>
      </c>
      <c r="E27" t="s">
        <v>232</v>
      </c>
      <c r="F27" t="s">
        <v>233</v>
      </c>
      <c r="G27" t="s">
        <v>477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22</v>
      </c>
      <c r="Y27" t="s">
        <v>22</v>
      </c>
      <c r="AA27" t="s">
        <v>375</v>
      </c>
      <c r="AB27" t="s">
        <v>233</v>
      </c>
      <c r="AC27" t="s">
        <v>2172</v>
      </c>
      <c r="AD27" t="s">
        <v>477</v>
      </c>
      <c r="AE27" t="s">
        <v>2140</v>
      </c>
      <c r="AF27" t="s">
        <v>2141</v>
      </c>
      <c r="AG27" t="s">
        <v>2140</v>
      </c>
      <c r="AH27" t="s">
        <v>2141</v>
      </c>
      <c r="AI27" t="s">
        <v>2141</v>
      </c>
      <c r="AJ27" t="s">
        <v>2140</v>
      </c>
      <c r="AK27" t="s">
        <v>2141</v>
      </c>
      <c r="AL27" t="s">
        <v>2140</v>
      </c>
      <c r="AM27" t="s">
        <v>2140</v>
      </c>
      <c r="AN27" t="s">
        <v>2141</v>
      </c>
      <c r="AO27" t="s">
        <v>2141</v>
      </c>
      <c r="AP27" t="s">
        <v>2140</v>
      </c>
      <c r="AQ27" t="s">
        <v>2141</v>
      </c>
      <c r="AR27" t="s">
        <v>2141</v>
      </c>
      <c r="AS27" t="s">
        <v>2141</v>
      </c>
      <c r="AT27" t="s">
        <v>2140</v>
      </c>
    </row>
    <row r="28" spans="2:46" x14ac:dyDescent="0.25">
      <c r="B28" t="s">
        <v>473</v>
      </c>
      <c r="C28" t="s">
        <v>215</v>
      </c>
      <c r="D28">
        <v>0.8125</v>
      </c>
      <c r="E28" t="s">
        <v>234</v>
      </c>
      <c r="F28" t="s">
        <v>235</v>
      </c>
      <c r="G28" t="s">
        <v>480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22</v>
      </c>
      <c r="Y28" t="s">
        <v>22</v>
      </c>
      <c r="AA28" t="s">
        <v>398</v>
      </c>
      <c r="AB28" t="s">
        <v>399</v>
      </c>
      <c r="AC28" t="s">
        <v>2173</v>
      </c>
      <c r="AD28" t="s">
        <v>480</v>
      </c>
      <c r="AE28" t="s">
        <v>2141</v>
      </c>
      <c r="AF28" t="s">
        <v>2140</v>
      </c>
      <c r="AG28" t="s">
        <v>2140</v>
      </c>
      <c r="AH28" t="s">
        <v>2141</v>
      </c>
      <c r="AI28" t="s">
        <v>2140</v>
      </c>
      <c r="AJ28" t="s">
        <v>2141</v>
      </c>
      <c r="AK28" t="s">
        <v>2140</v>
      </c>
      <c r="AL28" t="s">
        <v>2140</v>
      </c>
      <c r="AM28" t="s">
        <v>2141</v>
      </c>
      <c r="AN28" t="s">
        <v>2141</v>
      </c>
      <c r="AO28" t="s">
        <v>2141</v>
      </c>
      <c r="AP28" t="s">
        <v>2141</v>
      </c>
      <c r="AQ28" t="s">
        <v>2140</v>
      </c>
      <c r="AR28" t="s">
        <v>2141</v>
      </c>
      <c r="AS28" t="s">
        <v>2141</v>
      </c>
      <c r="AT28" t="s">
        <v>2140</v>
      </c>
    </row>
    <row r="29" spans="2:46" x14ac:dyDescent="0.25">
      <c r="B29" t="s">
        <v>473</v>
      </c>
      <c r="C29" t="s">
        <v>215</v>
      </c>
      <c r="D29">
        <v>0.8125</v>
      </c>
      <c r="E29" t="s">
        <v>236</v>
      </c>
      <c r="F29" t="s">
        <v>237</v>
      </c>
      <c r="G29" t="s">
        <v>474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>
        <v>37.5</v>
      </c>
      <c r="Y29">
        <v>22.2</v>
      </c>
      <c r="AA29" t="s">
        <v>400</v>
      </c>
      <c r="AB29" t="s">
        <v>401</v>
      </c>
      <c r="AC29" t="s">
        <v>2174</v>
      </c>
      <c r="AD29" t="s">
        <v>474</v>
      </c>
      <c r="AE29" t="s">
        <v>2140</v>
      </c>
      <c r="AF29" t="s">
        <v>2140</v>
      </c>
      <c r="AG29" t="s">
        <v>2141</v>
      </c>
      <c r="AH29" t="s">
        <v>2140</v>
      </c>
      <c r="AI29" t="s">
        <v>2141</v>
      </c>
      <c r="AJ29" t="s">
        <v>2141</v>
      </c>
      <c r="AK29" t="s">
        <v>2140</v>
      </c>
      <c r="AL29" t="s">
        <v>2141</v>
      </c>
      <c r="AM29" t="s">
        <v>2140</v>
      </c>
      <c r="AN29" t="s">
        <v>2140</v>
      </c>
      <c r="AO29" t="s">
        <v>2140</v>
      </c>
      <c r="AP29" t="s">
        <v>2140</v>
      </c>
      <c r="AQ29" t="s">
        <v>2141</v>
      </c>
      <c r="AR29" t="s">
        <v>2141</v>
      </c>
      <c r="AS29" t="s">
        <v>2140</v>
      </c>
      <c r="AT29" t="s">
        <v>2141</v>
      </c>
    </row>
    <row r="30" spans="2:46" x14ac:dyDescent="0.25">
      <c r="B30" t="s">
        <v>475</v>
      </c>
      <c r="C30" t="s">
        <v>215</v>
      </c>
      <c r="D30">
        <v>0.83333333333333337</v>
      </c>
      <c r="E30" t="s">
        <v>238</v>
      </c>
      <c r="F30" t="s">
        <v>239</v>
      </c>
      <c r="G30" t="s">
        <v>478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>
        <v>0</v>
      </c>
      <c r="Y30">
        <v>0</v>
      </c>
      <c r="AA30" t="s">
        <v>238</v>
      </c>
      <c r="AB30" t="s">
        <v>397</v>
      </c>
      <c r="AC30" t="s">
        <v>2175</v>
      </c>
      <c r="AD30" t="s">
        <v>478</v>
      </c>
      <c r="AE30" t="s">
        <v>2140</v>
      </c>
      <c r="AF30" t="s">
        <v>2140</v>
      </c>
      <c r="AG30" t="s">
        <v>2141</v>
      </c>
      <c r="AH30" t="s">
        <v>2140</v>
      </c>
      <c r="AI30" t="s">
        <v>2141</v>
      </c>
      <c r="AJ30" t="s">
        <v>2141</v>
      </c>
      <c r="AK30" t="s">
        <v>2140</v>
      </c>
      <c r="AL30" t="s">
        <v>2141</v>
      </c>
      <c r="AM30" t="s">
        <v>2140</v>
      </c>
      <c r="AN30" t="s">
        <v>2141</v>
      </c>
      <c r="AO30" t="s">
        <v>2141</v>
      </c>
      <c r="AP30" t="s">
        <v>2141</v>
      </c>
      <c r="AQ30" t="s">
        <v>2140</v>
      </c>
      <c r="AR30" t="s">
        <v>2141</v>
      </c>
      <c r="AS30" t="s">
        <v>2141</v>
      </c>
      <c r="AT30" t="s">
        <v>2140</v>
      </c>
    </row>
    <row r="31" spans="2:46" x14ac:dyDescent="0.25">
      <c r="B31" t="s">
        <v>470</v>
      </c>
      <c r="C31" t="s">
        <v>215</v>
      </c>
      <c r="D31">
        <v>0.875</v>
      </c>
      <c r="E31" t="s">
        <v>240</v>
      </c>
      <c r="F31" t="s">
        <v>241</v>
      </c>
      <c r="G31" t="s">
        <v>480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22</v>
      </c>
      <c r="Y31" t="s">
        <v>22</v>
      </c>
      <c r="AA31" t="s">
        <v>433</v>
      </c>
      <c r="AB31" t="s">
        <v>434</v>
      </c>
      <c r="AC31" t="s">
        <v>2176</v>
      </c>
      <c r="AD31" t="s">
        <v>480</v>
      </c>
      <c r="AE31" t="s">
        <v>2141</v>
      </c>
      <c r="AF31" t="s">
        <v>2140</v>
      </c>
      <c r="AG31" t="s">
        <v>2140</v>
      </c>
      <c r="AH31" t="s">
        <v>2141</v>
      </c>
      <c r="AI31" t="s">
        <v>2140</v>
      </c>
      <c r="AJ31" t="s">
        <v>2141</v>
      </c>
      <c r="AK31" t="s">
        <v>2141</v>
      </c>
      <c r="AL31" t="s">
        <v>2140</v>
      </c>
      <c r="AM31" t="s">
        <v>2140</v>
      </c>
      <c r="AN31" t="s">
        <v>2141</v>
      </c>
      <c r="AO31" t="s">
        <v>2141</v>
      </c>
      <c r="AP31" t="s">
        <v>2141</v>
      </c>
      <c r="AQ31" t="s">
        <v>2140</v>
      </c>
      <c r="AR31" t="s">
        <v>2141</v>
      </c>
      <c r="AS31" t="s">
        <v>2141</v>
      </c>
      <c r="AT31" t="s">
        <v>2140</v>
      </c>
    </row>
    <row r="32" spans="2:46" x14ac:dyDescent="0.25">
      <c r="B32" t="s">
        <v>473</v>
      </c>
      <c r="C32" t="s">
        <v>215</v>
      </c>
      <c r="D32">
        <v>0.89930555555555558</v>
      </c>
      <c r="E32" t="s">
        <v>242</v>
      </c>
      <c r="F32" t="s">
        <v>243</v>
      </c>
      <c r="G32" t="s">
        <v>480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22</v>
      </c>
      <c r="Y32" t="s">
        <v>22</v>
      </c>
      <c r="AA32" t="s">
        <v>402</v>
      </c>
      <c r="AB32" t="s">
        <v>403</v>
      </c>
      <c r="AC32" t="s">
        <v>2177</v>
      </c>
      <c r="AD32" t="s">
        <v>480</v>
      </c>
      <c r="AE32" t="s">
        <v>2141</v>
      </c>
      <c r="AF32" t="s">
        <v>2140</v>
      </c>
      <c r="AG32" t="s">
        <v>2140</v>
      </c>
      <c r="AH32" t="s">
        <v>2141</v>
      </c>
      <c r="AI32" t="s">
        <v>2140</v>
      </c>
      <c r="AJ32" t="s">
        <v>2141</v>
      </c>
      <c r="AK32" t="s">
        <v>2141</v>
      </c>
      <c r="AL32" t="s">
        <v>2140</v>
      </c>
      <c r="AM32" t="s">
        <v>2140</v>
      </c>
      <c r="AN32" t="s">
        <v>2141</v>
      </c>
      <c r="AO32" t="s">
        <v>2141</v>
      </c>
      <c r="AP32" t="s">
        <v>2141</v>
      </c>
      <c r="AQ32" t="s">
        <v>2140</v>
      </c>
      <c r="AR32" t="s">
        <v>2141</v>
      </c>
      <c r="AS32" t="s">
        <v>2141</v>
      </c>
      <c r="AT32" t="s">
        <v>2140</v>
      </c>
    </row>
    <row r="33" spans="2:46" x14ac:dyDescent="0.25">
      <c r="B33" t="s">
        <v>481</v>
      </c>
      <c r="C33" t="s">
        <v>19</v>
      </c>
      <c r="D33">
        <v>0.25</v>
      </c>
      <c r="E33" t="s">
        <v>20</v>
      </c>
      <c r="F33" t="s">
        <v>21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22</v>
      </c>
      <c r="Y33" t="s">
        <v>22</v>
      </c>
      <c r="AA33" t="s">
        <v>912</v>
      </c>
      <c r="AB33" t="s">
        <v>21</v>
      </c>
      <c r="AC33" t="s">
        <v>2178</v>
      </c>
      <c r="AD33" t="s">
        <v>2159</v>
      </c>
      <c r="AE33" t="s">
        <v>2141</v>
      </c>
      <c r="AF33" t="s">
        <v>2140</v>
      </c>
      <c r="AG33" t="s">
        <v>2140</v>
      </c>
      <c r="AH33" t="s">
        <v>2141</v>
      </c>
      <c r="AI33" t="s">
        <v>2140</v>
      </c>
      <c r="AJ33" t="s">
        <v>2141</v>
      </c>
      <c r="AK33" t="s">
        <v>2141</v>
      </c>
      <c r="AL33" t="s">
        <v>2140</v>
      </c>
      <c r="AM33" t="s">
        <v>2140</v>
      </c>
      <c r="AN33" t="s">
        <v>2141</v>
      </c>
      <c r="AO33" t="s">
        <v>2141</v>
      </c>
      <c r="AP33" t="s">
        <v>2141</v>
      </c>
      <c r="AQ33" t="s">
        <v>2140</v>
      </c>
      <c r="AR33" t="s">
        <v>2140</v>
      </c>
      <c r="AS33" t="s">
        <v>2141</v>
      </c>
      <c r="AT33" t="s">
        <v>2140</v>
      </c>
    </row>
    <row r="34" spans="2:46" x14ac:dyDescent="0.25">
      <c r="B34" t="s">
        <v>463</v>
      </c>
      <c r="C34" t="s">
        <v>19</v>
      </c>
      <c r="D34">
        <v>0.27083333333333331</v>
      </c>
      <c r="E34" t="s">
        <v>23</v>
      </c>
      <c r="F34" t="s">
        <v>24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22</v>
      </c>
      <c r="Y34" t="s">
        <v>22</v>
      </c>
      <c r="AA34" t="s">
        <v>910</v>
      </c>
      <c r="AB34" t="s">
        <v>24</v>
      </c>
      <c r="AC34" t="s">
        <v>2179</v>
      </c>
      <c r="AD34" t="s">
        <v>480</v>
      </c>
      <c r="AE34" t="s">
        <v>2141</v>
      </c>
      <c r="AF34" t="s">
        <v>2140</v>
      </c>
      <c r="AG34" t="s">
        <v>2140</v>
      </c>
      <c r="AH34" t="s">
        <v>2141</v>
      </c>
      <c r="AI34" t="s">
        <v>2140</v>
      </c>
      <c r="AJ34" t="s">
        <v>2141</v>
      </c>
      <c r="AK34" t="s">
        <v>2140</v>
      </c>
      <c r="AL34" t="s">
        <v>2141</v>
      </c>
      <c r="AM34" t="s">
        <v>2140</v>
      </c>
      <c r="AN34" t="s">
        <v>2141</v>
      </c>
      <c r="AO34" t="s">
        <v>2141</v>
      </c>
      <c r="AP34" t="s">
        <v>2141</v>
      </c>
      <c r="AQ34" t="s">
        <v>2140</v>
      </c>
      <c r="AR34" t="s">
        <v>2141</v>
      </c>
      <c r="AS34" t="s">
        <v>2141</v>
      </c>
      <c r="AT34" t="s">
        <v>2140</v>
      </c>
    </row>
    <row r="35" spans="2:46" x14ac:dyDescent="0.25">
      <c r="B35" t="s">
        <v>482</v>
      </c>
      <c r="C35" t="s">
        <v>19</v>
      </c>
      <c r="D35">
        <v>0.30208333333333331</v>
      </c>
      <c r="E35" t="s">
        <v>25</v>
      </c>
      <c r="F35" t="s">
        <v>26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22</v>
      </c>
      <c r="Y35" t="s">
        <v>22</v>
      </c>
      <c r="AA35" t="s">
        <v>25</v>
      </c>
      <c r="AB35" t="s">
        <v>26</v>
      </c>
      <c r="AC35" t="s">
        <v>2180</v>
      </c>
      <c r="AD35" t="s">
        <v>2181</v>
      </c>
      <c r="AE35" t="s">
        <v>2141</v>
      </c>
      <c r="AF35" t="s">
        <v>2140</v>
      </c>
      <c r="AG35" t="s">
        <v>2140</v>
      </c>
      <c r="AH35" t="s">
        <v>2141</v>
      </c>
      <c r="AI35" t="s">
        <v>2140</v>
      </c>
      <c r="AJ35" t="s">
        <v>2141</v>
      </c>
      <c r="AK35" t="s">
        <v>2141</v>
      </c>
      <c r="AL35" t="s">
        <v>2140</v>
      </c>
      <c r="AM35" t="s">
        <v>2140</v>
      </c>
      <c r="AN35" t="s">
        <v>2141</v>
      </c>
      <c r="AO35" t="s">
        <v>2141</v>
      </c>
      <c r="AP35" t="s">
        <v>2141</v>
      </c>
      <c r="AQ35" t="s">
        <v>2140</v>
      </c>
      <c r="AR35" t="s">
        <v>2140</v>
      </c>
      <c r="AS35" t="s">
        <v>2141</v>
      </c>
      <c r="AT35" t="s">
        <v>2140</v>
      </c>
    </row>
    <row r="36" spans="2:46" x14ac:dyDescent="0.25">
      <c r="B36" t="s">
        <v>464</v>
      </c>
      <c r="C36" t="s">
        <v>19</v>
      </c>
      <c r="D36">
        <v>0.3125</v>
      </c>
      <c r="E36" t="s">
        <v>27</v>
      </c>
      <c r="F36" t="s">
        <v>28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>
        <v>11.1</v>
      </c>
      <c r="Y36">
        <v>33.299999999999997</v>
      </c>
      <c r="AA36" t="s">
        <v>1614</v>
      </c>
      <c r="AB36" t="s">
        <v>1615</v>
      </c>
      <c r="AC36" t="s">
        <v>2182</v>
      </c>
      <c r="AD36" t="s">
        <v>479</v>
      </c>
      <c r="AE36" t="s">
        <v>2140</v>
      </c>
      <c r="AF36" t="s">
        <v>2140</v>
      </c>
      <c r="AG36" t="s">
        <v>2141</v>
      </c>
      <c r="AH36" t="s">
        <v>2140</v>
      </c>
      <c r="AI36" t="s">
        <v>2141</v>
      </c>
      <c r="AJ36" t="s">
        <v>2141</v>
      </c>
      <c r="AK36" t="s">
        <v>2140</v>
      </c>
      <c r="AL36" t="s">
        <v>2141</v>
      </c>
      <c r="AM36" t="s">
        <v>2140</v>
      </c>
      <c r="AN36" t="s">
        <v>2141</v>
      </c>
      <c r="AO36" t="s">
        <v>2141</v>
      </c>
      <c r="AP36" t="s">
        <v>2141</v>
      </c>
      <c r="AQ36" t="s">
        <v>2140</v>
      </c>
      <c r="AR36" t="s">
        <v>2140</v>
      </c>
      <c r="AS36" t="s">
        <v>2141</v>
      </c>
      <c r="AT36" t="s">
        <v>2140</v>
      </c>
    </row>
    <row r="37" spans="2:46" x14ac:dyDescent="0.25">
      <c r="B37" t="s">
        <v>464</v>
      </c>
      <c r="C37" t="s">
        <v>19</v>
      </c>
      <c r="D37">
        <v>0.3125</v>
      </c>
      <c r="E37" t="s">
        <v>29</v>
      </c>
      <c r="F37" t="s">
        <v>30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>
        <v>12.5</v>
      </c>
      <c r="Y37">
        <v>20</v>
      </c>
      <c r="AA37" t="s">
        <v>29</v>
      </c>
      <c r="AB37" t="s">
        <v>30</v>
      </c>
      <c r="AC37" t="s">
        <v>2183</v>
      </c>
      <c r="AD37" t="s">
        <v>2154</v>
      </c>
      <c r="AE37" t="s">
        <v>2141</v>
      </c>
      <c r="AF37" t="s">
        <v>2140</v>
      </c>
      <c r="AG37" t="s">
        <v>2140</v>
      </c>
      <c r="AH37" t="s">
        <v>2141</v>
      </c>
      <c r="AI37" t="s">
        <v>2140</v>
      </c>
      <c r="AJ37" t="s">
        <v>2141</v>
      </c>
      <c r="AK37" t="s">
        <v>2141</v>
      </c>
      <c r="AL37" t="s">
        <v>2140</v>
      </c>
      <c r="AM37" t="s">
        <v>2140</v>
      </c>
      <c r="AN37" t="s">
        <v>2141</v>
      </c>
      <c r="AO37" t="s">
        <v>2141</v>
      </c>
      <c r="AP37" t="s">
        <v>2141</v>
      </c>
      <c r="AQ37" t="s">
        <v>2140</v>
      </c>
      <c r="AR37" t="s">
        <v>2140</v>
      </c>
      <c r="AS37" t="s">
        <v>2141</v>
      </c>
      <c r="AT37" t="s">
        <v>2140</v>
      </c>
    </row>
    <row r="38" spans="2:46" x14ac:dyDescent="0.25">
      <c r="B38" t="s">
        <v>464</v>
      </c>
      <c r="C38" t="s">
        <v>19</v>
      </c>
      <c r="D38">
        <v>0.3125</v>
      </c>
      <c r="E38" t="s">
        <v>31</v>
      </c>
      <c r="F38" t="s">
        <v>32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>
        <v>11.1</v>
      </c>
      <c r="Y38">
        <v>11.1</v>
      </c>
      <c r="AA38" t="s">
        <v>1616</v>
      </c>
      <c r="AB38" t="s">
        <v>1617</v>
      </c>
      <c r="AC38" t="s">
        <v>2184</v>
      </c>
      <c r="AD38" t="s">
        <v>477</v>
      </c>
      <c r="AE38" t="s">
        <v>2140</v>
      </c>
      <c r="AF38" t="s">
        <v>2141</v>
      </c>
      <c r="AG38" t="s">
        <v>2140</v>
      </c>
      <c r="AH38" t="s">
        <v>2141</v>
      </c>
      <c r="AI38" t="s">
        <v>2141</v>
      </c>
      <c r="AJ38" t="s">
        <v>2140</v>
      </c>
      <c r="AK38" t="s">
        <v>2140</v>
      </c>
      <c r="AL38" t="s">
        <v>2141</v>
      </c>
      <c r="AM38" t="s">
        <v>2140</v>
      </c>
      <c r="AN38" t="s">
        <v>2141</v>
      </c>
      <c r="AO38" t="s">
        <v>2141</v>
      </c>
      <c r="AP38" t="s">
        <v>2140</v>
      </c>
      <c r="AQ38" t="s">
        <v>2141</v>
      </c>
      <c r="AR38" t="s">
        <v>2141</v>
      </c>
      <c r="AS38" t="s">
        <v>2141</v>
      </c>
      <c r="AT38" t="s">
        <v>2140</v>
      </c>
    </row>
    <row r="39" spans="2:46" x14ac:dyDescent="0.25">
      <c r="B39" t="s">
        <v>483</v>
      </c>
      <c r="C39" t="s">
        <v>19</v>
      </c>
      <c r="D39">
        <v>0.58333333333333337</v>
      </c>
      <c r="E39" t="s">
        <v>33</v>
      </c>
      <c r="F39" t="s">
        <v>34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>
        <v>0</v>
      </c>
      <c r="Y39">
        <v>40</v>
      </c>
      <c r="AA39" t="s">
        <v>33</v>
      </c>
      <c r="AB39" t="s">
        <v>1772</v>
      </c>
      <c r="AC39" t="s">
        <v>2185</v>
      </c>
      <c r="AD39" t="s">
        <v>2186</v>
      </c>
      <c r="AE39" t="s">
        <v>2141</v>
      </c>
      <c r="AF39" t="s">
        <v>2140</v>
      </c>
      <c r="AG39" t="s">
        <v>2140</v>
      </c>
      <c r="AH39" t="s">
        <v>2141</v>
      </c>
      <c r="AI39" t="s">
        <v>2140</v>
      </c>
      <c r="AJ39" t="s">
        <v>2141</v>
      </c>
      <c r="AK39" t="s">
        <v>2141</v>
      </c>
      <c r="AL39" t="s">
        <v>2140</v>
      </c>
      <c r="AM39" t="s">
        <v>2140</v>
      </c>
      <c r="AN39" t="s">
        <v>2141</v>
      </c>
      <c r="AO39" t="s">
        <v>2141</v>
      </c>
      <c r="AP39" t="s">
        <v>2141</v>
      </c>
      <c r="AQ39" t="s">
        <v>2140</v>
      </c>
      <c r="AR39" t="s">
        <v>2141</v>
      </c>
      <c r="AS39" t="s">
        <v>2140</v>
      </c>
      <c r="AT39" t="s">
        <v>2141</v>
      </c>
    </row>
    <row r="40" spans="2:46" x14ac:dyDescent="0.25">
      <c r="B40" t="s">
        <v>483</v>
      </c>
      <c r="C40" t="s">
        <v>19</v>
      </c>
      <c r="D40">
        <v>0.58333333333333337</v>
      </c>
      <c r="E40" t="s">
        <v>35</v>
      </c>
      <c r="F40" t="s">
        <v>36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22</v>
      </c>
      <c r="Y40" t="s">
        <v>22</v>
      </c>
      <c r="AA40" t="s">
        <v>35</v>
      </c>
      <c r="AB40" t="s">
        <v>1771</v>
      </c>
      <c r="AC40" t="s">
        <v>2187</v>
      </c>
      <c r="AD40" t="s">
        <v>478</v>
      </c>
      <c r="AE40" t="s">
        <v>2140</v>
      </c>
      <c r="AF40" t="s">
        <v>2140</v>
      </c>
      <c r="AG40" t="s">
        <v>2141</v>
      </c>
      <c r="AH40" t="s">
        <v>2140</v>
      </c>
      <c r="AI40" t="s">
        <v>2141</v>
      </c>
      <c r="AJ40" t="s">
        <v>2141</v>
      </c>
      <c r="AK40" t="s">
        <v>2140</v>
      </c>
      <c r="AL40" t="s">
        <v>2140</v>
      </c>
      <c r="AM40" t="s">
        <v>2141</v>
      </c>
      <c r="AN40" t="s">
        <v>2141</v>
      </c>
      <c r="AO40" t="s">
        <v>2141</v>
      </c>
      <c r="AP40" t="s">
        <v>2141</v>
      </c>
      <c r="AQ40" t="s">
        <v>2140</v>
      </c>
      <c r="AR40" t="s">
        <v>2141</v>
      </c>
      <c r="AS40" t="s">
        <v>2141</v>
      </c>
      <c r="AT40" t="s">
        <v>2140</v>
      </c>
    </row>
    <row r="41" spans="2:46" x14ac:dyDescent="0.25">
      <c r="B41" t="s">
        <v>470</v>
      </c>
      <c r="C41" t="s">
        <v>19</v>
      </c>
      <c r="D41">
        <v>0.66666666666666663</v>
      </c>
      <c r="E41" t="s">
        <v>37</v>
      </c>
      <c r="F41" t="s">
        <v>38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>
        <v>0</v>
      </c>
      <c r="Y41">
        <v>10</v>
      </c>
      <c r="AA41" t="s">
        <v>1858</v>
      </c>
      <c r="AB41" t="s">
        <v>1859</v>
      </c>
      <c r="AC41" t="s">
        <v>2188</v>
      </c>
      <c r="AD41" t="s">
        <v>2186</v>
      </c>
      <c r="AE41" t="s">
        <v>2141</v>
      </c>
      <c r="AF41" t="s">
        <v>2140</v>
      </c>
      <c r="AG41" t="s">
        <v>2140</v>
      </c>
      <c r="AH41" t="s">
        <v>2141</v>
      </c>
      <c r="AI41" t="s">
        <v>2140</v>
      </c>
      <c r="AJ41" t="s">
        <v>2141</v>
      </c>
      <c r="AK41" t="s">
        <v>2141</v>
      </c>
      <c r="AL41" t="s">
        <v>2140</v>
      </c>
      <c r="AM41" t="s">
        <v>2140</v>
      </c>
      <c r="AN41" t="s">
        <v>2141</v>
      </c>
      <c r="AO41" t="s">
        <v>2141</v>
      </c>
      <c r="AP41" t="s">
        <v>2141</v>
      </c>
      <c r="AQ41" t="s">
        <v>2140</v>
      </c>
      <c r="AR41" t="s">
        <v>2141</v>
      </c>
      <c r="AS41" t="s">
        <v>2140</v>
      </c>
      <c r="AT41" t="s">
        <v>2141</v>
      </c>
    </row>
    <row r="42" spans="2:46" x14ac:dyDescent="0.25">
      <c r="B42" t="s">
        <v>470</v>
      </c>
      <c r="C42" t="s">
        <v>19</v>
      </c>
      <c r="D42">
        <v>0.77083333333333337</v>
      </c>
      <c r="E42" t="s">
        <v>39</v>
      </c>
      <c r="F42" t="s">
        <v>40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>
        <v>30</v>
      </c>
      <c r="Y42">
        <v>11.1</v>
      </c>
      <c r="AA42" t="s">
        <v>39</v>
      </c>
      <c r="AB42" t="s">
        <v>40</v>
      </c>
      <c r="AC42" t="s">
        <v>2189</v>
      </c>
      <c r="AD42" t="s">
        <v>2186</v>
      </c>
      <c r="AE42" t="s">
        <v>2141</v>
      </c>
      <c r="AF42" t="s">
        <v>2140</v>
      </c>
      <c r="AG42" t="s">
        <v>2140</v>
      </c>
      <c r="AH42" t="s">
        <v>2141</v>
      </c>
      <c r="AI42" t="s">
        <v>2140</v>
      </c>
      <c r="AJ42" t="s">
        <v>2141</v>
      </c>
      <c r="AK42" t="s">
        <v>2141</v>
      </c>
      <c r="AL42" t="s">
        <v>2140</v>
      </c>
      <c r="AM42" t="s">
        <v>2140</v>
      </c>
      <c r="AN42" t="s">
        <v>2141</v>
      </c>
      <c r="AO42" t="s">
        <v>2141</v>
      </c>
      <c r="AP42" t="s">
        <v>2141</v>
      </c>
      <c r="AQ42" t="s">
        <v>2140</v>
      </c>
      <c r="AR42" t="s">
        <v>2141</v>
      </c>
      <c r="AS42" t="s">
        <v>2140</v>
      </c>
      <c r="AT42" t="s">
        <v>2141</v>
      </c>
    </row>
    <row r="43" spans="2:46" x14ac:dyDescent="0.25">
      <c r="B43" t="s">
        <v>472</v>
      </c>
      <c r="C43" t="s">
        <v>19</v>
      </c>
      <c r="D43">
        <v>0.8125</v>
      </c>
      <c r="E43" t="s">
        <v>41</v>
      </c>
      <c r="F43" t="s">
        <v>42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22</v>
      </c>
      <c r="Y43" t="s">
        <v>22</v>
      </c>
      <c r="AA43" t="s">
        <v>893</v>
      </c>
      <c r="AB43" t="s">
        <v>42</v>
      </c>
      <c r="AC43" t="s">
        <v>2190</v>
      </c>
      <c r="AD43" t="s">
        <v>2139</v>
      </c>
      <c r="AE43" t="s">
        <v>2140</v>
      </c>
      <c r="AF43" t="s">
        <v>2140</v>
      </c>
      <c r="AG43" t="s">
        <v>2141</v>
      </c>
      <c r="AH43" t="s">
        <v>2140</v>
      </c>
      <c r="AI43" t="s">
        <v>2141</v>
      </c>
      <c r="AJ43" t="s">
        <v>2141</v>
      </c>
      <c r="AK43" t="s">
        <v>2140</v>
      </c>
      <c r="AL43" t="s">
        <v>2140</v>
      </c>
      <c r="AM43" t="s">
        <v>2141</v>
      </c>
      <c r="AN43" t="s">
        <v>2141</v>
      </c>
      <c r="AO43" t="s">
        <v>2141</v>
      </c>
      <c r="AP43" t="s">
        <v>2141</v>
      </c>
      <c r="AQ43" t="s">
        <v>2140</v>
      </c>
      <c r="AR43" t="s">
        <v>2140</v>
      </c>
      <c r="AS43" t="s">
        <v>2141</v>
      </c>
      <c r="AT43" t="s">
        <v>2140</v>
      </c>
    </row>
    <row r="44" spans="2:46" x14ac:dyDescent="0.25">
      <c r="B44" t="s">
        <v>473</v>
      </c>
      <c r="C44" t="s">
        <v>19</v>
      </c>
      <c r="D44">
        <v>0.8125</v>
      </c>
      <c r="E44" t="s">
        <v>43</v>
      </c>
      <c r="F44" t="s">
        <v>44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22</v>
      </c>
      <c r="Y44" t="s">
        <v>22</v>
      </c>
      <c r="AA44" t="s">
        <v>930</v>
      </c>
      <c r="AB44" t="s">
        <v>931</v>
      </c>
      <c r="AC44" t="s">
        <v>2191</v>
      </c>
      <c r="AD44" t="s">
        <v>474</v>
      </c>
      <c r="AE44" t="s">
        <v>2140</v>
      </c>
      <c r="AF44" t="s">
        <v>2140</v>
      </c>
      <c r="AG44" t="s">
        <v>2141</v>
      </c>
      <c r="AH44" t="s">
        <v>2140</v>
      </c>
      <c r="AI44" t="s">
        <v>2141</v>
      </c>
      <c r="AJ44" t="s">
        <v>2141</v>
      </c>
      <c r="AK44" t="s">
        <v>2140</v>
      </c>
      <c r="AL44" t="s">
        <v>2140</v>
      </c>
      <c r="AM44" t="s">
        <v>2141</v>
      </c>
      <c r="AN44" t="s">
        <v>2141</v>
      </c>
      <c r="AO44" t="s">
        <v>2140</v>
      </c>
      <c r="AP44" t="s">
        <v>2140</v>
      </c>
      <c r="AQ44" t="s">
        <v>2141</v>
      </c>
      <c r="AR44" t="s">
        <v>2141</v>
      </c>
      <c r="AS44" t="s">
        <v>2140</v>
      </c>
      <c r="AT44" t="s">
        <v>2141</v>
      </c>
    </row>
    <row r="45" spans="2:46" x14ac:dyDescent="0.25">
      <c r="B45" t="s">
        <v>473</v>
      </c>
      <c r="C45" t="s">
        <v>19</v>
      </c>
      <c r="D45">
        <v>0.8125</v>
      </c>
      <c r="E45" t="s">
        <v>45</v>
      </c>
      <c r="F45" t="s">
        <v>46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22</v>
      </c>
      <c r="Y45" t="s">
        <v>22</v>
      </c>
      <c r="AA45" t="s">
        <v>932</v>
      </c>
      <c r="AB45" t="s">
        <v>46</v>
      </c>
      <c r="AC45" t="s">
        <v>2192</v>
      </c>
      <c r="AD45" t="s">
        <v>2193</v>
      </c>
      <c r="AE45" t="s">
        <v>2141</v>
      </c>
      <c r="AF45" t="s">
        <v>2140</v>
      </c>
      <c r="AG45" t="s">
        <v>2140</v>
      </c>
      <c r="AH45" t="s">
        <v>2141</v>
      </c>
      <c r="AI45" t="s">
        <v>2140</v>
      </c>
      <c r="AJ45" t="s">
        <v>2141</v>
      </c>
      <c r="AK45" t="s">
        <v>2140</v>
      </c>
      <c r="AL45" t="s">
        <v>2141</v>
      </c>
      <c r="AM45" t="s">
        <v>2140</v>
      </c>
      <c r="AN45" t="s">
        <v>2141</v>
      </c>
      <c r="AO45" t="s">
        <v>2141</v>
      </c>
      <c r="AP45" t="s">
        <v>2141</v>
      </c>
      <c r="AQ45" t="s">
        <v>2140</v>
      </c>
      <c r="AR45" t="s">
        <v>2140</v>
      </c>
      <c r="AS45" t="s">
        <v>2141</v>
      </c>
      <c r="AT45" t="s">
        <v>2140</v>
      </c>
    </row>
    <row r="46" spans="2:46" x14ac:dyDescent="0.25">
      <c r="B46" t="s">
        <v>484</v>
      </c>
      <c r="C46" t="s">
        <v>19</v>
      </c>
      <c r="D46">
        <v>0.8125</v>
      </c>
      <c r="E46" t="s">
        <v>47</v>
      </c>
      <c r="F46" t="s">
        <v>48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>
        <v>0</v>
      </c>
      <c r="Y46">
        <v>20</v>
      </c>
      <c r="AA46" t="s">
        <v>1888</v>
      </c>
      <c r="AB46" t="s">
        <v>1889</v>
      </c>
      <c r="AC46" t="s">
        <v>2194</v>
      </c>
      <c r="AD46" t="s">
        <v>2195</v>
      </c>
      <c r="AE46" t="s">
        <v>2141</v>
      </c>
      <c r="AF46" t="s">
        <v>2140</v>
      </c>
      <c r="AG46" t="s">
        <v>2140</v>
      </c>
      <c r="AH46" t="s">
        <v>2141</v>
      </c>
      <c r="AI46" t="s">
        <v>2140</v>
      </c>
      <c r="AJ46" t="s">
        <v>2141</v>
      </c>
      <c r="AK46" t="s">
        <v>2141</v>
      </c>
      <c r="AL46" t="s">
        <v>2140</v>
      </c>
      <c r="AM46" t="s">
        <v>2140</v>
      </c>
      <c r="AN46" t="s">
        <v>2141</v>
      </c>
      <c r="AO46" t="s">
        <v>2141</v>
      </c>
      <c r="AP46" t="s">
        <v>2141</v>
      </c>
      <c r="AQ46" t="s">
        <v>2140</v>
      </c>
      <c r="AR46" t="s">
        <v>2140</v>
      </c>
      <c r="AS46" t="s">
        <v>2140</v>
      </c>
      <c r="AT46" t="s">
        <v>2141</v>
      </c>
    </row>
    <row r="47" spans="2:46" x14ac:dyDescent="0.25">
      <c r="B47" t="s">
        <v>485</v>
      </c>
      <c r="C47" t="s">
        <v>19</v>
      </c>
      <c r="D47">
        <v>0.83333333333333337</v>
      </c>
      <c r="E47" t="s">
        <v>49</v>
      </c>
      <c r="F47" t="s">
        <v>50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>
        <v>0</v>
      </c>
      <c r="Y47">
        <v>57.1</v>
      </c>
      <c r="AA47" t="s">
        <v>49</v>
      </c>
      <c r="AB47" t="s">
        <v>50</v>
      </c>
      <c r="AC47" t="s">
        <v>2196</v>
      </c>
      <c r="AD47" t="s">
        <v>2149</v>
      </c>
      <c r="AE47" t="s">
        <v>2141</v>
      </c>
      <c r="AF47" t="s">
        <v>2140</v>
      </c>
      <c r="AG47" t="s">
        <v>2140</v>
      </c>
      <c r="AH47" t="s">
        <v>2141</v>
      </c>
      <c r="AI47" t="s">
        <v>2140</v>
      </c>
      <c r="AJ47" t="s">
        <v>2141</v>
      </c>
      <c r="AK47" t="s">
        <v>2140</v>
      </c>
      <c r="AL47" t="s">
        <v>2141</v>
      </c>
      <c r="AM47" t="s">
        <v>2140</v>
      </c>
      <c r="AN47" t="s">
        <v>2140</v>
      </c>
      <c r="AO47" t="s">
        <v>2141</v>
      </c>
      <c r="AP47" t="s">
        <v>2140</v>
      </c>
      <c r="AQ47" t="s">
        <v>2141</v>
      </c>
      <c r="AR47" t="s">
        <v>2141</v>
      </c>
      <c r="AS47" t="s">
        <v>2140</v>
      </c>
      <c r="AT47" t="s">
        <v>2141</v>
      </c>
    </row>
    <row r="48" spans="2:46" x14ac:dyDescent="0.25">
      <c r="B48" t="s">
        <v>473</v>
      </c>
      <c r="C48" t="s">
        <v>19</v>
      </c>
      <c r="D48">
        <v>0.85416666666666663</v>
      </c>
      <c r="E48" t="s">
        <v>51</v>
      </c>
      <c r="F48" t="s">
        <v>52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>
        <v>25</v>
      </c>
      <c r="Y48">
        <v>0</v>
      </c>
      <c r="AA48" t="s">
        <v>933</v>
      </c>
      <c r="AB48" t="s">
        <v>52</v>
      </c>
      <c r="AC48" t="s">
        <v>2197</v>
      </c>
      <c r="AD48" t="s">
        <v>477</v>
      </c>
      <c r="AE48" t="s">
        <v>2140</v>
      </c>
      <c r="AF48" t="s">
        <v>2141</v>
      </c>
      <c r="AG48" t="s">
        <v>2140</v>
      </c>
      <c r="AH48" t="s">
        <v>2141</v>
      </c>
      <c r="AI48" t="s">
        <v>2141</v>
      </c>
      <c r="AJ48" t="s">
        <v>2140</v>
      </c>
      <c r="AK48" t="s">
        <v>2140</v>
      </c>
      <c r="AL48" t="s">
        <v>2140</v>
      </c>
      <c r="AM48" t="s">
        <v>2141</v>
      </c>
      <c r="AN48" t="s">
        <v>2141</v>
      </c>
      <c r="AO48" t="s">
        <v>2141</v>
      </c>
      <c r="AP48" t="s">
        <v>2140</v>
      </c>
      <c r="AQ48" t="s">
        <v>2141</v>
      </c>
      <c r="AR48" t="s">
        <v>2141</v>
      </c>
      <c r="AS48" t="s">
        <v>2141</v>
      </c>
      <c r="AT48" t="s">
        <v>2140</v>
      </c>
    </row>
    <row r="49" spans="2:46" x14ac:dyDescent="0.25">
      <c r="B49" t="s">
        <v>486</v>
      </c>
      <c r="C49" t="s">
        <v>19</v>
      </c>
      <c r="D49">
        <v>0.85416666666666663</v>
      </c>
      <c r="E49" t="s">
        <v>53</v>
      </c>
      <c r="F49" t="s">
        <v>54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>
        <v>14.3</v>
      </c>
      <c r="Y49">
        <v>28.6</v>
      </c>
      <c r="AA49" t="s">
        <v>878</v>
      </c>
      <c r="AB49" t="s">
        <v>879</v>
      </c>
      <c r="AC49" t="s">
        <v>2198</v>
      </c>
      <c r="AD49" t="s">
        <v>478</v>
      </c>
      <c r="AE49" t="s">
        <v>2140</v>
      </c>
      <c r="AF49" t="s">
        <v>2140</v>
      </c>
      <c r="AG49" t="s">
        <v>2141</v>
      </c>
      <c r="AH49" t="s">
        <v>2140</v>
      </c>
      <c r="AI49" t="s">
        <v>2141</v>
      </c>
      <c r="AJ49" t="s">
        <v>2141</v>
      </c>
      <c r="AK49" t="s">
        <v>2140</v>
      </c>
      <c r="AL49" t="s">
        <v>2140</v>
      </c>
      <c r="AM49" t="s">
        <v>2141</v>
      </c>
      <c r="AN49" t="s">
        <v>2141</v>
      </c>
      <c r="AO49" t="s">
        <v>2141</v>
      </c>
      <c r="AP49" t="s">
        <v>2141</v>
      </c>
      <c r="AQ49" t="s">
        <v>2140</v>
      </c>
      <c r="AR49" t="s">
        <v>2141</v>
      </c>
      <c r="AS49" t="s">
        <v>2141</v>
      </c>
      <c r="AT49" t="s">
        <v>2140</v>
      </c>
    </row>
    <row r="50" spans="2:46" x14ac:dyDescent="0.25">
      <c r="B50" t="s">
        <v>486</v>
      </c>
      <c r="C50" t="s">
        <v>19</v>
      </c>
      <c r="D50">
        <v>0.85416666666666663</v>
      </c>
      <c r="E50" t="s">
        <v>55</v>
      </c>
      <c r="F50" t="s">
        <v>56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>
        <v>14.3</v>
      </c>
      <c r="Y50">
        <v>33.299999999999997</v>
      </c>
      <c r="AA50" t="s">
        <v>55</v>
      </c>
      <c r="AB50" t="s">
        <v>56</v>
      </c>
      <c r="AC50" t="s">
        <v>2199</v>
      </c>
      <c r="AD50" t="s">
        <v>2200</v>
      </c>
      <c r="AE50" t="s">
        <v>2141</v>
      </c>
      <c r="AF50" t="s">
        <v>2140</v>
      </c>
      <c r="AG50" t="s">
        <v>2140</v>
      </c>
      <c r="AH50" t="s">
        <v>2141</v>
      </c>
      <c r="AI50" t="s">
        <v>2140</v>
      </c>
      <c r="AJ50" t="s">
        <v>2141</v>
      </c>
      <c r="AK50" t="s">
        <v>2141</v>
      </c>
      <c r="AL50" t="s">
        <v>2140</v>
      </c>
      <c r="AM50" t="s">
        <v>2140</v>
      </c>
      <c r="AN50" t="s">
        <v>2141</v>
      </c>
      <c r="AO50" t="s">
        <v>2141</v>
      </c>
      <c r="AP50" t="s">
        <v>2141</v>
      </c>
      <c r="AQ50" t="s">
        <v>2140</v>
      </c>
      <c r="AR50" t="s">
        <v>2140</v>
      </c>
      <c r="AS50" t="s">
        <v>2141</v>
      </c>
      <c r="AT50" t="s">
        <v>2140</v>
      </c>
    </row>
    <row r="51" spans="2:46" x14ac:dyDescent="0.25">
      <c r="B51" t="s">
        <v>486</v>
      </c>
      <c r="C51" t="s">
        <v>19</v>
      </c>
      <c r="D51">
        <v>0.85416666666666663</v>
      </c>
      <c r="E51" t="s">
        <v>57</v>
      </c>
      <c r="F51" t="s">
        <v>58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>
        <v>50</v>
      </c>
      <c r="Y51">
        <v>0</v>
      </c>
      <c r="AA51" t="s">
        <v>57</v>
      </c>
      <c r="AB51" t="s">
        <v>58</v>
      </c>
      <c r="AC51" t="s">
        <v>2201</v>
      </c>
      <c r="AD51" t="s">
        <v>2193</v>
      </c>
      <c r="AE51" t="s">
        <v>2141</v>
      </c>
      <c r="AF51" t="s">
        <v>2140</v>
      </c>
      <c r="AG51" t="s">
        <v>2140</v>
      </c>
      <c r="AH51" t="s">
        <v>2141</v>
      </c>
      <c r="AI51" t="s">
        <v>2140</v>
      </c>
      <c r="AJ51" t="s">
        <v>2141</v>
      </c>
      <c r="AK51" t="s">
        <v>2140</v>
      </c>
      <c r="AL51" t="s">
        <v>2141</v>
      </c>
      <c r="AM51" t="s">
        <v>2140</v>
      </c>
      <c r="AN51" t="s">
        <v>2141</v>
      </c>
      <c r="AO51" t="s">
        <v>2141</v>
      </c>
      <c r="AP51" t="s">
        <v>2141</v>
      </c>
      <c r="AQ51" t="s">
        <v>2140</v>
      </c>
      <c r="AR51" t="s">
        <v>2140</v>
      </c>
      <c r="AS51" t="s">
        <v>2141</v>
      </c>
      <c r="AT51" t="s">
        <v>2140</v>
      </c>
    </row>
    <row r="52" spans="2:46" x14ac:dyDescent="0.25">
      <c r="B52" t="s">
        <v>486</v>
      </c>
      <c r="C52" t="s">
        <v>19</v>
      </c>
      <c r="D52">
        <v>0.85416666666666663</v>
      </c>
      <c r="E52" t="s">
        <v>59</v>
      </c>
      <c r="F52" t="s">
        <v>60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>
        <v>25</v>
      </c>
      <c r="Y52">
        <v>16.7</v>
      </c>
      <c r="AA52" t="s">
        <v>59</v>
      </c>
      <c r="AB52" t="s">
        <v>60</v>
      </c>
      <c r="AC52" t="s">
        <v>2202</v>
      </c>
      <c r="AD52" t="s">
        <v>465</v>
      </c>
      <c r="AE52" t="s">
        <v>2140</v>
      </c>
      <c r="AF52" t="s">
        <v>2141</v>
      </c>
      <c r="AG52" t="s">
        <v>2140</v>
      </c>
      <c r="AH52" t="s">
        <v>2141</v>
      </c>
      <c r="AI52" t="s">
        <v>2141</v>
      </c>
      <c r="AJ52" t="s">
        <v>2140</v>
      </c>
      <c r="AK52" t="s">
        <v>2140</v>
      </c>
      <c r="AL52" t="s">
        <v>2141</v>
      </c>
      <c r="AM52" t="s">
        <v>2140</v>
      </c>
      <c r="AN52" t="s">
        <v>2140</v>
      </c>
      <c r="AO52" t="s">
        <v>2140</v>
      </c>
      <c r="AP52" t="s">
        <v>2140</v>
      </c>
      <c r="AQ52" t="s">
        <v>2141</v>
      </c>
      <c r="AR52" t="s">
        <v>2141</v>
      </c>
      <c r="AS52" t="s">
        <v>2140</v>
      </c>
      <c r="AT52" t="s">
        <v>2141</v>
      </c>
    </row>
    <row r="53" spans="2:46" x14ac:dyDescent="0.25">
      <c r="B53" t="s">
        <v>486</v>
      </c>
      <c r="C53" t="s">
        <v>19</v>
      </c>
      <c r="D53">
        <v>0.85416666666666663</v>
      </c>
      <c r="E53" t="s">
        <v>61</v>
      </c>
      <c r="F53" t="s">
        <v>62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>
        <v>16.7</v>
      </c>
      <c r="Y53">
        <v>37.5</v>
      </c>
      <c r="AA53" t="s">
        <v>61</v>
      </c>
      <c r="AB53" t="s">
        <v>62</v>
      </c>
      <c r="AC53" t="s">
        <v>2203</v>
      </c>
      <c r="AD53" t="s">
        <v>2154</v>
      </c>
      <c r="AE53" t="s">
        <v>2141</v>
      </c>
      <c r="AF53" t="s">
        <v>2140</v>
      </c>
      <c r="AG53" t="s">
        <v>2140</v>
      </c>
      <c r="AH53" t="s">
        <v>2141</v>
      </c>
      <c r="AI53" t="s">
        <v>2140</v>
      </c>
      <c r="AJ53" t="s">
        <v>2141</v>
      </c>
      <c r="AK53" t="s">
        <v>2140</v>
      </c>
      <c r="AL53" t="s">
        <v>2141</v>
      </c>
      <c r="AM53" t="s">
        <v>2140</v>
      </c>
      <c r="AN53" t="s">
        <v>2141</v>
      </c>
      <c r="AO53" t="s">
        <v>2141</v>
      </c>
      <c r="AP53" t="s">
        <v>2141</v>
      </c>
      <c r="AQ53" t="s">
        <v>2140</v>
      </c>
      <c r="AR53" t="s">
        <v>2140</v>
      </c>
      <c r="AS53" t="s">
        <v>2141</v>
      </c>
      <c r="AT53" t="s">
        <v>2140</v>
      </c>
    </row>
    <row r="54" spans="2:46" x14ac:dyDescent="0.25">
      <c r="B54" t="s">
        <v>470</v>
      </c>
      <c r="C54" t="s">
        <v>19</v>
      </c>
      <c r="D54">
        <v>0.875</v>
      </c>
      <c r="E54" t="s">
        <v>63</v>
      </c>
      <c r="F54" t="s">
        <v>64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>
        <v>10</v>
      </c>
      <c r="Y54">
        <v>10</v>
      </c>
      <c r="AA54" t="s">
        <v>63</v>
      </c>
      <c r="AB54" t="s">
        <v>64</v>
      </c>
      <c r="AC54" t="s">
        <v>2204</v>
      </c>
      <c r="AD54" t="s">
        <v>477</v>
      </c>
      <c r="AE54" t="s">
        <v>2140</v>
      </c>
      <c r="AF54" t="s">
        <v>2141</v>
      </c>
      <c r="AG54" t="s">
        <v>2140</v>
      </c>
      <c r="AH54" t="s">
        <v>2141</v>
      </c>
      <c r="AI54" t="s">
        <v>2141</v>
      </c>
      <c r="AJ54" t="s">
        <v>2140</v>
      </c>
      <c r="AK54" t="s">
        <v>2140</v>
      </c>
      <c r="AL54" t="s">
        <v>2140</v>
      </c>
      <c r="AM54" t="s">
        <v>2141</v>
      </c>
      <c r="AN54" t="s">
        <v>2141</v>
      </c>
      <c r="AO54" t="s">
        <v>2141</v>
      </c>
      <c r="AP54" t="s">
        <v>2140</v>
      </c>
      <c r="AQ54" t="s">
        <v>2141</v>
      </c>
      <c r="AR54" t="s">
        <v>2141</v>
      </c>
      <c r="AS54" t="s">
        <v>2141</v>
      </c>
      <c r="AT54" t="s">
        <v>2140</v>
      </c>
    </row>
    <row r="55" spans="2:46" x14ac:dyDescent="0.25">
      <c r="B55" t="s">
        <v>486</v>
      </c>
      <c r="C55" t="s">
        <v>19</v>
      </c>
      <c r="D55">
        <v>0.88541666666666663</v>
      </c>
      <c r="E55" t="s">
        <v>65</v>
      </c>
      <c r="F55" t="s">
        <v>66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>
        <v>11.1</v>
      </c>
      <c r="Y55">
        <v>0</v>
      </c>
      <c r="AA55" t="s">
        <v>65</v>
      </c>
      <c r="AB55" t="s">
        <v>880</v>
      </c>
      <c r="AC55" t="s">
        <v>2205</v>
      </c>
      <c r="AD55" t="s">
        <v>2144</v>
      </c>
      <c r="AE55" t="s">
        <v>2140</v>
      </c>
      <c r="AF55" t="s">
        <v>2141</v>
      </c>
      <c r="AG55" t="s">
        <v>2140</v>
      </c>
      <c r="AH55" t="s">
        <v>2141</v>
      </c>
      <c r="AI55" t="s">
        <v>2141</v>
      </c>
      <c r="AJ55" t="s">
        <v>2140</v>
      </c>
      <c r="AK55" t="s">
        <v>2141</v>
      </c>
      <c r="AL55" t="s">
        <v>2140</v>
      </c>
      <c r="AM55" t="s">
        <v>2140</v>
      </c>
      <c r="AN55" t="s">
        <v>2141</v>
      </c>
      <c r="AO55" t="s">
        <v>2141</v>
      </c>
      <c r="AP55" t="s">
        <v>2141</v>
      </c>
      <c r="AQ55" t="s">
        <v>2140</v>
      </c>
      <c r="AR55" t="s">
        <v>2140</v>
      </c>
      <c r="AS55" t="s">
        <v>2141</v>
      </c>
      <c r="AT55" t="s">
        <v>2140</v>
      </c>
    </row>
    <row r="56" spans="2:46" x14ac:dyDescent="0.25">
      <c r="B56" t="s">
        <v>472</v>
      </c>
      <c r="C56" t="s">
        <v>19</v>
      </c>
      <c r="D56">
        <v>0.89583333333333337</v>
      </c>
      <c r="E56" t="s">
        <v>67</v>
      </c>
      <c r="F56" t="s">
        <v>68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22</v>
      </c>
      <c r="Y56" t="s">
        <v>22</v>
      </c>
      <c r="AA56" t="s">
        <v>67</v>
      </c>
      <c r="AB56" t="s">
        <v>894</v>
      </c>
      <c r="AC56" t="s">
        <v>2206</v>
      </c>
      <c r="AD56" t="s">
        <v>2207</v>
      </c>
      <c r="AE56" t="s">
        <v>2140</v>
      </c>
      <c r="AF56" t="s">
        <v>2140</v>
      </c>
      <c r="AG56" t="s">
        <v>2141</v>
      </c>
      <c r="AH56" t="s">
        <v>2140</v>
      </c>
      <c r="AI56" t="s">
        <v>2141</v>
      </c>
      <c r="AJ56" t="s">
        <v>2141</v>
      </c>
      <c r="AK56" t="s">
        <v>2140</v>
      </c>
      <c r="AL56" t="s">
        <v>2140</v>
      </c>
      <c r="AM56" t="s">
        <v>2141</v>
      </c>
      <c r="AN56" t="s">
        <v>2141</v>
      </c>
      <c r="AO56" t="s">
        <v>2141</v>
      </c>
      <c r="AP56" t="s">
        <v>2141</v>
      </c>
      <c r="AQ56" t="s">
        <v>2140</v>
      </c>
      <c r="AR56" t="s">
        <v>2140</v>
      </c>
      <c r="AS56" t="s">
        <v>2140</v>
      </c>
      <c r="AT56" t="s">
        <v>2141</v>
      </c>
    </row>
    <row r="57" spans="2:46" x14ac:dyDescent="0.25">
      <c r="B57" t="s">
        <v>472</v>
      </c>
      <c r="C57" t="s">
        <v>19</v>
      </c>
      <c r="D57">
        <v>0.89583333333333337</v>
      </c>
      <c r="E57" t="s">
        <v>69</v>
      </c>
      <c r="F57" t="s">
        <v>70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22</v>
      </c>
      <c r="Y57" t="s">
        <v>22</v>
      </c>
      <c r="AA57" t="s">
        <v>69</v>
      </c>
      <c r="AB57" t="s">
        <v>70</v>
      </c>
      <c r="AC57" t="s">
        <v>2208</v>
      </c>
      <c r="AD57" t="s">
        <v>478</v>
      </c>
      <c r="AE57" t="s">
        <v>2140</v>
      </c>
      <c r="AF57" t="s">
        <v>2140</v>
      </c>
      <c r="AG57" t="s">
        <v>2141</v>
      </c>
      <c r="AH57" t="s">
        <v>2140</v>
      </c>
      <c r="AI57" t="s">
        <v>2141</v>
      </c>
      <c r="AJ57" t="s">
        <v>2141</v>
      </c>
      <c r="AK57" t="s">
        <v>2140</v>
      </c>
      <c r="AL57" t="s">
        <v>2140</v>
      </c>
      <c r="AM57" t="s">
        <v>2141</v>
      </c>
      <c r="AN57" t="s">
        <v>2141</v>
      </c>
      <c r="AO57" t="s">
        <v>2141</v>
      </c>
      <c r="AP57" t="s">
        <v>2141</v>
      </c>
      <c r="AQ57" t="s">
        <v>2140</v>
      </c>
      <c r="AR57" t="s">
        <v>2141</v>
      </c>
      <c r="AS57" t="s">
        <v>2141</v>
      </c>
      <c r="AT57" t="s">
        <v>2140</v>
      </c>
    </row>
    <row r="58" spans="2:46" x14ac:dyDescent="0.25">
      <c r="B58" t="s">
        <v>472</v>
      </c>
      <c r="C58" t="s">
        <v>19</v>
      </c>
      <c r="D58">
        <v>0.89583333333333337</v>
      </c>
      <c r="E58" t="s">
        <v>71</v>
      </c>
      <c r="F58" t="s">
        <v>72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>
        <v>25</v>
      </c>
      <c r="Y58">
        <v>50</v>
      </c>
      <c r="AA58" t="s">
        <v>895</v>
      </c>
      <c r="AB58" t="s">
        <v>896</v>
      </c>
      <c r="AC58" t="s">
        <v>2209</v>
      </c>
      <c r="AD58" t="s">
        <v>478</v>
      </c>
      <c r="AE58" t="s">
        <v>2140</v>
      </c>
      <c r="AF58" t="s">
        <v>2140</v>
      </c>
      <c r="AG58" t="s">
        <v>2141</v>
      </c>
      <c r="AH58" t="s">
        <v>2140</v>
      </c>
      <c r="AI58" t="s">
        <v>2141</v>
      </c>
      <c r="AJ58" t="s">
        <v>2141</v>
      </c>
      <c r="AK58" t="s">
        <v>2141</v>
      </c>
      <c r="AL58" t="s">
        <v>2140</v>
      </c>
      <c r="AM58" t="s">
        <v>2140</v>
      </c>
      <c r="AN58" t="s">
        <v>2141</v>
      </c>
      <c r="AO58" t="s">
        <v>2141</v>
      </c>
      <c r="AP58" t="s">
        <v>2141</v>
      </c>
      <c r="AQ58" t="s">
        <v>2140</v>
      </c>
      <c r="AR58" t="s">
        <v>2141</v>
      </c>
      <c r="AS58" t="s">
        <v>2141</v>
      </c>
      <c r="AT58" t="s">
        <v>2140</v>
      </c>
    </row>
    <row r="59" spans="2:46" x14ac:dyDescent="0.25">
      <c r="B59" t="s">
        <v>473</v>
      </c>
      <c r="C59" t="s">
        <v>19</v>
      </c>
      <c r="D59">
        <v>0.89583333333333337</v>
      </c>
      <c r="E59" t="s">
        <v>73</v>
      </c>
      <c r="F59" t="s">
        <v>74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>
        <v>12.5</v>
      </c>
      <c r="Y59">
        <v>33.299999999999997</v>
      </c>
      <c r="AA59" t="s">
        <v>73</v>
      </c>
      <c r="AB59" t="s">
        <v>934</v>
      </c>
      <c r="AC59" t="s">
        <v>2210</v>
      </c>
      <c r="AD59" t="s">
        <v>480</v>
      </c>
      <c r="AE59" t="s">
        <v>2141</v>
      </c>
      <c r="AF59" t="s">
        <v>2140</v>
      </c>
      <c r="AG59" t="s">
        <v>2140</v>
      </c>
      <c r="AH59" t="s">
        <v>2141</v>
      </c>
      <c r="AI59" t="s">
        <v>2140</v>
      </c>
      <c r="AJ59" t="s">
        <v>2141</v>
      </c>
      <c r="AK59" t="s">
        <v>2141</v>
      </c>
      <c r="AL59" t="s">
        <v>2140</v>
      </c>
      <c r="AM59" t="s">
        <v>2140</v>
      </c>
      <c r="AN59" t="s">
        <v>2141</v>
      </c>
      <c r="AO59" t="s">
        <v>2141</v>
      </c>
      <c r="AP59" t="s">
        <v>2141</v>
      </c>
      <c r="AQ59" t="s">
        <v>2140</v>
      </c>
      <c r="AR59" t="s">
        <v>2141</v>
      </c>
      <c r="AS59" t="s">
        <v>2141</v>
      </c>
      <c r="AT59" t="s">
        <v>2140</v>
      </c>
    </row>
    <row r="60" spans="2:46" x14ac:dyDescent="0.25">
      <c r="B60" t="s">
        <v>486</v>
      </c>
      <c r="C60" t="s">
        <v>19</v>
      </c>
      <c r="D60">
        <v>0.89583333333333337</v>
      </c>
      <c r="E60" t="s">
        <v>75</v>
      </c>
      <c r="F60" t="s">
        <v>76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>
        <v>14.3</v>
      </c>
      <c r="Y60">
        <v>14.3</v>
      </c>
      <c r="AA60" t="s">
        <v>75</v>
      </c>
      <c r="AB60" t="s">
        <v>76</v>
      </c>
      <c r="AC60" t="s">
        <v>2211</v>
      </c>
      <c r="AD60" t="s">
        <v>2154</v>
      </c>
      <c r="AE60" t="s">
        <v>2141</v>
      </c>
      <c r="AF60" t="s">
        <v>2140</v>
      </c>
      <c r="AG60" t="s">
        <v>2140</v>
      </c>
      <c r="AH60" t="s">
        <v>2141</v>
      </c>
      <c r="AI60" t="s">
        <v>2140</v>
      </c>
      <c r="AJ60" t="s">
        <v>2141</v>
      </c>
      <c r="AK60" t="s">
        <v>2140</v>
      </c>
      <c r="AL60" t="s">
        <v>2141</v>
      </c>
      <c r="AM60" t="s">
        <v>2140</v>
      </c>
      <c r="AN60" t="s">
        <v>2141</v>
      </c>
      <c r="AO60" t="s">
        <v>2141</v>
      </c>
      <c r="AP60" t="s">
        <v>2141</v>
      </c>
      <c r="AQ60" t="s">
        <v>2140</v>
      </c>
      <c r="AR60" t="s">
        <v>2140</v>
      </c>
      <c r="AS60" t="s">
        <v>2141</v>
      </c>
      <c r="AT60" t="s">
        <v>2140</v>
      </c>
    </row>
    <row r="61" spans="2:46" x14ac:dyDescent="0.25">
      <c r="B61" t="s">
        <v>486</v>
      </c>
      <c r="C61" t="s">
        <v>19</v>
      </c>
      <c r="D61">
        <v>0.89583333333333337</v>
      </c>
      <c r="E61" t="s">
        <v>77</v>
      </c>
      <c r="F61" t="s">
        <v>78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>
        <v>0</v>
      </c>
      <c r="Y61">
        <v>0</v>
      </c>
      <c r="AA61" t="s">
        <v>77</v>
      </c>
      <c r="AB61" t="s">
        <v>78</v>
      </c>
      <c r="AC61" t="s">
        <v>2212</v>
      </c>
      <c r="AD61" t="s">
        <v>477</v>
      </c>
      <c r="AE61" t="s">
        <v>2140</v>
      </c>
      <c r="AF61" t="s">
        <v>2141</v>
      </c>
      <c r="AG61" t="s">
        <v>2140</v>
      </c>
      <c r="AH61" t="s">
        <v>2141</v>
      </c>
      <c r="AI61" t="s">
        <v>2141</v>
      </c>
      <c r="AJ61" t="s">
        <v>2140</v>
      </c>
      <c r="AK61" t="s">
        <v>2141</v>
      </c>
      <c r="AL61" t="s">
        <v>2140</v>
      </c>
      <c r="AM61" t="s">
        <v>2140</v>
      </c>
      <c r="AN61" t="s">
        <v>2141</v>
      </c>
      <c r="AO61" t="s">
        <v>2141</v>
      </c>
      <c r="AP61" t="s">
        <v>2140</v>
      </c>
      <c r="AQ61" t="s">
        <v>2141</v>
      </c>
      <c r="AR61" t="s">
        <v>2141</v>
      </c>
      <c r="AS61" t="s">
        <v>2141</v>
      </c>
      <c r="AT61" t="s">
        <v>2140</v>
      </c>
    </row>
    <row r="62" spans="2:46" x14ac:dyDescent="0.25">
      <c r="B62" t="s">
        <v>486</v>
      </c>
      <c r="C62" t="s">
        <v>19</v>
      </c>
      <c r="D62">
        <v>0.89583333333333337</v>
      </c>
      <c r="E62" t="s">
        <v>79</v>
      </c>
      <c r="F62" t="s">
        <v>80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>
        <v>25</v>
      </c>
      <c r="Y62">
        <v>62.5</v>
      </c>
      <c r="AA62" t="s">
        <v>881</v>
      </c>
      <c r="AB62" t="s">
        <v>882</v>
      </c>
      <c r="AC62" t="s">
        <v>2213</v>
      </c>
      <c r="AD62" t="s">
        <v>471</v>
      </c>
      <c r="AE62" t="s">
        <v>2141</v>
      </c>
      <c r="AF62" t="s">
        <v>2140</v>
      </c>
      <c r="AG62" t="s">
        <v>2140</v>
      </c>
      <c r="AH62" t="s">
        <v>2141</v>
      </c>
      <c r="AI62" t="s">
        <v>2140</v>
      </c>
      <c r="AJ62" t="s">
        <v>2141</v>
      </c>
      <c r="AK62" t="s">
        <v>2140</v>
      </c>
      <c r="AL62" t="s">
        <v>2141</v>
      </c>
      <c r="AM62" t="s">
        <v>2140</v>
      </c>
      <c r="AN62" t="s">
        <v>2140</v>
      </c>
      <c r="AO62" t="s">
        <v>2140</v>
      </c>
      <c r="AP62" t="s">
        <v>2140</v>
      </c>
      <c r="AQ62" t="s">
        <v>2141</v>
      </c>
      <c r="AR62" t="s">
        <v>2141</v>
      </c>
      <c r="AS62" t="s">
        <v>2140</v>
      </c>
      <c r="AT62" t="s">
        <v>2141</v>
      </c>
    </row>
    <row r="63" spans="2:46" x14ac:dyDescent="0.25">
      <c r="B63" t="s">
        <v>486</v>
      </c>
      <c r="C63" t="s">
        <v>19</v>
      </c>
      <c r="D63">
        <v>0.89583333333333337</v>
      </c>
      <c r="E63" t="s">
        <v>81</v>
      </c>
      <c r="F63" t="s">
        <v>82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>
        <v>28.6</v>
      </c>
      <c r="Y63">
        <v>50</v>
      </c>
      <c r="AA63" t="s">
        <v>81</v>
      </c>
      <c r="AB63" t="s">
        <v>883</v>
      </c>
      <c r="AC63" t="s">
        <v>2214</v>
      </c>
      <c r="AD63" t="s">
        <v>480</v>
      </c>
      <c r="AE63" t="s">
        <v>2141</v>
      </c>
      <c r="AF63" t="s">
        <v>2140</v>
      </c>
      <c r="AG63" t="s">
        <v>2140</v>
      </c>
      <c r="AH63" t="s">
        <v>2141</v>
      </c>
      <c r="AI63" t="s">
        <v>2140</v>
      </c>
      <c r="AJ63" t="s">
        <v>2141</v>
      </c>
      <c r="AK63" t="s">
        <v>2141</v>
      </c>
      <c r="AL63" t="s">
        <v>2140</v>
      </c>
      <c r="AM63" t="s">
        <v>2140</v>
      </c>
      <c r="AN63" t="s">
        <v>2141</v>
      </c>
      <c r="AO63" t="s">
        <v>2141</v>
      </c>
      <c r="AP63" t="s">
        <v>2141</v>
      </c>
      <c r="AQ63" t="s">
        <v>2140</v>
      </c>
      <c r="AR63" t="s">
        <v>2141</v>
      </c>
      <c r="AS63" t="s">
        <v>2141</v>
      </c>
      <c r="AT63" t="s">
        <v>2140</v>
      </c>
    </row>
    <row r="64" spans="2:46" x14ac:dyDescent="0.25">
      <c r="B64" t="s">
        <v>485</v>
      </c>
      <c r="C64" t="s">
        <v>19</v>
      </c>
      <c r="D64">
        <v>0.91666666666666663</v>
      </c>
      <c r="E64" t="s">
        <v>83</v>
      </c>
      <c r="F64" t="s">
        <v>84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>
        <v>28.6</v>
      </c>
      <c r="Y64">
        <v>25</v>
      </c>
      <c r="AA64" t="s">
        <v>1900</v>
      </c>
      <c r="AB64" t="s">
        <v>84</v>
      </c>
      <c r="AC64" t="s">
        <v>2215</v>
      </c>
      <c r="AD64" t="s">
        <v>2149</v>
      </c>
      <c r="AE64" t="s">
        <v>2141</v>
      </c>
      <c r="AF64" t="s">
        <v>2140</v>
      </c>
      <c r="AG64" t="s">
        <v>2140</v>
      </c>
      <c r="AH64" t="s">
        <v>2141</v>
      </c>
      <c r="AI64" t="s">
        <v>2140</v>
      </c>
      <c r="AJ64" t="s">
        <v>2141</v>
      </c>
      <c r="AK64" t="s">
        <v>2140</v>
      </c>
      <c r="AL64" t="s">
        <v>2141</v>
      </c>
      <c r="AM64" t="s">
        <v>2140</v>
      </c>
      <c r="AN64" t="s">
        <v>2140</v>
      </c>
      <c r="AO64" t="s">
        <v>2141</v>
      </c>
      <c r="AP64" t="s">
        <v>2140</v>
      </c>
      <c r="AQ64" t="s">
        <v>2141</v>
      </c>
      <c r="AR64" t="s">
        <v>2141</v>
      </c>
      <c r="AS64" t="s">
        <v>2140</v>
      </c>
      <c r="AT64" t="s">
        <v>2141</v>
      </c>
    </row>
    <row r="65" spans="2:46" x14ac:dyDescent="0.25">
      <c r="B65" t="s">
        <v>484</v>
      </c>
      <c r="C65" t="s">
        <v>19</v>
      </c>
      <c r="D65">
        <v>0.91666666666666663</v>
      </c>
      <c r="E65" t="s">
        <v>85</v>
      </c>
      <c r="F65" t="s">
        <v>86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22</v>
      </c>
      <c r="Y65" t="s">
        <v>22</v>
      </c>
      <c r="AA65" t="s">
        <v>85</v>
      </c>
      <c r="AB65" t="s">
        <v>86</v>
      </c>
      <c r="AC65" t="s">
        <v>2216</v>
      </c>
      <c r="AD65" t="s">
        <v>2207</v>
      </c>
      <c r="AE65" t="s">
        <v>2140</v>
      </c>
      <c r="AF65" t="s">
        <v>2140</v>
      </c>
      <c r="AG65" t="s">
        <v>2141</v>
      </c>
      <c r="AH65" t="s">
        <v>2140</v>
      </c>
      <c r="AI65" t="s">
        <v>2141</v>
      </c>
      <c r="AJ65" t="s">
        <v>2141</v>
      </c>
      <c r="AK65" t="s">
        <v>2140</v>
      </c>
      <c r="AL65" t="s">
        <v>2140</v>
      </c>
      <c r="AM65" t="s">
        <v>2141</v>
      </c>
      <c r="AN65" t="s">
        <v>2141</v>
      </c>
      <c r="AO65" t="s">
        <v>2141</v>
      </c>
      <c r="AP65" t="s">
        <v>2141</v>
      </c>
      <c r="AQ65" t="s">
        <v>2140</v>
      </c>
      <c r="AR65" t="s">
        <v>2140</v>
      </c>
      <c r="AS65" t="s">
        <v>2140</v>
      </c>
      <c r="AT65" t="s">
        <v>2141</v>
      </c>
    </row>
    <row r="66" spans="2:46" x14ac:dyDescent="0.25">
      <c r="B66" t="s">
        <v>486</v>
      </c>
      <c r="C66" t="s">
        <v>19</v>
      </c>
      <c r="D66">
        <v>0.9375</v>
      </c>
      <c r="E66" t="s">
        <v>87</v>
      </c>
      <c r="F66" t="s">
        <v>88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>
        <v>33.299999999999997</v>
      </c>
      <c r="Y66">
        <v>16.7</v>
      </c>
      <c r="AA66" t="s">
        <v>87</v>
      </c>
      <c r="AB66" t="s">
        <v>88</v>
      </c>
      <c r="AC66" t="s">
        <v>2217</v>
      </c>
      <c r="AD66" t="s">
        <v>471</v>
      </c>
      <c r="AE66" t="s">
        <v>2141</v>
      </c>
      <c r="AF66" t="s">
        <v>2140</v>
      </c>
      <c r="AG66" t="s">
        <v>2140</v>
      </c>
      <c r="AH66" t="s">
        <v>2141</v>
      </c>
      <c r="AI66" t="s">
        <v>2140</v>
      </c>
      <c r="AJ66" t="s">
        <v>2141</v>
      </c>
      <c r="AK66" t="s">
        <v>2140</v>
      </c>
      <c r="AL66" t="s">
        <v>2141</v>
      </c>
      <c r="AM66" t="s">
        <v>2140</v>
      </c>
      <c r="AN66" t="s">
        <v>2140</v>
      </c>
      <c r="AO66" t="s">
        <v>2140</v>
      </c>
      <c r="AP66" t="s">
        <v>2140</v>
      </c>
      <c r="AQ66" t="s">
        <v>2141</v>
      </c>
      <c r="AR66" t="s">
        <v>2141</v>
      </c>
      <c r="AS66" t="s">
        <v>2140</v>
      </c>
      <c r="AT66" t="s">
        <v>2141</v>
      </c>
    </row>
    <row r="67" spans="2:46" x14ac:dyDescent="0.25">
      <c r="B67" t="s">
        <v>486</v>
      </c>
      <c r="C67" t="s">
        <v>19</v>
      </c>
      <c r="D67">
        <v>0.97916666666666663</v>
      </c>
      <c r="E67" t="s">
        <v>89</v>
      </c>
      <c r="F67" t="s">
        <v>90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>
        <v>37.5</v>
      </c>
      <c r="Y67">
        <v>12.5</v>
      </c>
      <c r="AA67" t="s">
        <v>89</v>
      </c>
      <c r="AB67" t="s">
        <v>884</v>
      </c>
      <c r="AC67" t="s">
        <v>2218</v>
      </c>
      <c r="AD67" t="s">
        <v>2139</v>
      </c>
      <c r="AE67" t="s">
        <v>2140</v>
      </c>
      <c r="AF67" t="s">
        <v>2140</v>
      </c>
      <c r="AG67" t="s">
        <v>2141</v>
      </c>
      <c r="AH67" t="s">
        <v>2140</v>
      </c>
      <c r="AI67" t="s">
        <v>2141</v>
      </c>
      <c r="AJ67" t="s">
        <v>2141</v>
      </c>
      <c r="AK67" t="s">
        <v>2140</v>
      </c>
      <c r="AL67" t="s">
        <v>2140</v>
      </c>
      <c r="AM67" t="s">
        <v>2141</v>
      </c>
      <c r="AN67" t="s">
        <v>2141</v>
      </c>
      <c r="AO67" t="s">
        <v>2141</v>
      </c>
      <c r="AP67" t="s">
        <v>2141</v>
      </c>
      <c r="AQ67" t="s">
        <v>2140</v>
      </c>
      <c r="AR67" t="s">
        <v>2140</v>
      </c>
      <c r="AS67" t="s">
        <v>2141</v>
      </c>
      <c r="AT67" t="s">
        <v>2140</v>
      </c>
    </row>
    <row r="68" spans="2:46" x14ac:dyDescent="0.25">
      <c r="B68" t="s">
        <v>486</v>
      </c>
      <c r="C68" t="s">
        <v>19</v>
      </c>
      <c r="D68">
        <v>0.97916666666666663</v>
      </c>
      <c r="E68" t="s">
        <v>91</v>
      </c>
      <c r="F68" t="s">
        <v>92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>
        <v>12.5</v>
      </c>
      <c r="Y68">
        <v>16.7</v>
      </c>
      <c r="AA68" t="s">
        <v>91</v>
      </c>
      <c r="AB68" t="s">
        <v>92</v>
      </c>
      <c r="AC68" t="s">
        <v>2219</v>
      </c>
      <c r="AD68" t="s">
        <v>2154</v>
      </c>
      <c r="AE68" t="s">
        <v>2141</v>
      </c>
      <c r="AF68" t="s">
        <v>2140</v>
      </c>
      <c r="AG68" t="s">
        <v>2140</v>
      </c>
      <c r="AH68" t="s">
        <v>2141</v>
      </c>
      <c r="AI68" t="s">
        <v>2140</v>
      </c>
      <c r="AJ68" t="s">
        <v>2141</v>
      </c>
      <c r="AK68" t="s">
        <v>2141</v>
      </c>
      <c r="AL68" t="s">
        <v>2140</v>
      </c>
      <c r="AM68" t="s">
        <v>2140</v>
      </c>
      <c r="AN68" t="s">
        <v>2141</v>
      </c>
      <c r="AO68" t="s">
        <v>2141</v>
      </c>
      <c r="AP68" t="s">
        <v>2141</v>
      </c>
      <c r="AQ68" t="s">
        <v>2140</v>
      </c>
      <c r="AR68" t="s">
        <v>2140</v>
      </c>
      <c r="AS68" t="s">
        <v>2141</v>
      </c>
      <c r="AT68" t="s">
        <v>2140</v>
      </c>
    </row>
    <row r="69" spans="2:46" x14ac:dyDescent="0.25">
      <c r="B69" t="s">
        <v>486</v>
      </c>
      <c r="C69" t="s">
        <v>19</v>
      </c>
      <c r="D69">
        <v>0.97916666666666663</v>
      </c>
      <c r="E69" t="s">
        <v>93</v>
      </c>
      <c r="F69" t="s">
        <v>94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>
        <v>50</v>
      </c>
      <c r="Y69">
        <v>16.7</v>
      </c>
      <c r="AA69" t="s">
        <v>93</v>
      </c>
      <c r="AB69" t="s">
        <v>885</v>
      </c>
      <c r="AC69" t="s">
        <v>2220</v>
      </c>
      <c r="AD69" t="s">
        <v>2144</v>
      </c>
      <c r="AE69" t="s">
        <v>2140</v>
      </c>
      <c r="AF69" t="s">
        <v>2141</v>
      </c>
      <c r="AG69" t="s">
        <v>2140</v>
      </c>
      <c r="AH69" t="s">
        <v>2141</v>
      </c>
      <c r="AI69" t="s">
        <v>2141</v>
      </c>
      <c r="AJ69" t="s">
        <v>2140</v>
      </c>
      <c r="AK69" t="s">
        <v>2140</v>
      </c>
      <c r="AL69" t="s">
        <v>2140</v>
      </c>
      <c r="AM69" t="s">
        <v>2141</v>
      </c>
      <c r="AN69" t="s">
        <v>2141</v>
      </c>
      <c r="AO69" t="s">
        <v>2141</v>
      </c>
      <c r="AP69" t="s">
        <v>2141</v>
      </c>
      <c r="AQ69" t="s">
        <v>2140</v>
      </c>
      <c r="AR69" t="s">
        <v>2140</v>
      </c>
      <c r="AS69" t="s">
        <v>2141</v>
      </c>
      <c r="AT69" t="s">
        <v>2140</v>
      </c>
    </row>
    <row r="70" spans="2:46" x14ac:dyDescent="0.25">
      <c r="B70" t="s">
        <v>486</v>
      </c>
      <c r="C70" t="s">
        <v>19</v>
      </c>
      <c r="D70">
        <v>0.97916666666666663</v>
      </c>
      <c r="E70" t="s">
        <v>95</v>
      </c>
      <c r="F70" t="s">
        <v>96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>
        <v>42.9</v>
      </c>
      <c r="Y70">
        <v>50</v>
      </c>
      <c r="AA70" t="s">
        <v>95</v>
      </c>
      <c r="AB70" t="s">
        <v>886</v>
      </c>
      <c r="AC70" t="s">
        <v>2221</v>
      </c>
      <c r="AD70" t="s">
        <v>2207</v>
      </c>
      <c r="AE70" t="s">
        <v>2140</v>
      </c>
      <c r="AF70" t="s">
        <v>2140</v>
      </c>
      <c r="AG70" t="s">
        <v>2141</v>
      </c>
      <c r="AH70" t="s">
        <v>2140</v>
      </c>
      <c r="AI70" t="s">
        <v>2141</v>
      </c>
      <c r="AJ70" t="s">
        <v>2141</v>
      </c>
      <c r="AK70" t="s">
        <v>2140</v>
      </c>
      <c r="AL70" t="s">
        <v>2140</v>
      </c>
      <c r="AM70" t="s">
        <v>2141</v>
      </c>
      <c r="AN70" t="s">
        <v>2141</v>
      </c>
      <c r="AO70" t="s">
        <v>2141</v>
      </c>
      <c r="AP70" t="s">
        <v>2141</v>
      </c>
      <c r="AQ70" t="s">
        <v>2140</v>
      </c>
      <c r="AR70" t="s">
        <v>2140</v>
      </c>
      <c r="AS70" t="s">
        <v>2140</v>
      </c>
      <c r="AT70" t="s">
        <v>2141</v>
      </c>
    </row>
    <row r="71" spans="2:46" x14ac:dyDescent="0.25">
      <c r="B71" t="s">
        <v>484</v>
      </c>
      <c r="C71" t="s">
        <v>97</v>
      </c>
      <c r="D71">
        <v>0.5</v>
      </c>
      <c r="E71" t="s">
        <v>98</v>
      </c>
      <c r="F71" t="s">
        <v>99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22</v>
      </c>
      <c r="Y71" t="s">
        <v>22</v>
      </c>
      <c r="AA71" t="s">
        <v>98</v>
      </c>
      <c r="AB71" t="s">
        <v>2089</v>
      </c>
      <c r="AC71" t="s">
        <v>2222</v>
      </c>
      <c r="AD71" t="s">
        <v>2186</v>
      </c>
      <c r="AE71" t="s">
        <v>2141</v>
      </c>
      <c r="AF71" t="s">
        <v>2140</v>
      </c>
      <c r="AG71" t="s">
        <v>2140</v>
      </c>
      <c r="AH71" t="s">
        <v>2141</v>
      </c>
      <c r="AI71" t="s">
        <v>2140</v>
      </c>
      <c r="AJ71" t="s">
        <v>2141</v>
      </c>
      <c r="AK71" t="s">
        <v>2141</v>
      </c>
      <c r="AL71" t="s">
        <v>2140</v>
      </c>
      <c r="AM71" t="s">
        <v>2140</v>
      </c>
      <c r="AN71" t="s">
        <v>2141</v>
      </c>
      <c r="AO71" t="s">
        <v>2141</v>
      </c>
      <c r="AP71" t="s">
        <v>2141</v>
      </c>
      <c r="AQ71" t="s">
        <v>2140</v>
      </c>
      <c r="AR71" t="s">
        <v>2141</v>
      </c>
      <c r="AS71" t="s">
        <v>2140</v>
      </c>
      <c r="AT71" t="s">
        <v>2141</v>
      </c>
    </row>
    <row r="72" spans="2:46" x14ac:dyDescent="0.25">
      <c r="B72" t="s">
        <v>487</v>
      </c>
      <c r="C72" t="s">
        <v>97</v>
      </c>
      <c r="D72">
        <v>0.67708333333333337</v>
      </c>
      <c r="E72" t="s">
        <v>100</v>
      </c>
      <c r="F72" t="s">
        <v>101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>
        <v>0</v>
      </c>
      <c r="Y72">
        <v>50</v>
      </c>
      <c r="AA72" t="s">
        <v>100</v>
      </c>
      <c r="AB72" t="s">
        <v>2063</v>
      </c>
      <c r="AC72" t="s">
        <v>2223</v>
      </c>
      <c r="AD72" t="s">
        <v>2224</v>
      </c>
      <c r="AE72" t="s">
        <v>2140</v>
      </c>
      <c r="AF72" t="s">
        <v>2140</v>
      </c>
      <c r="AG72" t="s">
        <v>2141</v>
      </c>
      <c r="AH72" t="s">
        <v>2140</v>
      </c>
      <c r="AI72" t="s">
        <v>2141</v>
      </c>
      <c r="AJ72" t="s">
        <v>2141</v>
      </c>
      <c r="AK72" t="s">
        <v>2140</v>
      </c>
      <c r="AL72" t="s">
        <v>2140</v>
      </c>
      <c r="AM72" t="s">
        <v>2141</v>
      </c>
      <c r="AN72" t="s">
        <v>2141</v>
      </c>
      <c r="AO72" t="s">
        <v>2141</v>
      </c>
      <c r="AP72" t="s">
        <v>2141</v>
      </c>
      <c r="AQ72" t="s">
        <v>2140</v>
      </c>
      <c r="AR72" t="s">
        <v>2140</v>
      </c>
      <c r="AS72" t="s">
        <v>2141</v>
      </c>
      <c r="AT72" t="s">
        <v>2140</v>
      </c>
    </row>
    <row r="73" spans="2:46" x14ac:dyDescent="0.25">
      <c r="B73" t="s">
        <v>470</v>
      </c>
      <c r="C73" t="s">
        <v>97</v>
      </c>
      <c r="D73">
        <v>0.77083333333333337</v>
      </c>
      <c r="E73" t="s">
        <v>102</v>
      </c>
      <c r="F73" t="s">
        <v>103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>
        <v>10</v>
      </c>
      <c r="Y73">
        <v>11.1</v>
      </c>
      <c r="AA73" t="s">
        <v>2018</v>
      </c>
      <c r="AB73" t="s">
        <v>103</v>
      </c>
      <c r="AC73" t="s">
        <v>2225</v>
      </c>
      <c r="AD73" t="s">
        <v>477</v>
      </c>
      <c r="AE73" t="s">
        <v>2140</v>
      </c>
      <c r="AF73" t="s">
        <v>2141</v>
      </c>
      <c r="AG73" t="s">
        <v>2140</v>
      </c>
      <c r="AH73" t="s">
        <v>2141</v>
      </c>
      <c r="AI73" t="s">
        <v>2141</v>
      </c>
      <c r="AJ73" t="s">
        <v>2140</v>
      </c>
      <c r="AK73" t="s">
        <v>2140</v>
      </c>
      <c r="AL73" t="s">
        <v>2140</v>
      </c>
      <c r="AM73" t="s">
        <v>2141</v>
      </c>
      <c r="AN73" t="s">
        <v>2141</v>
      </c>
      <c r="AO73" t="s">
        <v>2141</v>
      </c>
      <c r="AP73" t="s">
        <v>2140</v>
      </c>
      <c r="AQ73" t="s">
        <v>2141</v>
      </c>
      <c r="AR73" t="s">
        <v>2141</v>
      </c>
      <c r="AS73" t="s">
        <v>2141</v>
      </c>
      <c r="AT73" t="s">
        <v>2140</v>
      </c>
    </row>
    <row r="74" spans="2:46" x14ac:dyDescent="0.25">
      <c r="B74" t="s">
        <v>470</v>
      </c>
      <c r="C74" t="s">
        <v>97</v>
      </c>
      <c r="D74">
        <v>0.77083333333333337</v>
      </c>
      <c r="E74" t="s">
        <v>104</v>
      </c>
      <c r="F74" t="s">
        <v>105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22</v>
      </c>
      <c r="Y74" t="s">
        <v>22</v>
      </c>
      <c r="AA74" t="s">
        <v>302</v>
      </c>
      <c r="AB74" t="s">
        <v>2019</v>
      </c>
      <c r="AC74" t="s">
        <v>2226</v>
      </c>
      <c r="AD74" t="s">
        <v>480</v>
      </c>
      <c r="AE74" t="s">
        <v>2141</v>
      </c>
      <c r="AF74" t="s">
        <v>2140</v>
      </c>
      <c r="AG74" t="s">
        <v>2140</v>
      </c>
      <c r="AH74" t="s">
        <v>2141</v>
      </c>
      <c r="AI74" t="s">
        <v>2140</v>
      </c>
      <c r="AJ74" t="s">
        <v>2141</v>
      </c>
      <c r="AK74" t="s">
        <v>2140</v>
      </c>
      <c r="AL74" t="s">
        <v>2141</v>
      </c>
      <c r="AM74" t="s">
        <v>2140</v>
      </c>
      <c r="AN74" t="s">
        <v>2141</v>
      </c>
      <c r="AO74" t="s">
        <v>2141</v>
      </c>
      <c r="AP74" t="s">
        <v>2141</v>
      </c>
      <c r="AQ74" t="s">
        <v>2140</v>
      </c>
      <c r="AR74" t="s">
        <v>2141</v>
      </c>
      <c r="AS74" t="s">
        <v>2141</v>
      </c>
      <c r="AT74" t="s">
        <v>2140</v>
      </c>
    </row>
    <row r="75" spans="2:46" x14ac:dyDescent="0.25">
      <c r="B75" t="s">
        <v>488</v>
      </c>
      <c r="C75" t="s">
        <v>97</v>
      </c>
      <c r="D75">
        <v>0.8125</v>
      </c>
      <c r="E75" t="s">
        <v>106</v>
      </c>
      <c r="F75" t="s">
        <v>107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>
        <v>0</v>
      </c>
      <c r="Y75">
        <v>44.4</v>
      </c>
      <c r="AA75" t="s">
        <v>1991</v>
      </c>
      <c r="AB75" t="s">
        <v>107</v>
      </c>
      <c r="AC75" t="s">
        <v>2227</v>
      </c>
      <c r="AD75" t="s">
        <v>480</v>
      </c>
      <c r="AE75" t="s">
        <v>2141</v>
      </c>
      <c r="AF75" t="s">
        <v>2140</v>
      </c>
      <c r="AG75" t="s">
        <v>2140</v>
      </c>
      <c r="AH75" t="s">
        <v>2141</v>
      </c>
      <c r="AI75" t="s">
        <v>2140</v>
      </c>
      <c r="AJ75" t="s">
        <v>2141</v>
      </c>
      <c r="AK75" t="s">
        <v>2141</v>
      </c>
      <c r="AL75" t="s">
        <v>2140</v>
      </c>
      <c r="AM75" t="s">
        <v>2140</v>
      </c>
      <c r="AN75" t="s">
        <v>2141</v>
      </c>
      <c r="AO75" t="s">
        <v>2141</v>
      </c>
      <c r="AP75" t="s">
        <v>2141</v>
      </c>
      <c r="AQ75" t="s">
        <v>2140</v>
      </c>
      <c r="AR75" t="s">
        <v>2141</v>
      </c>
      <c r="AS75" t="s">
        <v>2141</v>
      </c>
      <c r="AT75" t="s">
        <v>2140</v>
      </c>
    </row>
    <row r="76" spans="2:46" x14ac:dyDescent="0.25">
      <c r="B76" t="s">
        <v>488</v>
      </c>
      <c r="C76" t="s">
        <v>97</v>
      </c>
      <c r="D76">
        <v>0.8125</v>
      </c>
      <c r="E76" t="s">
        <v>108</v>
      </c>
      <c r="F76" t="s">
        <v>109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>
        <v>25</v>
      </c>
      <c r="Y76">
        <v>14.3</v>
      </c>
      <c r="AA76" t="s">
        <v>1992</v>
      </c>
      <c r="AB76" t="s">
        <v>109</v>
      </c>
      <c r="AC76" t="s">
        <v>2228</v>
      </c>
      <c r="AD76" t="s">
        <v>479</v>
      </c>
      <c r="AE76" t="s">
        <v>2140</v>
      </c>
      <c r="AF76" t="s">
        <v>2140</v>
      </c>
      <c r="AG76" t="s">
        <v>2141</v>
      </c>
      <c r="AH76" t="s">
        <v>2140</v>
      </c>
      <c r="AI76" t="s">
        <v>2141</v>
      </c>
      <c r="AJ76" t="s">
        <v>2141</v>
      </c>
      <c r="AK76" t="s">
        <v>2141</v>
      </c>
      <c r="AL76" t="s">
        <v>2140</v>
      </c>
      <c r="AM76" t="s">
        <v>2140</v>
      </c>
      <c r="AN76" t="s">
        <v>2141</v>
      </c>
      <c r="AO76" t="s">
        <v>2141</v>
      </c>
      <c r="AP76" t="s">
        <v>2141</v>
      </c>
      <c r="AQ76" t="s">
        <v>2140</v>
      </c>
      <c r="AR76" t="s">
        <v>2140</v>
      </c>
      <c r="AS76" t="s">
        <v>2141</v>
      </c>
      <c r="AT76" t="s">
        <v>2140</v>
      </c>
    </row>
    <row r="77" spans="2:46" x14ac:dyDescent="0.25">
      <c r="B77" t="s">
        <v>472</v>
      </c>
      <c r="C77" t="s">
        <v>97</v>
      </c>
      <c r="D77">
        <v>0.8125</v>
      </c>
      <c r="E77" t="s">
        <v>110</v>
      </c>
      <c r="F77" t="s">
        <v>111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22</v>
      </c>
      <c r="Y77" t="s">
        <v>22</v>
      </c>
      <c r="AA77" t="s">
        <v>1989</v>
      </c>
      <c r="AB77" t="s">
        <v>1990</v>
      </c>
      <c r="AC77" t="s">
        <v>2229</v>
      </c>
      <c r="AD77" t="s">
        <v>465</v>
      </c>
      <c r="AE77" t="s">
        <v>2140</v>
      </c>
      <c r="AF77" t="s">
        <v>2141</v>
      </c>
      <c r="AG77" t="s">
        <v>2140</v>
      </c>
      <c r="AH77" t="s">
        <v>2141</v>
      </c>
      <c r="AI77" t="s">
        <v>2141</v>
      </c>
      <c r="AJ77" t="s">
        <v>2140</v>
      </c>
      <c r="AK77" t="s">
        <v>2140</v>
      </c>
      <c r="AL77" t="s">
        <v>2141</v>
      </c>
      <c r="AM77" t="s">
        <v>2140</v>
      </c>
      <c r="AN77" t="s">
        <v>2140</v>
      </c>
      <c r="AO77" t="s">
        <v>2140</v>
      </c>
      <c r="AP77" t="s">
        <v>2140</v>
      </c>
      <c r="AQ77" t="s">
        <v>2141</v>
      </c>
      <c r="AR77" t="s">
        <v>2141</v>
      </c>
      <c r="AS77" t="s">
        <v>2140</v>
      </c>
      <c r="AT77" t="s">
        <v>2141</v>
      </c>
    </row>
    <row r="78" spans="2:46" x14ac:dyDescent="0.25">
      <c r="B78" t="s">
        <v>472</v>
      </c>
      <c r="C78" t="s">
        <v>97</v>
      </c>
      <c r="D78">
        <v>0.8125</v>
      </c>
      <c r="E78" t="s">
        <v>112</v>
      </c>
      <c r="F78" t="s">
        <v>113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22</v>
      </c>
      <c r="Y78" t="s">
        <v>22</v>
      </c>
      <c r="AA78" t="s">
        <v>112</v>
      </c>
      <c r="AB78" t="s">
        <v>1988</v>
      </c>
      <c r="AC78" t="s">
        <v>2230</v>
      </c>
      <c r="AD78" t="s">
        <v>2186</v>
      </c>
      <c r="AE78" t="s">
        <v>2141</v>
      </c>
      <c r="AF78" t="s">
        <v>2140</v>
      </c>
      <c r="AG78" t="s">
        <v>2140</v>
      </c>
      <c r="AH78" t="s">
        <v>2141</v>
      </c>
      <c r="AI78" t="s">
        <v>2140</v>
      </c>
      <c r="AJ78" t="s">
        <v>2141</v>
      </c>
      <c r="AK78" t="s">
        <v>2141</v>
      </c>
      <c r="AL78" t="s">
        <v>2140</v>
      </c>
      <c r="AM78" t="s">
        <v>2140</v>
      </c>
      <c r="AN78" t="s">
        <v>2141</v>
      </c>
      <c r="AO78" t="s">
        <v>2141</v>
      </c>
      <c r="AP78" t="s">
        <v>2141</v>
      </c>
      <c r="AQ78" t="s">
        <v>2140</v>
      </c>
      <c r="AR78" t="s">
        <v>2141</v>
      </c>
      <c r="AS78" t="s">
        <v>2140</v>
      </c>
      <c r="AT78" t="s">
        <v>2141</v>
      </c>
    </row>
    <row r="79" spans="2:46" x14ac:dyDescent="0.25">
      <c r="B79" t="s">
        <v>473</v>
      </c>
      <c r="C79" t="s">
        <v>97</v>
      </c>
      <c r="D79">
        <v>0.8125</v>
      </c>
      <c r="E79" t="s">
        <v>114</v>
      </c>
      <c r="F79" t="s">
        <v>115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22</v>
      </c>
      <c r="Y79" t="s">
        <v>22</v>
      </c>
      <c r="AA79" t="s">
        <v>1999</v>
      </c>
      <c r="AB79" t="s">
        <v>2000</v>
      </c>
      <c r="AC79" t="s">
        <v>2231</v>
      </c>
      <c r="AD79" t="s">
        <v>480</v>
      </c>
      <c r="AE79" t="s">
        <v>2141</v>
      </c>
      <c r="AF79" t="s">
        <v>2140</v>
      </c>
      <c r="AG79" t="s">
        <v>2140</v>
      </c>
      <c r="AH79" t="s">
        <v>2141</v>
      </c>
      <c r="AI79" t="s">
        <v>2140</v>
      </c>
      <c r="AJ79" t="s">
        <v>2141</v>
      </c>
      <c r="AK79" t="s">
        <v>2140</v>
      </c>
      <c r="AL79" t="s">
        <v>2141</v>
      </c>
      <c r="AM79" t="s">
        <v>2140</v>
      </c>
      <c r="AN79" t="s">
        <v>2141</v>
      </c>
      <c r="AO79" t="s">
        <v>2141</v>
      </c>
      <c r="AP79" t="s">
        <v>2141</v>
      </c>
      <c r="AQ79" t="s">
        <v>2140</v>
      </c>
      <c r="AR79" t="s">
        <v>2141</v>
      </c>
      <c r="AS79" t="s">
        <v>2141</v>
      </c>
      <c r="AT79" t="s">
        <v>2140</v>
      </c>
    </row>
    <row r="80" spans="2:46" x14ac:dyDescent="0.25">
      <c r="B80" t="s">
        <v>473</v>
      </c>
      <c r="C80" t="s">
        <v>97</v>
      </c>
      <c r="D80">
        <v>0.85416666666666663</v>
      </c>
      <c r="E80" t="s">
        <v>116</v>
      </c>
      <c r="F80" t="s">
        <v>117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22</v>
      </c>
      <c r="Y80" t="s">
        <v>22</v>
      </c>
      <c r="AA80" t="s">
        <v>2001</v>
      </c>
      <c r="AB80" t="s">
        <v>2002</v>
      </c>
      <c r="AC80" t="s">
        <v>2232</v>
      </c>
      <c r="AD80" t="s">
        <v>474</v>
      </c>
      <c r="AE80" t="s">
        <v>2140</v>
      </c>
      <c r="AF80" t="s">
        <v>2140</v>
      </c>
      <c r="AG80" t="s">
        <v>2141</v>
      </c>
      <c r="AH80" t="s">
        <v>2140</v>
      </c>
      <c r="AI80" t="s">
        <v>2141</v>
      </c>
      <c r="AJ80" t="s">
        <v>2141</v>
      </c>
      <c r="AK80" t="s">
        <v>2140</v>
      </c>
      <c r="AL80" t="s">
        <v>2141</v>
      </c>
      <c r="AM80" t="s">
        <v>2140</v>
      </c>
      <c r="AN80" t="s">
        <v>2140</v>
      </c>
      <c r="AO80" t="s">
        <v>2140</v>
      </c>
      <c r="AP80" t="s">
        <v>2140</v>
      </c>
      <c r="AQ80" t="s">
        <v>2141</v>
      </c>
      <c r="AR80" t="s">
        <v>2141</v>
      </c>
      <c r="AS80" t="s">
        <v>2140</v>
      </c>
      <c r="AT80" t="s">
        <v>2141</v>
      </c>
    </row>
    <row r="81" spans="2:46" x14ac:dyDescent="0.25">
      <c r="B81" t="s">
        <v>470</v>
      </c>
      <c r="C81" t="s">
        <v>97</v>
      </c>
      <c r="D81">
        <v>0.875</v>
      </c>
      <c r="E81" t="s">
        <v>118</v>
      </c>
      <c r="F81" t="s">
        <v>119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>
        <v>0</v>
      </c>
      <c r="Y81">
        <v>25</v>
      </c>
      <c r="AA81" t="s">
        <v>118</v>
      </c>
      <c r="AB81" t="s">
        <v>119</v>
      </c>
      <c r="AC81" t="s">
        <v>2233</v>
      </c>
      <c r="AD81" t="s">
        <v>477</v>
      </c>
      <c r="AE81" t="s">
        <v>2140</v>
      </c>
      <c r="AF81" t="s">
        <v>2141</v>
      </c>
      <c r="AG81" t="s">
        <v>2140</v>
      </c>
      <c r="AH81" t="s">
        <v>2141</v>
      </c>
      <c r="AI81" t="s">
        <v>2141</v>
      </c>
      <c r="AJ81" t="s">
        <v>2140</v>
      </c>
      <c r="AK81" t="s">
        <v>2141</v>
      </c>
      <c r="AL81" t="s">
        <v>2140</v>
      </c>
      <c r="AM81" t="s">
        <v>2140</v>
      </c>
      <c r="AN81" t="s">
        <v>2141</v>
      </c>
      <c r="AO81" t="s">
        <v>2141</v>
      </c>
      <c r="AP81" t="s">
        <v>2140</v>
      </c>
      <c r="AQ81" t="s">
        <v>2141</v>
      </c>
      <c r="AR81" t="s">
        <v>2141</v>
      </c>
      <c r="AS81" t="s">
        <v>2141</v>
      </c>
      <c r="AT81" t="s">
        <v>2140</v>
      </c>
    </row>
    <row r="82" spans="2:46" x14ac:dyDescent="0.25">
      <c r="B82" t="s">
        <v>473</v>
      </c>
      <c r="C82" t="s">
        <v>97</v>
      </c>
      <c r="D82">
        <v>0.89583333333333337</v>
      </c>
      <c r="E82" t="s">
        <v>120</v>
      </c>
      <c r="F82" t="s">
        <v>121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>
        <v>25</v>
      </c>
      <c r="Y82">
        <v>0</v>
      </c>
      <c r="AA82" t="s">
        <v>120</v>
      </c>
      <c r="AB82" t="s">
        <v>2003</v>
      </c>
      <c r="AC82" t="s">
        <v>2234</v>
      </c>
      <c r="AD82" t="s">
        <v>2181</v>
      </c>
      <c r="AE82" t="s">
        <v>2141</v>
      </c>
      <c r="AF82" t="s">
        <v>2140</v>
      </c>
      <c r="AG82" t="s">
        <v>2140</v>
      </c>
      <c r="AH82" t="s">
        <v>2141</v>
      </c>
      <c r="AI82" t="s">
        <v>2140</v>
      </c>
      <c r="AJ82" t="s">
        <v>2141</v>
      </c>
      <c r="AK82" t="s">
        <v>2141</v>
      </c>
      <c r="AL82" t="s">
        <v>2140</v>
      </c>
      <c r="AM82" t="s">
        <v>2140</v>
      </c>
      <c r="AN82" t="s">
        <v>2141</v>
      </c>
      <c r="AO82" t="s">
        <v>2141</v>
      </c>
      <c r="AP82" t="s">
        <v>2141</v>
      </c>
      <c r="AQ82" t="s">
        <v>2140</v>
      </c>
      <c r="AR82" t="s">
        <v>2140</v>
      </c>
      <c r="AS82" t="s">
        <v>2141</v>
      </c>
      <c r="AT82" t="s">
        <v>2140</v>
      </c>
    </row>
    <row r="83" spans="2:46" x14ac:dyDescent="0.25">
      <c r="B83" t="s">
        <v>488</v>
      </c>
      <c r="C83" t="s">
        <v>97</v>
      </c>
      <c r="D83">
        <v>0.90625</v>
      </c>
      <c r="E83" t="s">
        <v>122</v>
      </c>
      <c r="F83" t="s">
        <v>123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>
        <v>0</v>
      </c>
      <c r="Y83">
        <v>0</v>
      </c>
      <c r="AA83" t="s">
        <v>1993</v>
      </c>
      <c r="AB83" t="s">
        <v>123</v>
      </c>
      <c r="AC83" t="s">
        <v>2235</v>
      </c>
      <c r="AD83" t="s">
        <v>477</v>
      </c>
      <c r="AE83" t="s">
        <v>2140</v>
      </c>
      <c r="AF83" t="s">
        <v>2141</v>
      </c>
      <c r="AG83" t="s">
        <v>2140</v>
      </c>
      <c r="AH83" t="s">
        <v>2141</v>
      </c>
      <c r="AI83" t="s">
        <v>2141</v>
      </c>
      <c r="AJ83" t="s">
        <v>2140</v>
      </c>
      <c r="AK83" t="s">
        <v>2140</v>
      </c>
      <c r="AL83" t="s">
        <v>2141</v>
      </c>
      <c r="AM83" t="s">
        <v>2140</v>
      </c>
      <c r="AN83" t="s">
        <v>2141</v>
      </c>
      <c r="AO83" t="s">
        <v>2141</v>
      </c>
      <c r="AP83" t="s">
        <v>2140</v>
      </c>
      <c r="AQ83" t="s">
        <v>2141</v>
      </c>
      <c r="AR83" t="s">
        <v>2141</v>
      </c>
      <c r="AS83" t="s">
        <v>2141</v>
      </c>
      <c r="AT83" t="s">
        <v>2140</v>
      </c>
    </row>
  </sheetData>
  <autoFilter ref="A2:AT2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2:R57"/>
  <sheetViews>
    <sheetView showGridLines="0" tabSelected="1" topLeftCell="A19" workbookViewId="0">
      <selection activeCell="X43" sqref="X43"/>
    </sheetView>
  </sheetViews>
  <sheetFormatPr defaultRowHeight="15" x14ac:dyDescent="0.25"/>
  <cols>
    <col min="1" max="1" width="13.7109375" bestFit="1" customWidth="1"/>
    <col min="2" max="2" width="11.140625" bestFit="1" customWidth="1"/>
    <col min="3" max="3" width="6.140625" bestFit="1" customWidth="1"/>
  </cols>
  <sheetData>
    <row r="2" spans="1:3" x14ac:dyDescent="0.25">
      <c r="A2" s="33" t="s">
        <v>2236</v>
      </c>
      <c r="B2" s="33" t="s">
        <v>2237</v>
      </c>
      <c r="C2" s="33" t="s">
        <v>2238</v>
      </c>
    </row>
    <row r="3" spans="1:3" x14ac:dyDescent="0.25">
      <c r="A3" s="37" t="s">
        <v>441</v>
      </c>
      <c r="B3" s="36">
        <v>0.42834567901234555</v>
      </c>
      <c r="C3" s="36">
        <v>0.48148148148148145</v>
      </c>
    </row>
    <row r="4" spans="1:3" x14ac:dyDescent="0.25">
      <c r="A4" s="37" t="s">
        <v>4</v>
      </c>
      <c r="B4" s="36">
        <v>0.28043209876543218</v>
      </c>
      <c r="C4" s="36">
        <v>0.22222222222222221</v>
      </c>
    </row>
    <row r="5" spans="1:3" x14ac:dyDescent="0.25">
      <c r="A5" s="37" t="s">
        <v>442</v>
      </c>
      <c r="B5" s="36">
        <v>0.29116049382716047</v>
      </c>
      <c r="C5" s="36">
        <v>0.29629629629629628</v>
      </c>
    </row>
    <row r="6" spans="1:3" x14ac:dyDescent="0.25">
      <c r="A6" s="37" t="s">
        <v>5</v>
      </c>
      <c r="B6" s="36">
        <v>0.70883950617283953</v>
      </c>
      <c r="C6" s="36">
        <v>0.70370370370370372</v>
      </c>
    </row>
    <row r="7" spans="1:3" x14ac:dyDescent="0.25">
      <c r="A7" s="37" t="s">
        <v>6</v>
      </c>
      <c r="B7" s="36">
        <v>0.57165432098765434</v>
      </c>
      <c r="C7" s="36">
        <v>0.51851851851851849</v>
      </c>
    </row>
    <row r="8" spans="1:3" x14ac:dyDescent="0.25">
      <c r="A8" s="37" t="s">
        <v>443</v>
      </c>
      <c r="B8" s="36">
        <v>0.71956790123456793</v>
      </c>
      <c r="C8" s="36">
        <v>0.77777777777777779</v>
      </c>
    </row>
    <row r="9" spans="1:3" x14ac:dyDescent="0.25">
      <c r="A9" s="37" t="s">
        <v>7</v>
      </c>
      <c r="B9" s="36">
        <v>0.3221234567901235</v>
      </c>
      <c r="C9" s="36">
        <v>0.34567901234567899</v>
      </c>
    </row>
    <row r="10" spans="1:3" x14ac:dyDescent="0.25">
      <c r="A10" s="37" t="s">
        <v>8</v>
      </c>
      <c r="B10" s="36">
        <v>0.4315679012345679</v>
      </c>
      <c r="C10" s="36">
        <v>0.38271604938271603</v>
      </c>
    </row>
    <row r="11" spans="1:3" x14ac:dyDescent="0.25">
      <c r="A11" s="37" t="s">
        <v>9</v>
      </c>
      <c r="B11" s="36">
        <v>0.24627160493827169</v>
      </c>
      <c r="C11" s="36">
        <v>0.27160493827160492</v>
      </c>
    </row>
    <row r="12" spans="1:3" x14ac:dyDescent="0.25">
      <c r="A12" s="37" t="s">
        <v>10</v>
      </c>
      <c r="B12" s="36">
        <v>0.69177777777777782</v>
      </c>
      <c r="C12" s="36">
        <v>0.81481481481481477</v>
      </c>
    </row>
    <row r="13" spans="1:3" x14ac:dyDescent="0.25">
      <c r="A13" s="37" t="s">
        <v>11</v>
      </c>
      <c r="B13" s="36">
        <v>0.76514814814814813</v>
      </c>
      <c r="C13" s="36">
        <v>0.85185185185185186</v>
      </c>
    </row>
    <row r="14" spans="1:3" x14ac:dyDescent="0.25">
      <c r="A14" s="37" t="s">
        <v>12</v>
      </c>
      <c r="B14" s="36">
        <v>0.52598765432098749</v>
      </c>
      <c r="C14" s="36">
        <v>0.65432098765432101</v>
      </c>
    </row>
    <row r="15" spans="1:3" x14ac:dyDescent="0.25">
      <c r="A15" s="37" t="s">
        <v>13</v>
      </c>
      <c r="B15" s="36">
        <v>0.4740123456790124</v>
      </c>
      <c r="C15" s="36">
        <v>0.34567901234567899</v>
      </c>
    </row>
    <row r="16" spans="1:3" x14ac:dyDescent="0.25">
      <c r="A16" s="37" t="s">
        <v>14</v>
      </c>
      <c r="B16" s="36">
        <v>0.53224691358024701</v>
      </c>
      <c r="C16" s="36">
        <v>0.62962962962962965</v>
      </c>
    </row>
    <row r="17" spans="1:18" x14ac:dyDescent="0.25">
      <c r="A17" s="37" t="s">
        <v>15</v>
      </c>
      <c r="B17" s="36">
        <v>0.55651851851851841</v>
      </c>
      <c r="C17" s="36">
        <v>0.65432098765432101</v>
      </c>
    </row>
    <row r="18" spans="1:18" x14ac:dyDescent="0.25">
      <c r="A18" s="37" t="s">
        <v>16</v>
      </c>
      <c r="B18" s="36">
        <v>0.44348148148148148</v>
      </c>
      <c r="C18" s="36">
        <v>0.34567901234567899</v>
      </c>
    </row>
    <row r="20" spans="1:18" x14ac:dyDescent="0.25">
      <c r="A20" s="38" t="s">
        <v>2242</v>
      </c>
    </row>
    <row r="21" spans="1:18" x14ac:dyDescent="0.25">
      <c r="A21" s="39" t="s">
        <v>2239</v>
      </c>
      <c r="B21" s="33" t="s">
        <v>2240</v>
      </c>
      <c r="C21" s="37" t="s">
        <v>441</v>
      </c>
      <c r="D21" s="37" t="s">
        <v>4</v>
      </c>
      <c r="E21" s="37" t="s">
        <v>442</v>
      </c>
      <c r="F21" s="37" t="s">
        <v>5</v>
      </c>
      <c r="G21" s="37" t="s">
        <v>6</v>
      </c>
      <c r="H21" s="37" t="s">
        <v>443</v>
      </c>
      <c r="I21" s="37" t="s">
        <v>7</v>
      </c>
      <c r="J21" s="37" t="s">
        <v>8</v>
      </c>
      <c r="K21" s="37" t="s">
        <v>9</v>
      </c>
      <c r="L21" s="37" t="s">
        <v>10</v>
      </c>
      <c r="M21" s="37" t="s">
        <v>11</v>
      </c>
      <c r="N21" s="37" t="s">
        <v>12</v>
      </c>
      <c r="O21" s="37" t="s">
        <v>13</v>
      </c>
      <c r="P21" s="37" t="s">
        <v>14</v>
      </c>
      <c r="Q21" s="37" t="s">
        <v>15</v>
      </c>
      <c r="R21" s="37" t="s">
        <v>16</v>
      </c>
    </row>
    <row r="22" spans="1:18" x14ac:dyDescent="0.25">
      <c r="A22" s="40">
        <v>0</v>
      </c>
      <c r="B22" s="41">
        <v>10</v>
      </c>
      <c r="C22" s="34">
        <f>COUNTIFS('Solid-Results'!H:H,"&gt;="&amp;Dashboard!$A22,'Solid-Results'!H:H,"&lt;="&amp;Dashboard!$B22)</f>
        <v>1</v>
      </c>
      <c r="D22" s="34">
        <f>COUNTIFS('Solid-Results'!I:I,"&gt;="&amp;Dashboard!$A22,'Solid-Results'!I:I,"&lt;="&amp;Dashboard!$B22)</f>
        <v>1</v>
      </c>
      <c r="E22" s="34">
        <f>COUNTIFS('Solid-Results'!J:J,"&gt;="&amp;Dashboard!$A22,'Solid-Results'!J:J,"&lt;="&amp;Dashboard!$B22)</f>
        <v>2</v>
      </c>
      <c r="F22" s="34">
        <f>COUNTIFS('Solid-Results'!K:K,"&gt;="&amp;Dashboard!$A22,'Solid-Results'!K:K,"&lt;="&amp;Dashboard!$B22)</f>
        <v>1</v>
      </c>
      <c r="G22" s="34">
        <f>COUNTIFS('Solid-Results'!L:L,"&gt;="&amp;Dashboard!$A22,'Solid-Results'!L:L,"&lt;="&amp;Dashboard!$B22)</f>
        <v>1</v>
      </c>
      <c r="H22" s="34">
        <f>COUNTIFS('Solid-Results'!M:M,"&gt;="&amp;Dashboard!$A22,'Solid-Results'!M:M,"&lt;="&amp;Dashboard!$B22)</f>
        <v>1</v>
      </c>
      <c r="I22" s="34">
        <f>COUNTIFS('Solid-Results'!N:N,"&gt;="&amp;Dashboard!$A22,'Solid-Results'!N:N,"&lt;="&amp;Dashboard!$B22)</f>
        <v>1</v>
      </c>
      <c r="J22" s="34">
        <f>COUNTIFS('Solid-Results'!O:O,"&gt;="&amp;Dashboard!$A22,'Solid-Results'!O:O,"&lt;="&amp;Dashboard!$B22)</f>
        <v>1</v>
      </c>
      <c r="K22" s="34">
        <f>COUNTIFS('Solid-Results'!P:P,"&gt;="&amp;Dashboard!$A22,'Solid-Results'!P:P,"&lt;="&amp;Dashboard!$B22)</f>
        <v>1</v>
      </c>
      <c r="L22" s="34">
        <f>COUNTIFS('Solid-Results'!Q:Q,"&gt;="&amp;Dashboard!$A22,'Solid-Results'!Q:Q,"&lt;="&amp;Dashboard!$B22)</f>
        <v>1</v>
      </c>
      <c r="M22" s="34">
        <f>COUNTIFS('Solid-Results'!R:R,"&gt;="&amp;Dashboard!$A22,'Solid-Results'!R:R,"&lt;="&amp;Dashboard!$B22)</f>
        <v>1</v>
      </c>
      <c r="N22" s="34">
        <f>COUNTIFS('Solid-Results'!S:S,"&gt;="&amp;Dashboard!$A22,'Solid-Results'!S:S,"&lt;="&amp;Dashboard!$B22)</f>
        <v>1</v>
      </c>
      <c r="O22" s="34">
        <f>COUNTIFS('Solid-Results'!T:T,"&gt;="&amp;Dashboard!$A22,'Solid-Results'!T:T,"&lt;="&amp;Dashboard!$B22)</f>
        <v>1</v>
      </c>
      <c r="P22" s="34">
        <f>COUNTIFS('Solid-Results'!U:U,"&gt;="&amp;Dashboard!$A22,'Solid-Results'!U:U,"&lt;="&amp;Dashboard!$B22)</f>
        <v>1</v>
      </c>
      <c r="Q22" s="34">
        <f>COUNTIFS('Solid-Results'!V:V,"&gt;="&amp;Dashboard!$A22,'Solid-Results'!V:V,"&lt;="&amp;Dashboard!$B22)</f>
        <v>1</v>
      </c>
      <c r="R22" s="34">
        <f>COUNTIFS('Solid-Results'!W:W,"&gt;="&amp;Dashboard!$A22,'Solid-Results'!W:W,"&lt;="&amp;Dashboard!$B22)</f>
        <v>1</v>
      </c>
    </row>
    <row r="23" spans="1:18" x14ac:dyDescent="0.25">
      <c r="A23" s="42">
        <f>B22+0.01</f>
        <v>10.01</v>
      </c>
      <c r="B23" s="41">
        <f>B22+10</f>
        <v>20</v>
      </c>
      <c r="C23" s="34">
        <f>COUNTIFS('Solid-Results'!H:H,"&gt;="&amp;Dashboard!$A23,'Solid-Results'!H:H,"&lt;="&amp;Dashboard!$B23)</f>
        <v>0</v>
      </c>
      <c r="D23" s="34">
        <f>COUNTIFS('Solid-Results'!I:I,"&gt;="&amp;Dashboard!$A23,'Solid-Results'!I:I,"&lt;="&amp;Dashboard!$B23)</f>
        <v>0</v>
      </c>
      <c r="E23" s="34">
        <f>COUNTIFS('Solid-Results'!J:J,"&gt;="&amp;Dashboard!$A23,'Solid-Results'!J:J,"&lt;="&amp;Dashboard!$B23)</f>
        <v>11</v>
      </c>
      <c r="F23" s="34">
        <f>COUNTIFS('Solid-Results'!K:K,"&gt;="&amp;Dashboard!$A23,'Solid-Results'!K:K,"&lt;="&amp;Dashboard!$B23)</f>
        <v>0</v>
      </c>
      <c r="G23" s="34">
        <f>COUNTIFS('Solid-Results'!L:L,"&gt;="&amp;Dashboard!$A23,'Solid-Results'!L:L,"&lt;="&amp;Dashboard!$B23)</f>
        <v>0</v>
      </c>
      <c r="H23" s="34">
        <f>COUNTIFS('Solid-Results'!M:M,"&gt;="&amp;Dashboard!$A23,'Solid-Results'!M:M,"&lt;="&amp;Dashboard!$B23)</f>
        <v>0</v>
      </c>
      <c r="I23" s="34">
        <f>COUNTIFS('Solid-Results'!N:N,"&gt;="&amp;Dashboard!$A23,'Solid-Results'!N:N,"&lt;="&amp;Dashboard!$B23)</f>
        <v>10</v>
      </c>
      <c r="J23" s="34">
        <f>COUNTIFS('Solid-Results'!O:O,"&gt;="&amp;Dashboard!$A23,'Solid-Results'!O:O,"&lt;="&amp;Dashboard!$B23)</f>
        <v>0</v>
      </c>
      <c r="K23" s="34">
        <f>COUNTIFS('Solid-Results'!P:P,"&gt;="&amp;Dashboard!$A23,'Solid-Results'!P:P,"&lt;="&amp;Dashboard!$B23)</f>
        <v>20</v>
      </c>
      <c r="L23" s="34">
        <f>COUNTIFS('Solid-Results'!Q:Q,"&gt;="&amp;Dashboard!$A23,'Solid-Results'!Q:Q,"&lt;="&amp;Dashboard!$B23)</f>
        <v>0</v>
      </c>
      <c r="M23" s="34">
        <f>COUNTIFS('Solid-Results'!R:R,"&gt;="&amp;Dashboard!$A23,'Solid-Results'!R:R,"&lt;="&amp;Dashboard!$B23)</f>
        <v>0</v>
      </c>
      <c r="N23" s="34">
        <f>COUNTIFS('Solid-Results'!S:S,"&gt;="&amp;Dashboard!$A23,'Solid-Results'!S:S,"&lt;="&amp;Dashboard!$B23)</f>
        <v>0</v>
      </c>
      <c r="O23" s="34">
        <f>COUNTIFS('Solid-Results'!T:T,"&gt;="&amp;Dashboard!$A23,'Solid-Results'!T:T,"&lt;="&amp;Dashboard!$B23)</f>
        <v>2</v>
      </c>
      <c r="P23" s="34">
        <f>COUNTIFS('Solid-Results'!U:U,"&gt;="&amp;Dashboard!$A23,'Solid-Results'!U:U,"&lt;="&amp;Dashboard!$B23)</f>
        <v>0</v>
      </c>
      <c r="Q23" s="34">
        <f>COUNTIFS('Solid-Results'!V:V,"&gt;="&amp;Dashboard!$A23,'Solid-Results'!V:V,"&lt;="&amp;Dashboard!$B23)</f>
        <v>0</v>
      </c>
      <c r="R23" s="34">
        <f>COUNTIFS('Solid-Results'!W:W,"&gt;="&amp;Dashboard!$A23,'Solid-Results'!W:W,"&lt;="&amp;Dashboard!$B23)</f>
        <v>0</v>
      </c>
    </row>
    <row r="24" spans="1:18" x14ac:dyDescent="0.25">
      <c r="A24" s="42">
        <f t="shared" ref="A24:A31" si="0">B23+0.01</f>
        <v>20.010000000000002</v>
      </c>
      <c r="B24" s="41">
        <f t="shared" ref="B24:B31" si="1">B23+10</f>
        <v>30</v>
      </c>
      <c r="C24" s="34">
        <f>COUNTIFS('Solid-Results'!H:H,"&gt;="&amp;Dashboard!$A24,'Solid-Results'!H:H,"&lt;="&amp;Dashboard!$B24)</f>
        <v>9</v>
      </c>
      <c r="D24" s="34">
        <f>COUNTIFS('Solid-Results'!I:I,"&gt;="&amp;Dashboard!$A24,'Solid-Results'!I:I,"&lt;="&amp;Dashboard!$B24)</f>
        <v>60</v>
      </c>
      <c r="E24" s="34">
        <f>COUNTIFS('Solid-Results'!J:J,"&gt;="&amp;Dashboard!$A24,'Solid-Results'!J:J,"&lt;="&amp;Dashboard!$B24)</f>
        <v>37</v>
      </c>
      <c r="F24" s="34">
        <f>COUNTIFS('Solid-Results'!K:K,"&gt;="&amp;Dashboard!$A24,'Solid-Results'!K:K,"&lt;="&amp;Dashboard!$B24)</f>
        <v>0</v>
      </c>
      <c r="G24" s="34">
        <f>COUNTIFS('Solid-Results'!L:L,"&gt;="&amp;Dashboard!$A24,'Solid-Results'!L:L,"&lt;="&amp;Dashboard!$B24)</f>
        <v>0</v>
      </c>
      <c r="H24" s="34">
        <f>COUNTIFS('Solid-Results'!M:M,"&gt;="&amp;Dashboard!$A24,'Solid-Results'!M:M,"&lt;="&amp;Dashboard!$B24)</f>
        <v>0</v>
      </c>
      <c r="I24" s="34">
        <f>COUNTIFS('Solid-Results'!N:N,"&gt;="&amp;Dashboard!$A24,'Solid-Results'!N:N,"&lt;="&amp;Dashboard!$B24)</f>
        <v>24</v>
      </c>
      <c r="J24" s="34">
        <f>COUNTIFS('Solid-Results'!O:O,"&gt;="&amp;Dashboard!$A24,'Solid-Results'!O:O,"&lt;="&amp;Dashboard!$B24)</f>
        <v>2</v>
      </c>
      <c r="K24" s="34">
        <f>COUNTIFS('Solid-Results'!P:P,"&gt;="&amp;Dashboard!$A24,'Solid-Results'!P:P,"&lt;="&amp;Dashboard!$B24)</f>
        <v>43</v>
      </c>
      <c r="L24" s="34">
        <f>COUNTIFS('Solid-Results'!Q:Q,"&gt;="&amp;Dashboard!$A24,'Solid-Results'!Q:Q,"&lt;="&amp;Dashboard!$B24)</f>
        <v>0</v>
      </c>
      <c r="M24" s="34">
        <f>COUNTIFS('Solid-Results'!R:R,"&gt;="&amp;Dashboard!$A24,'Solid-Results'!R:R,"&lt;="&amp;Dashboard!$B24)</f>
        <v>0</v>
      </c>
      <c r="N24" s="34">
        <f>COUNTIFS('Solid-Results'!S:S,"&gt;="&amp;Dashboard!$A24,'Solid-Results'!S:S,"&lt;="&amp;Dashboard!$B24)</f>
        <v>6</v>
      </c>
      <c r="O24" s="34">
        <f>COUNTIFS('Solid-Results'!T:T,"&gt;="&amp;Dashboard!$A24,'Solid-Results'!T:T,"&lt;="&amp;Dashboard!$B24)</f>
        <v>10</v>
      </c>
      <c r="P24" s="34">
        <f>COUNTIFS('Solid-Results'!U:U,"&gt;="&amp;Dashboard!$A24,'Solid-Results'!U:U,"&lt;="&amp;Dashboard!$B24)</f>
        <v>5</v>
      </c>
      <c r="Q24" s="34">
        <f>COUNTIFS('Solid-Results'!V:V,"&gt;="&amp;Dashboard!$A24,'Solid-Results'!V:V,"&lt;="&amp;Dashboard!$B24)</f>
        <v>0</v>
      </c>
      <c r="R24" s="34">
        <f>COUNTIFS('Solid-Results'!W:W,"&gt;="&amp;Dashboard!$A24,'Solid-Results'!W:W,"&lt;="&amp;Dashboard!$B24)</f>
        <v>10</v>
      </c>
    </row>
    <row r="25" spans="1:18" x14ac:dyDescent="0.25">
      <c r="A25" s="42">
        <f t="shared" si="0"/>
        <v>30.01</v>
      </c>
      <c r="B25" s="41">
        <f t="shared" si="1"/>
        <v>40</v>
      </c>
      <c r="C25" s="34">
        <f>COUNTIFS('Solid-Results'!H:H,"&gt;="&amp;Dashboard!$A25,'Solid-Results'!H:H,"&lt;="&amp;Dashboard!$B25)</f>
        <v>22</v>
      </c>
      <c r="D25" s="34">
        <f>COUNTIFS('Solid-Results'!I:I,"&gt;="&amp;Dashboard!$A25,'Solid-Results'!I:I,"&lt;="&amp;Dashboard!$B25)</f>
        <v>21</v>
      </c>
      <c r="E25" s="34">
        <f>COUNTIFS('Solid-Results'!J:J,"&gt;="&amp;Dashboard!$A25,'Solid-Results'!J:J,"&lt;="&amp;Dashboard!$B25)</f>
        <v>23</v>
      </c>
      <c r="F25" s="34">
        <f>COUNTIFS('Solid-Results'!K:K,"&gt;="&amp;Dashboard!$A25,'Solid-Results'!K:K,"&lt;="&amp;Dashboard!$B25)</f>
        <v>0</v>
      </c>
      <c r="G25" s="34">
        <f>COUNTIFS('Solid-Results'!L:L,"&gt;="&amp;Dashboard!$A25,'Solid-Results'!L:L,"&lt;="&amp;Dashboard!$B25)</f>
        <v>7</v>
      </c>
      <c r="H25" s="34">
        <f>COUNTIFS('Solid-Results'!M:M,"&gt;="&amp;Dashboard!$A25,'Solid-Results'!M:M,"&lt;="&amp;Dashboard!$B25)</f>
        <v>0</v>
      </c>
      <c r="I25" s="34">
        <f>COUNTIFS('Solid-Results'!N:N,"&gt;="&amp;Dashboard!$A25,'Solid-Results'!N:N,"&lt;="&amp;Dashboard!$B25)</f>
        <v>33</v>
      </c>
      <c r="J25" s="34">
        <f>COUNTIFS('Solid-Results'!O:O,"&gt;="&amp;Dashboard!$A25,'Solid-Results'!O:O,"&lt;="&amp;Dashboard!$B25)</f>
        <v>21</v>
      </c>
      <c r="K25" s="34">
        <f>COUNTIFS('Solid-Results'!P:P,"&gt;="&amp;Dashboard!$A25,'Solid-Results'!P:P,"&lt;="&amp;Dashboard!$B25)</f>
        <v>16</v>
      </c>
      <c r="L25" s="34">
        <f>COUNTIFS('Solid-Results'!Q:Q,"&gt;="&amp;Dashboard!$A25,'Solid-Results'!Q:Q,"&lt;="&amp;Dashboard!$B25)</f>
        <v>0</v>
      </c>
      <c r="M25" s="34">
        <f>COUNTIFS('Solid-Results'!R:R,"&gt;="&amp;Dashboard!$A25,'Solid-Results'!R:R,"&lt;="&amp;Dashboard!$B25)</f>
        <v>0</v>
      </c>
      <c r="N25" s="34">
        <f>COUNTIFS('Solid-Results'!S:S,"&gt;="&amp;Dashboard!$A25,'Solid-Results'!S:S,"&lt;="&amp;Dashboard!$B25)</f>
        <v>11</v>
      </c>
      <c r="O25" s="34">
        <f>COUNTIFS('Solid-Results'!T:T,"&gt;="&amp;Dashboard!$A25,'Solid-Results'!T:T,"&lt;="&amp;Dashboard!$B25)</f>
        <v>13</v>
      </c>
      <c r="P25" s="34">
        <f>COUNTIFS('Solid-Results'!U:U,"&gt;="&amp;Dashboard!$A25,'Solid-Results'!U:U,"&lt;="&amp;Dashboard!$B25)</f>
        <v>10</v>
      </c>
      <c r="Q25" s="34">
        <f>COUNTIFS('Solid-Results'!V:V,"&gt;="&amp;Dashboard!$A25,'Solid-Results'!V:V,"&lt;="&amp;Dashboard!$B25)</f>
        <v>7</v>
      </c>
      <c r="R25" s="34">
        <f>COUNTIFS('Solid-Results'!W:W,"&gt;="&amp;Dashboard!$A25,'Solid-Results'!W:W,"&lt;="&amp;Dashboard!$B25)</f>
        <v>19</v>
      </c>
    </row>
    <row r="26" spans="1:18" x14ac:dyDescent="0.25">
      <c r="A26" s="42">
        <f t="shared" si="0"/>
        <v>40.01</v>
      </c>
      <c r="B26" s="41">
        <f t="shared" si="1"/>
        <v>50</v>
      </c>
      <c r="C26" s="34">
        <f>COUNTIFS('Solid-Results'!H:H,"&gt;="&amp;Dashboard!$A26,'Solid-Results'!H:H,"&lt;="&amp;Dashboard!$B26)</f>
        <v>33</v>
      </c>
      <c r="D26" s="34">
        <f>COUNTIFS('Solid-Results'!I:I,"&gt;="&amp;Dashboard!$A26,'Solid-Results'!I:I,"&lt;="&amp;Dashboard!$B26)</f>
        <v>0</v>
      </c>
      <c r="E26" s="34">
        <f>COUNTIFS('Solid-Results'!J:J,"&gt;="&amp;Dashboard!$A26,'Solid-Results'!J:J,"&lt;="&amp;Dashboard!$B26)</f>
        <v>7</v>
      </c>
      <c r="F26" s="34">
        <f>COUNTIFS('Solid-Results'!K:K,"&gt;="&amp;Dashboard!$A26,'Solid-Results'!K:K,"&lt;="&amp;Dashboard!$B26)</f>
        <v>2</v>
      </c>
      <c r="G26" s="34">
        <f>COUNTIFS('Solid-Results'!L:L,"&gt;="&amp;Dashboard!$A26,'Solid-Results'!L:L,"&lt;="&amp;Dashboard!$B26)</f>
        <v>11</v>
      </c>
      <c r="H26" s="34">
        <f>COUNTIFS('Solid-Results'!M:M,"&gt;="&amp;Dashboard!$A26,'Solid-Results'!M:M,"&lt;="&amp;Dashboard!$B26)</f>
        <v>0</v>
      </c>
      <c r="I26" s="34">
        <f>COUNTIFS('Solid-Results'!N:N,"&gt;="&amp;Dashboard!$A26,'Solid-Results'!N:N,"&lt;="&amp;Dashboard!$B26)</f>
        <v>10</v>
      </c>
      <c r="J26" s="34">
        <f>COUNTIFS('Solid-Results'!O:O,"&gt;="&amp;Dashboard!$A26,'Solid-Results'!O:O,"&lt;="&amp;Dashboard!$B26)</f>
        <v>46</v>
      </c>
      <c r="K26" s="34">
        <f>COUNTIFS('Solid-Results'!P:P,"&gt;="&amp;Dashboard!$A26,'Solid-Results'!P:P,"&lt;="&amp;Dashboard!$B26)</f>
        <v>2</v>
      </c>
      <c r="L26" s="34">
        <f>COUNTIFS('Solid-Results'!Q:Q,"&gt;="&amp;Dashboard!$A26,'Solid-Results'!Q:Q,"&lt;="&amp;Dashboard!$B26)</f>
        <v>1</v>
      </c>
      <c r="M26" s="34">
        <f>COUNTIFS('Solid-Results'!R:R,"&gt;="&amp;Dashboard!$A26,'Solid-Results'!R:R,"&lt;="&amp;Dashboard!$B26)</f>
        <v>1</v>
      </c>
      <c r="N26" s="34">
        <f>COUNTIFS('Solid-Results'!S:S,"&gt;="&amp;Dashboard!$A26,'Solid-Results'!S:S,"&lt;="&amp;Dashboard!$B26)</f>
        <v>19</v>
      </c>
      <c r="O26" s="34">
        <f>COUNTIFS('Solid-Results'!T:T,"&gt;="&amp;Dashboard!$A26,'Solid-Results'!T:T,"&lt;="&amp;Dashboard!$B26)</f>
        <v>20</v>
      </c>
      <c r="P26" s="34">
        <f>COUNTIFS('Solid-Results'!U:U,"&gt;="&amp;Dashboard!$A26,'Solid-Results'!U:U,"&lt;="&amp;Dashboard!$B26)</f>
        <v>18</v>
      </c>
      <c r="Q26" s="34">
        <f>COUNTIFS('Solid-Results'!V:V,"&gt;="&amp;Dashboard!$A26,'Solid-Results'!V:V,"&lt;="&amp;Dashboard!$B26)</f>
        <v>19</v>
      </c>
      <c r="R26" s="34">
        <f>COUNTIFS('Solid-Results'!W:W,"&gt;="&amp;Dashboard!$A26,'Solid-Results'!W:W,"&lt;="&amp;Dashboard!$B26)</f>
        <v>26</v>
      </c>
    </row>
    <row r="27" spans="1:18" x14ac:dyDescent="0.25">
      <c r="A27" s="42">
        <f t="shared" si="0"/>
        <v>50.01</v>
      </c>
      <c r="B27" s="41">
        <f t="shared" si="1"/>
        <v>60</v>
      </c>
      <c r="C27" s="34">
        <f>COUNTIFS('Solid-Results'!H:H,"&gt;="&amp;Dashboard!$A27,'Solid-Results'!H:H,"&lt;="&amp;Dashboard!$B27)</f>
        <v>10</v>
      </c>
      <c r="D27" s="34">
        <f>COUNTIFS('Solid-Results'!I:I,"&gt;="&amp;Dashboard!$A27,'Solid-Results'!I:I,"&lt;="&amp;Dashboard!$B27)</f>
        <v>0</v>
      </c>
      <c r="E27" s="34">
        <f>COUNTIFS('Solid-Results'!J:J,"&gt;="&amp;Dashboard!$A27,'Solid-Results'!J:J,"&lt;="&amp;Dashboard!$B27)</f>
        <v>2</v>
      </c>
      <c r="F27" s="34">
        <f>COUNTIFS('Solid-Results'!K:K,"&gt;="&amp;Dashboard!$A27,'Solid-Results'!K:K,"&lt;="&amp;Dashboard!$B27)</f>
        <v>7</v>
      </c>
      <c r="G27" s="34">
        <f>COUNTIFS('Solid-Results'!L:L,"&gt;="&amp;Dashboard!$A27,'Solid-Results'!L:L,"&lt;="&amp;Dashboard!$B27)</f>
        <v>34</v>
      </c>
      <c r="H27" s="34">
        <f>COUNTIFS('Solid-Results'!M:M,"&gt;="&amp;Dashboard!$A27,'Solid-Results'!M:M,"&lt;="&amp;Dashboard!$B27)</f>
        <v>0</v>
      </c>
      <c r="I27" s="34">
        <f>COUNTIFS('Solid-Results'!N:N,"&gt;="&amp;Dashboard!$A27,'Solid-Results'!N:N,"&lt;="&amp;Dashboard!$B27)</f>
        <v>3</v>
      </c>
      <c r="J27" s="34">
        <f>COUNTIFS('Solid-Results'!O:O,"&gt;="&amp;Dashboard!$A27,'Solid-Results'!O:O,"&lt;="&amp;Dashboard!$B27)</f>
        <v>12</v>
      </c>
      <c r="K27" s="34">
        <f>COUNTIFS('Solid-Results'!P:P,"&gt;="&amp;Dashboard!$A27,'Solid-Results'!P:P,"&lt;="&amp;Dashboard!$B27)</f>
        <v>0</v>
      </c>
      <c r="L27" s="34">
        <f>COUNTIFS('Solid-Results'!Q:Q,"&gt;="&amp;Dashboard!$A27,'Solid-Results'!Q:Q,"&lt;="&amp;Dashboard!$B27)</f>
        <v>11</v>
      </c>
      <c r="M27" s="34">
        <f>COUNTIFS('Solid-Results'!R:R,"&gt;="&amp;Dashboard!$A27,'Solid-Results'!R:R,"&lt;="&amp;Dashboard!$B27)</f>
        <v>5</v>
      </c>
      <c r="N27" s="34">
        <f>COUNTIFS('Solid-Results'!S:S,"&gt;="&amp;Dashboard!$A27,'Solid-Results'!S:S,"&lt;="&amp;Dashboard!$B27)</f>
        <v>21</v>
      </c>
      <c r="O27" s="34">
        <f>COUNTIFS('Solid-Results'!T:T,"&gt;="&amp;Dashboard!$A27,'Solid-Results'!T:T,"&lt;="&amp;Dashboard!$B27)</f>
        <v>19</v>
      </c>
      <c r="P27" s="34">
        <f>COUNTIFS('Solid-Results'!U:U,"&gt;="&amp;Dashboard!$A27,'Solid-Results'!U:U,"&lt;="&amp;Dashboard!$B27)</f>
        <v>22</v>
      </c>
      <c r="Q27" s="34">
        <f>COUNTIFS('Solid-Results'!V:V,"&gt;="&amp;Dashboard!$A27,'Solid-Results'!V:V,"&lt;="&amp;Dashboard!$B27)</f>
        <v>26</v>
      </c>
      <c r="R27" s="34">
        <f>COUNTIFS('Solid-Results'!W:W,"&gt;="&amp;Dashboard!$A27,'Solid-Results'!W:W,"&lt;="&amp;Dashboard!$B27)</f>
        <v>19</v>
      </c>
    </row>
    <row r="28" spans="1:18" x14ac:dyDescent="0.25">
      <c r="A28" s="42">
        <f t="shared" si="0"/>
        <v>60.01</v>
      </c>
      <c r="B28" s="41">
        <f t="shared" si="1"/>
        <v>70</v>
      </c>
      <c r="C28" s="34">
        <f>COUNTIFS('Solid-Results'!H:H,"&gt;="&amp;Dashboard!$A28,'Solid-Results'!H:H,"&lt;="&amp;Dashboard!$B28)</f>
        <v>7</v>
      </c>
      <c r="D28" s="34">
        <f>COUNTIFS('Solid-Results'!I:I,"&gt;="&amp;Dashboard!$A28,'Solid-Results'!I:I,"&lt;="&amp;Dashboard!$B28)</f>
        <v>0</v>
      </c>
      <c r="E28" s="34">
        <f>COUNTIFS('Solid-Results'!J:J,"&gt;="&amp;Dashboard!$A28,'Solid-Results'!J:J,"&lt;="&amp;Dashboard!$B28)</f>
        <v>0</v>
      </c>
      <c r="F28" s="34">
        <f>COUNTIFS('Solid-Results'!K:K,"&gt;="&amp;Dashboard!$A28,'Solid-Results'!K:K,"&lt;="&amp;Dashboard!$B28)</f>
        <v>23</v>
      </c>
      <c r="G28" s="34">
        <f>COUNTIFS('Solid-Results'!L:L,"&gt;="&amp;Dashboard!$A28,'Solid-Results'!L:L,"&lt;="&amp;Dashboard!$B28)</f>
        <v>20</v>
      </c>
      <c r="H28" s="34">
        <f>COUNTIFS('Solid-Results'!M:M,"&gt;="&amp;Dashboard!$A28,'Solid-Results'!M:M,"&lt;="&amp;Dashboard!$B28)</f>
        <v>21</v>
      </c>
      <c r="I28" s="34">
        <f>COUNTIFS('Solid-Results'!N:N,"&gt;="&amp;Dashboard!$A28,'Solid-Results'!N:N,"&lt;="&amp;Dashboard!$B28)</f>
        <v>1</v>
      </c>
      <c r="J28" s="34">
        <f>COUNTIFS('Solid-Results'!O:O,"&gt;="&amp;Dashboard!$A28,'Solid-Results'!O:O,"&lt;="&amp;Dashboard!$B28)</f>
        <v>0</v>
      </c>
      <c r="K28" s="34">
        <f>COUNTIFS('Solid-Results'!P:P,"&gt;="&amp;Dashboard!$A28,'Solid-Results'!P:P,"&lt;="&amp;Dashboard!$B28)</f>
        <v>0</v>
      </c>
      <c r="L28" s="34">
        <f>COUNTIFS('Solid-Results'!Q:Q,"&gt;="&amp;Dashboard!$A28,'Solid-Results'!Q:Q,"&lt;="&amp;Dashboard!$B28)</f>
        <v>33</v>
      </c>
      <c r="M28" s="34">
        <f>COUNTIFS('Solid-Results'!R:R,"&gt;="&amp;Dashboard!$A28,'Solid-Results'!R:R,"&lt;="&amp;Dashboard!$B28)</f>
        <v>16</v>
      </c>
      <c r="N28" s="34">
        <f>COUNTIFS('Solid-Results'!S:S,"&gt;="&amp;Dashboard!$A28,'Solid-Results'!S:S,"&lt;="&amp;Dashboard!$B28)</f>
        <v>13</v>
      </c>
      <c r="O28" s="34">
        <f>COUNTIFS('Solid-Results'!T:T,"&gt;="&amp;Dashboard!$A28,'Solid-Results'!T:T,"&lt;="&amp;Dashboard!$B28)</f>
        <v>11</v>
      </c>
      <c r="P28" s="34">
        <f>COUNTIFS('Solid-Results'!U:U,"&gt;="&amp;Dashboard!$A28,'Solid-Results'!U:U,"&lt;="&amp;Dashboard!$B28)</f>
        <v>16</v>
      </c>
      <c r="Q28" s="34">
        <f>COUNTIFS('Solid-Results'!V:V,"&gt;="&amp;Dashboard!$A28,'Solid-Results'!V:V,"&lt;="&amp;Dashboard!$B28)</f>
        <v>19</v>
      </c>
      <c r="R28" s="34">
        <f>COUNTIFS('Solid-Results'!W:W,"&gt;="&amp;Dashboard!$A28,'Solid-Results'!W:W,"&lt;="&amp;Dashboard!$B28)</f>
        <v>7</v>
      </c>
    </row>
    <row r="29" spans="1:18" x14ac:dyDescent="0.25">
      <c r="A29" s="42">
        <f t="shared" si="0"/>
        <v>70.010000000000005</v>
      </c>
      <c r="B29" s="41">
        <f t="shared" si="1"/>
        <v>80</v>
      </c>
      <c r="C29" s="34">
        <f>COUNTIFS('Solid-Results'!H:H,"&gt;="&amp;Dashboard!$A29,'Solid-Results'!H:H,"&lt;="&amp;Dashboard!$B29)</f>
        <v>0</v>
      </c>
      <c r="D29" s="34">
        <f>COUNTIFS('Solid-Results'!I:I,"&gt;="&amp;Dashboard!$A29,'Solid-Results'!I:I,"&lt;="&amp;Dashboard!$B29)</f>
        <v>0</v>
      </c>
      <c r="E29" s="34">
        <f>COUNTIFS('Solid-Results'!J:J,"&gt;="&amp;Dashboard!$A29,'Solid-Results'!J:J,"&lt;="&amp;Dashboard!$B29)</f>
        <v>0</v>
      </c>
      <c r="F29" s="34">
        <f>COUNTIFS('Solid-Results'!K:K,"&gt;="&amp;Dashboard!$A29,'Solid-Results'!K:K,"&lt;="&amp;Dashboard!$B29)</f>
        <v>37</v>
      </c>
      <c r="G29" s="34">
        <f>COUNTIFS('Solid-Results'!L:L,"&gt;="&amp;Dashboard!$A29,'Solid-Results'!L:L,"&lt;="&amp;Dashboard!$B29)</f>
        <v>9</v>
      </c>
      <c r="H29" s="34">
        <f>COUNTIFS('Solid-Results'!M:M,"&gt;="&amp;Dashboard!$A29,'Solid-Results'!M:M,"&lt;="&amp;Dashboard!$B29)</f>
        <v>60</v>
      </c>
      <c r="I29" s="34">
        <f>COUNTIFS('Solid-Results'!N:N,"&gt;="&amp;Dashboard!$A29,'Solid-Results'!N:N,"&lt;="&amp;Dashboard!$B29)</f>
        <v>0</v>
      </c>
      <c r="J29" s="34">
        <f>COUNTIFS('Solid-Results'!O:O,"&gt;="&amp;Dashboard!$A29,'Solid-Results'!O:O,"&lt;="&amp;Dashboard!$B29)</f>
        <v>0</v>
      </c>
      <c r="K29" s="34">
        <f>COUNTIFS('Solid-Results'!P:P,"&gt;="&amp;Dashboard!$A29,'Solid-Results'!P:P,"&lt;="&amp;Dashboard!$B29)</f>
        <v>0</v>
      </c>
      <c r="L29" s="34">
        <f>COUNTIFS('Solid-Results'!Q:Q,"&gt;="&amp;Dashboard!$A29,'Solid-Results'!Q:Q,"&lt;="&amp;Dashboard!$B29)</f>
        <v>24</v>
      </c>
      <c r="M29" s="34">
        <f>COUNTIFS('Solid-Results'!R:R,"&gt;="&amp;Dashboard!$A29,'Solid-Results'!R:R,"&lt;="&amp;Dashboard!$B29)</f>
        <v>27</v>
      </c>
      <c r="N29" s="34">
        <f>COUNTIFS('Solid-Results'!S:S,"&gt;="&amp;Dashboard!$A29,'Solid-Results'!S:S,"&lt;="&amp;Dashboard!$B29)</f>
        <v>9</v>
      </c>
      <c r="O29" s="34">
        <f>COUNTIFS('Solid-Results'!T:T,"&gt;="&amp;Dashboard!$A29,'Solid-Results'!T:T,"&lt;="&amp;Dashboard!$B29)</f>
        <v>6</v>
      </c>
      <c r="P29" s="34">
        <f>COUNTIFS('Solid-Results'!U:U,"&gt;="&amp;Dashboard!$A29,'Solid-Results'!U:U,"&lt;="&amp;Dashboard!$B29)</f>
        <v>9</v>
      </c>
      <c r="Q29" s="34">
        <f>COUNTIFS('Solid-Results'!V:V,"&gt;="&amp;Dashboard!$A29,'Solid-Results'!V:V,"&lt;="&amp;Dashboard!$B29)</f>
        <v>10</v>
      </c>
      <c r="R29" s="34">
        <f>COUNTIFS('Solid-Results'!W:W,"&gt;="&amp;Dashboard!$A29,'Solid-Results'!W:W,"&lt;="&amp;Dashboard!$B29)</f>
        <v>0</v>
      </c>
    </row>
    <row r="30" spans="1:18" x14ac:dyDescent="0.25">
      <c r="A30" s="42">
        <f t="shared" si="0"/>
        <v>80.010000000000005</v>
      </c>
      <c r="B30" s="41">
        <f t="shared" si="1"/>
        <v>90</v>
      </c>
      <c r="C30" s="34">
        <f>COUNTIFS('Solid-Results'!H:H,"&gt;="&amp;Dashboard!$A30,'Solid-Results'!H:H,"&lt;="&amp;Dashboard!$B30)</f>
        <v>0</v>
      </c>
      <c r="D30" s="34">
        <f>COUNTIFS('Solid-Results'!I:I,"&gt;="&amp;Dashboard!$A30,'Solid-Results'!I:I,"&lt;="&amp;Dashboard!$B30)</f>
        <v>0</v>
      </c>
      <c r="E30" s="34">
        <f>COUNTIFS('Solid-Results'!J:J,"&gt;="&amp;Dashboard!$A30,'Solid-Results'!J:J,"&lt;="&amp;Dashboard!$B30)</f>
        <v>0</v>
      </c>
      <c r="F30" s="34">
        <f>COUNTIFS('Solid-Results'!K:K,"&gt;="&amp;Dashboard!$A30,'Solid-Results'!K:K,"&lt;="&amp;Dashboard!$B30)</f>
        <v>11</v>
      </c>
      <c r="G30" s="34">
        <f>COUNTIFS('Solid-Results'!L:L,"&gt;="&amp;Dashboard!$A30,'Solid-Results'!L:L,"&lt;="&amp;Dashboard!$B30)</f>
        <v>0</v>
      </c>
      <c r="H30" s="34">
        <f>COUNTIFS('Solid-Results'!M:M,"&gt;="&amp;Dashboard!$A30,'Solid-Results'!M:M,"&lt;="&amp;Dashboard!$B30)</f>
        <v>0</v>
      </c>
      <c r="I30" s="34">
        <f>COUNTIFS('Solid-Results'!N:N,"&gt;="&amp;Dashboard!$A30,'Solid-Results'!N:N,"&lt;="&amp;Dashboard!$B30)</f>
        <v>0</v>
      </c>
      <c r="J30" s="34">
        <f>COUNTIFS('Solid-Results'!O:O,"&gt;="&amp;Dashboard!$A30,'Solid-Results'!O:O,"&lt;="&amp;Dashboard!$B30)</f>
        <v>0</v>
      </c>
      <c r="K30" s="34">
        <f>COUNTIFS('Solid-Results'!P:P,"&gt;="&amp;Dashboard!$A30,'Solid-Results'!P:P,"&lt;="&amp;Dashboard!$B30)</f>
        <v>0</v>
      </c>
      <c r="L30" s="34">
        <f>COUNTIFS('Solid-Results'!Q:Q,"&gt;="&amp;Dashboard!$A30,'Solid-Results'!Q:Q,"&lt;="&amp;Dashboard!$B30)</f>
        <v>12</v>
      </c>
      <c r="M30" s="34">
        <f>COUNTIFS('Solid-Results'!R:R,"&gt;="&amp;Dashboard!$A30,'Solid-Results'!R:R,"&lt;="&amp;Dashboard!$B30)</f>
        <v>23</v>
      </c>
      <c r="N30" s="34">
        <f>COUNTIFS('Solid-Results'!S:S,"&gt;="&amp;Dashboard!$A30,'Solid-Results'!S:S,"&lt;="&amp;Dashboard!$B30)</f>
        <v>2</v>
      </c>
      <c r="O30" s="34">
        <f>COUNTIFS('Solid-Results'!T:T,"&gt;="&amp;Dashboard!$A30,'Solid-Results'!T:T,"&lt;="&amp;Dashboard!$B30)</f>
        <v>0</v>
      </c>
      <c r="P30" s="34">
        <f>COUNTIFS('Solid-Results'!U:U,"&gt;="&amp;Dashboard!$A30,'Solid-Results'!U:U,"&lt;="&amp;Dashboard!$B30)</f>
        <v>1</v>
      </c>
      <c r="Q30" s="34">
        <f>COUNTIFS('Solid-Results'!V:V,"&gt;="&amp;Dashboard!$A30,'Solid-Results'!V:V,"&lt;="&amp;Dashboard!$B30)</f>
        <v>0</v>
      </c>
      <c r="R30" s="34">
        <f>COUNTIFS('Solid-Results'!W:W,"&gt;="&amp;Dashboard!$A30,'Solid-Results'!W:W,"&lt;="&amp;Dashboard!$B30)</f>
        <v>0</v>
      </c>
    </row>
    <row r="31" spans="1:18" x14ac:dyDescent="0.25">
      <c r="A31" s="42">
        <f t="shared" si="0"/>
        <v>90.01</v>
      </c>
      <c r="B31" s="41">
        <f t="shared" si="1"/>
        <v>100</v>
      </c>
      <c r="C31" s="34">
        <f>COUNTIFS('Solid-Results'!H:H,"&gt;="&amp;Dashboard!$A31,'Solid-Results'!H:H,"&lt;="&amp;Dashboard!$B31)</f>
        <v>0</v>
      </c>
      <c r="D31" s="34">
        <f>COUNTIFS('Solid-Results'!I:I,"&gt;="&amp;Dashboard!$A31,'Solid-Results'!I:I,"&lt;="&amp;Dashboard!$B31)</f>
        <v>0</v>
      </c>
      <c r="E31" s="34">
        <f>COUNTIFS('Solid-Results'!J:J,"&gt;="&amp;Dashboard!$A31,'Solid-Results'!J:J,"&lt;="&amp;Dashboard!$B31)</f>
        <v>0</v>
      </c>
      <c r="F31" s="34">
        <f>COUNTIFS('Solid-Results'!K:K,"&gt;="&amp;Dashboard!$A31,'Solid-Results'!K:K,"&lt;="&amp;Dashboard!$B31)</f>
        <v>1</v>
      </c>
      <c r="G31" s="34">
        <f>COUNTIFS('Solid-Results'!L:L,"&gt;="&amp;Dashboard!$A31,'Solid-Results'!L:L,"&lt;="&amp;Dashboard!$B31)</f>
        <v>0</v>
      </c>
      <c r="H31" s="34">
        <f>COUNTIFS('Solid-Results'!M:M,"&gt;="&amp;Dashboard!$A31,'Solid-Results'!M:M,"&lt;="&amp;Dashboard!$B31)</f>
        <v>0</v>
      </c>
      <c r="I31" s="34">
        <f>COUNTIFS('Solid-Results'!N:N,"&gt;="&amp;Dashboard!$A31,'Solid-Results'!N:N,"&lt;="&amp;Dashboard!$B31)</f>
        <v>0</v>
      </c>
      <c r="J31" s="34">
        <f>COUNTIFS('Solid-Results'!O:O,"&gt;="&amp;Dashboard!$A31,'Solid-Results'!O:O,"&lt;="&amp;Dashboard!$B31)</f>
        <v>0</v>
      </c>
      <c r="K31" s="34">
        <f>COUNTIFS('Solid-Results'!P:P,"&gt;="&amp;Dashboard!$A31,'Solid-Results'!P:P,"&lt;="&amp;Dashboard!$B31)</f>
        <v>0</v>
      </c>
      <c r="L31" s="34">
        <f>COUNTIFS('Solid-Results'!Q:Q,"&gt;="&amp;Dashboard!$A31,'Solid-Results'!Q:Q,"&lt;="&amp;Dashboard!$B31)</f>
        <v>0</v>
      </c>
      <c r="M31" s="34">
        <f>COUNTIFS('Solid-Results'!R:R,"&gt;="&amp;Dashboard!$A31,'Solid-Results'!R:R,"&lt;="&amp;Dashboard!$B31)</f>
        <v>9</v>
      </c>
      <c r="N31" s="34">
        <f>COUNTIFS('Solid-Results'!S:S,"&gt;="&amp;Dashboard!$A31,'Solid-Results'!S:S,"&lt;="&amp;Dashboard!$B31)</f>
        <v>0</v>
      </c>
      <c r="O31" s="34">
        <f>COUNTIFS('Solid-Results'!T:T,"&gt;="&amp;Dashboard!$A31,'Solid-Results'!T:T,"&lt;="&amp;Dashboard!$B31)</f>
        <v>0</v>
      </c>
      <c r="P31" s="34">
        <f>COUNTIFS('Solid-Results'!U:U,"&gt;="&amp;Dashboard!$A31,'Solid-Results'!U:U,"&lt;="&amp;Dashboard!$B31)</f>
        <v>0</v>
      </c>
      <c r="Q31" s="34">
        <f>COUNTIFS('Solid-Results'!V:V,"&gt;="&amp;Dashboard!$A31,'Solid-Results'!V:V,"&lt;="&amp;Dashboard!$B31)</f>
        <v>0</v>
      </c>
      <c r="R31" s="34">
        <f>COUNTIFS('Solid-Results'!W:W,"&gt;="&amp;Dashboard!$A31,'Solid-Results'!W:W,"&lt;="&amp;Dashboard!$B31)</f>
        <v>0</v>
      </c>
    </row>
    <row r="33" spans="1:18" x14ac:dyDescent="0.25">
      <c r="A33" s="43" t="s">
        <v>2243</v>
      </c>
    </row>
    <row r="34" spans="1:18" x14ac:dyDescent="0.25">
      <c r="A34" s="39" t="s">
        <v>2239</v>
      </c>
      <c r="B34" s="33" t="s">
        <v>2240</v>
      </c>
      <c r="C34" s="37" t="s">
        <v>441</v>
      </c>
      <c r="D34" s="37" t="s">
        <v>4</v>
      </c>
      <c r="E34" s="37" t="s">
        <v>442</v>
      </c>
      <c r="F34" s="37" t="s">
        <v>5</v>
      </c>
      <c r="G34" s="37" t="s">
        <v>6</v>
      </c>
      <c r="H34" s="37" t="s">
        <v>443</v>
      </c>
      <c r="I34" s="37" t="s">
        <v>7</v>
      </c>
      <c r="J34" s="37" t="s">
        <v>8</v>
      </c>
      <c r="K34" s="37" t="s">
        <v>9</v>
      </c>
      <c r="L34" s="37" t="s">
        <v>10</v>
      </c>
      <c r="M34" s="37" t="s">
        <v>11</v>
      </c>
      <c r="N34" s="37" t="s">
        <v>12</v>
      </c>
      <c r="O34" s="37" t="s">
        <v>13</v>
      </c>
      <c r="P34" s="37" t="s">
        <v>14</v>
      </c>
      <c r="Q34" s="37" t="s">
        <v>15</v>
      </c>
      <c r="R34" s="37" t="s">
        <v>16</v>
      </c>
    </row>
    <row r="35" spans="1:18" x14ac:dyDescent="0.25">
      <c r="A35" s="40">
        <v>0</v>
      </c>
      <c r="B35" s="41">
        <v>10</v>
      </c>
      <c r="C35" s="34">
        <f>COUNTIFS('Solid-Results'!H:H,"&gt;="&amp;Dashboard!$A35,'Solid-Results'!H:H,"&lt;="&amp;Dashboard!$B35,'Solid-Results'!AE:AE,"Green")</f>
        <v>0</v>
      </c>
      <c r="D35" s="34">
        <f>COUNTIFS('Solid-Results'!I:I,"&gt;="&amp;Dashboard!$A35,'Solid-Results'!I:I,"&lt;="&amp;Dashboard!$B35,'Solid-Results'!AF:AF,"Green")</f>
        <v>0</v>
      </c>
      <c r="E35" s="34">
        <f>COUNTIFS('Solid-Results'!J:J,"&gt;="&amp;Dashboard!$A35,'Solid-Results'!J:J,"&lt;="&amp;Dashboard!$B35,'Solid-Results'!AG:AG,"Green")</f>
        <v>0</v>
      </c>
      <c r="F35" s="34">
        <f>COUNTIFS('Solid-Results'!K:K,"&gt;="&amp;Dashboard!$A35,'Solid-Results'!K:K,"&lt;="&amp;Dashboard!$B35,'Solid-Results'!AH:AH,"Green")</f>
        <v>0</v>
      </c>
      <c r="G35" s="34">
        <f>COUNTIFS('Solid-Results'!L:L,"&gt;="&amp;Dashboard!$A35,'Solid-Results'!L:L,"&lt;="&amp;Dashboard!$B35,'Solid-Results'!AI:AI,"Green")</f>
        <v>0</v>
      </c>
      <c r="H35" s="34">
        <f>COUNTIFS('Solid-Results'!M:M,"&gt;="&amp;Dashboard!$A35,'Solid-Results'!M:M,"&lt;="&amp;Dashboard!$B35,'Solid-Results'!AJ:AJ,"Green")</f>
        <v>0</v>
      </c>
      <c r="I35" s="34">
        <f>COUNTIFS('Solid-Results'!N:N,"&gt;="&amp;Dashboard!$A35,'Solid-Results'!N:N,"&lt;="&amp;Dashboard!$B35,'Solid-Results'!AK:AK,"Green")</f>
        <v>0</v>
      </c>
      <c r="J35" s="34">
        <f>COUNTIFS('Solid-Results'!O:O,"&gt;="&amp;Dashboard!$A35,'Solid-Results'!O:O,"&lt;="&amp;Dashboard!$B35,'Solid-Results'!AL:AL,"Green")</f>
        <v>0</v>
      </c>
      <c r="K35" s="34">
        <f>COUNTIFS('Solid-Results'!P:P,"&gt;="&amp;Dashboard!$A35,'Solid-Results'!P:P,"&lt;="&amp;Dashboard!$B35,'Solid-Results'!AM:AM,"Green")</f>
        <v>0</v>
      </c>
      <c r="L35" s="34">
        <f>COUNTIFS('Solid-Results'!Q:Q,"&gt;="&amp;Dashboard!$A35,'Solid-Results'!Q:Q,"&lt;="&amp;Dashboard!$B35,'Solid-Results'!AN:AN,"Green")</f>
        <v>0</v>
      </c>
      <c r="M35" s="34">
        <f>COUNTIFS('Solid-Results'!R:R,"&gt;="&amp;Dashboard!$A35,'Solid-Results'!R:R,"&lt;="&amp;Dashboard!$B35,'Solid-Results'!AO:AO,"Green")</f>
        <v>0</v>
      </c>
      <c r="N35" s="34">
        <f>COUNTIFS('Solid-Results'!S:S,"&gt;="&amp;Dashboard!$A35,'Solid-Results'!S:S,"&lt;="&amp;Dashboard!$B35,'Solid-Results'!AP:AP,"Green")</f>
        <v>0</v>
      </c>
      <c r="O35" s="34">
        <f>COUNTIFS('Solid-Results'!T:T,"&gt;="&amp;Dashboard!$A35,'Solid-Results'!T:T,"&lt;="&amp;Dashboard!$B35,'Solid-Results'!AQ:AQ,"Green")</f>
        <v>0</v>
      </c>
      <c r="P35" s="34">
        <f>COUNTIFS('Solid-Results'!U:U,"&gt;="&amp;Dashboard!$A35,'Solid-Results'!U:U,"&lt;="&amp;Dashboard!$B35,'Solid-Results'!AR:AR,"Green")</f>
        <v>0</v>
      </c>
      <c r="Q35" s="34">
        <f>COUNTIFS('Solid-Results'!V:V,"&gt;="&amp;Dashboard!$A35,'Solid-Results'!V:V,"&lt;="&amp;Dashboard!$B35,'Solid-Results'!AS:AS,"Green")</f>
        <v>0</v>
      </c>
      <c r="R35" s="34">
        <f>COUNTIFS('Solid-Results'!W:W,"&gt;="&amp;Dashboard!$A35,'Solid-Results'!W:W,"&lt;="&amp;Dashboard!$B35,'Solid-Results'!AT:AT,"Green")</f>
        <v>0</v>
      </c>
    </row>
    <row r="36" spans="1:18" x14ac:dyDescent="0.25">
      <c r="A36" s="42">
        <f>B35+0.01</f>
        <v>10.01</v>
      </c>
      <c r="B36" s="41">
        <f>B35+10</f>
        <v>20</v>
      </c>
      <c r="C36" s="34">
        <f>COUNTIFS('Solid-Results'!H:H,"&gt;="&amp;Dashboard!$A36,'Solid-Results'!H:H,"&lt;="&amp;Dashboard!$B36,'Solid-Results'!AE:AE,"Green")</f>
        <v>0</v>
      </c>
      <c r="D36" s="34">
        <f>COUNTIFS('Solid-Results'!I:I,"&gt;="&amp;Dashboard!$A36,'Solid-Results'!I:I,"&lt;="&amp;Dashboard!$B36,'Solid-Results'!AF:AF,"Green")</f>
        <v>0</v>
      </c>
      <c r="E36" s="34">
        <f>COUNTIFS('Solid-Results'!J:J,"&gt;="&amp;Dashboard!$A36,'Solid-Results'!J:J,"&lt;="&amp;Dashboard!$B36,'Solid-Results'!AG:AG,"Green")</f>
        <v>2</v>
      </c>
      <c r="F36" s="34">
        <f>COUNTIFS('Solid-Results'!K:K,"&gt;="&amp;Dashboard!$A36,'Solid-Results'!K:K,"&lt;="&amp;Dashboard!$B36,'Solid-Results'!AH:AH,"Green")</f>
        <v>0</v>
      </c>
      <c r="G36" s="34">
        <f>COUNTIFS('Solid-Results'!L:L,"&gt;="&amp;Dashboard!$A36,'Solid-Results'!L:L,"&lt;="&amp;Dashboard!$B36,'Solid-Results'!AI:AI,"Green")</f>
        <v>0</v>
      </c>
      <c r="H36" s="34">
        <f>COUNTIFS('Solid-Results'!M:M,"&gt;="&amp;Dashboard!$A36,'Solid-Results'!M:M,"&lt;="&amp;Dashboard!$B36,'Solid-Results'!AJ:AJ,"Green")</f>
        <v>0</v>
      </c>
      <c r="I36" s="34">
        <f>COUNTIFS('Solid-Results'!N:N,"&gt;="&amp;Dashboard!$A36,'Solid-Results'!N:N,"&lt;="&amp;Dashboard!$B36,'Solid-Results'!AK:AK,"Green")</f>
        <v>1</v>
      </c>
      <c r="J36" s="34">
        <f>COUNTIFS('Solid-Results'!O:O,"&gt;="&amp;Dashboard!$A36,'Solid-Results'!O:O,"&lt;="&amp;Dashboard!$B36,'Solid-Results'!AL:AL,"Green")</f>
        <v>0</v>
      </c>
      <c r="K36" s="34">
        <f>COUNTIFS('Solid-Results'!P:P,"&gt;="&amp;Dashboard!$A36,'Solid-Results'!P:P,"&lt;="&amp;Dashboard!$B36,'Solid-Results'!AM:AM,"Green")</f>
        <v>5</v>
      </c>
      <c r="L36" s="34">
        <f>COUNTIFS('Solid-Results'!Q:Q,"&gt;="&amp;Dashboard!$A36,'Solid-Results'!Q:Q,"&lt;="&amp;Dashboard!$B36,'Solid-Results'!AN:AN,"Green")</f>
        <v>0</v>
      </c>
      <c r="M36" s="34">
        <f>COUNTIFS('Solid-Results'!R:R,"&gt;="&amp;Dashboard!$A36,'Solid-Results'!R:R,"&lt;="&amp;Dashboard!$B36,'Solid-Results'!AO:AO,"Green")</f>
        <v>0</v>
      </c>
      <c r="N36" s="34">
        <f>COUNTIFS('Solid-Results'!S:S,"&gt;="&amp;Dashboard!$A36,'Solid-Results'!S:S,"&lt;="&amp;Dashboard!$B36,'Solid-Results'!AP:AP,"Green")</f>
        <v>0</v>
      </c>
      <c r="O36" s="34">
        <f>COUNTIFS('Solid-Results'!T:T,"&gt;="&amp;Dashboard!$A36,'Solid-Results'!T:T,"&lt;="&amp;Dashboard!$B36,'Solid-Results'!AQ:AQ,"Green")</f>
        <v>0</v>
      </c>
      <c r="P36" s="34">
        <f>COUNTIFS('Solid-Results'!U:U,"&gt;="&amp;Dashboard!$A36,'Solid-Results'!U:U,"&lt;="&amp;Dashboard!$B36,'Solid-Results'!AR:AR,"Green")</f>
        <v>0</v>
      </c>
      <c r="Q36" s="34">
        <f>COUNTIFS('Solid-Results'!V:V,"&gt;="&amp;Dashboard!$A36,'Solid-Results'!V:V,"&lt;="&amp;Dashboard!$B36,'Solid-Results'!AS:AS,"Green")</f>
        <v>0</v>
      </c>
      <c r="R36" s="34">
        <f>COUNTIFS('Solid-Results'!W:W,"&gt;="&amp;Dashboard!$A36,'Solid-Results'!W:W,"&lt;="&amp;Dashboard!$B36,'Solid-Results'!AT:AT,"Green")</f>
        <v>0</v>
      </c>
    </row>
    <row r="37" spans="1:18" x14ac:dyDescent="0.25">
      <c r="A37" s="42">
        <f t="shared" ref="A37:A44" si="2">B36+0.01</f>
        <v>20.010000000000002</v>
      </c>
      <c r="B37" s="41">
        <f t="shared" ref="B37:B44" si="3">B36+10</f>
        <v>30</v>
      </c>
      <c r="C37" s="34">
        <f>COUNTIFS('Solid-Results'!H:H,"&gt;="&amp;Dashboard!$A37,'Solid-Results'!H:H,"&lt;="&amp;Dashboard!$B37,'Solid-Results'!AE:AE,"Green")</f>
        <v>0</v>
      </c>
      <c r="D37" s="34">
        <f>COUNTIFS('Solid-Results'!I:I,"&gt;="&amp;Dashboard!$A37,'Solid-Results'!I:I,"&lt;="&amp;Dashboard!$B37,'Solid-Results'!AF:AF,"Green")</f>
        <v>12</v>
      </c>
      <c r="E37" s="34">
        <f>COUNTIFS('Solid-Results'!J:J,"&gt;="&amp;Dashboard!$A37,'Solid-Results'!J:J,"&lt;="&amp;Dashboard!$B37,'Solid-Results'!AG:AG,"Green")</f>
        <v>10</v>
      </c>
      <c r="F37" s="34">
        <f>COUNTIFS('Solid-Results'!K:K,"&gt;="&amp;Dashboard!$A37,'Solid-Results'!K:K,"&lt;="&amp;Dashboard!$B37,'Solid-Results'!AH:AH,"Green")</f>
        <v>0</v>
      </c>
      <c r="G37" s="34">
        <f>COUNTIFS('Solid-Results'!L:L,"&gt;="&amp;Dashboard!$A37,'Solid-Results'!L:L,"&lt;="&amp;Dashboard!$B37,'Solid-Results'!AI:AI,"Green")</f>
        <v>0</v>
      </c>
      <c r="H37" s="34">
        <f>COUNTIFS('Solid-Results'!M:M,"&gt;="&amp;Dashboard!$A37,'Solid-Results'!M:M,"&lt;="&amp;Dashboard!$B37,'Solid-Results'!AJ:AJ,"Green")</f>
        <v>0</v>
      </c>
      <c r="I37" s="34">
        <f>COUNTIFS('Solid-Results'!N:N,"&gt;="&amp;Dashboard!$A37,'Solid-Results'!N:N,"&lt;="&amp;Dashboard!$B37,'Solid-Results'!AK:AK,"Green")</f>
        <v>10</v>
      </c>
      <c r="J37" s="34">
        <f>COUNTIFS('Solid-Results'!O:O,"&gt;="&amp;Dashboard!$A37,'Solid-Results'!O:O,"&lt;="&amp;Dashboard!$B37,'Solid-Results'!AL:AL,"Green")</f>
        <v>1</v>
      </c>
      <c r="K37" s="34">
        <f>COUNTIFS('Solid-Results'!P:P,"&gt;="&amp;Dashboard!$A37,'Solid-Results'!P:P,"&lt;="&amp;Dashboard!$B37,'Solid-Results'!AM:AM,"Green")</f>
        <v>10</v>
      </c>
      <c r="L37" s="34">
        <f>COUNTIFS('Solid-Results'!Q:Q,"&gt;="&amp;Dashboard!$A37,'Solid-Results'!Q:Q,"&lt;="&amp;Dashboard!$B37,'Solid-Results'!AN:AN,"Green")</f>
        <v>0</v>
      </c>
      <c r="M37" s="34">
        <f>COUNTIFS('Solid-Results'!R:R,"&gt;="&amp;Dashboard!$A37,'Solid-Results'!R:R,"&lt;="&amp;Dashboard!$B37,'Solid-Results'!AO:AO,"Green")</f>
        <v>0</v>
      </c>
      <c r="N37" s="34">
        <f>COUNTIFS('Solid-Results'!S:S,"&gt;="&amp;Dashboard!$A37,'Solid-Results'!S:S,"&lt;="&amp;Dashboard!$B37,'Solid-Results'!AP:AP,"Green")</f>
        <v>2</v>
      </c>
      <c r="O37" s="34">
        <f>COUNTIFS('Solid-Results'!T:T,"&gt;="&amp;Dashboard!$A37,'Solid-Results'!T:T,"&lt;="&amp;Dashboard!$B37,'Solid-Results'!AQ:AQ,"Green")</f>
        <v>2</v>
      </c>
      <c r="P37" s="34">
        <f>COUNTIFS('Solid-Results'!U:U,"&gt;="&amp;Dashboard!$A37,'Solid-Results'!U:U,"&lt;="&amp;Dashboard!$B37,'Solid-Results'!AR:AR,"Green")</f>
        <v>2</v>
      </c>
      <c r="Q37" s="34">
        <f>COUNTIFS('Solid-Results'!V:V,"&gt;="&amp;Dashboard!$A37,'Solid-Results'!V:V,"&lt;="&amp;Dashboard!$B37,'Solid-Results'!AS:AS,"Green")</f>
        <v>0</v>
      </c>
      <c r="R37" s="34">
        <f>COUNTIFS('Solid-Results'!W:W,"&gt;="&amp;Dashboard!$A37,'Solid-Results'!W:W,"&lt;="&amp;Dashboard!$B37,'Solid-Results'!AT:AT,"Green")</f>
        <v>1</v>
      </c>
    </row>
    <row r="38" spans="1:18" x14ac:dyDescent="0.25">
      <c r="A38" s="42">
        <f t="shared" si="2"/>
        <v>30.01</v>
      </c>
      <c r="B38" s="41">
        <f t="shared" si="3"/>
        <v>40</v>
      </c>
      <c r="C38" s="34">
        <f>COUNTIFS('Solid-Results'!H:H,"&gt;="&amp;Dashboard!$A38,'Solid-Results'!H:H,"&lt;="&amp;Dashboard!$B38,'Solid-Results'!AE:AE,"Green")</f>
        <v>9</v>
      </c>
      <c r="D38" s="34">
        <f>COUNTIFS('Solid-Results'!I:I,"&gt;="&amp;Dashboard!$A38,'Solid-Results'!I:I,"&lt;="&amp;Dashboard!$B38,'Solid-Results'!AF:AF,"Green")</f>
        <v>6</v>
      </c>
      <c r="E38" s="34">
        <f>COUNTIFS('Solid-Results'!J:J,"&gt;="&amp;Dashboard!$A38,'Solid-Results'!J:J,"&lt;="&amp;Dashboard!$B38,'Solid-Results'!AG:AG,"Green")</f>
        <v>8</v>
      </c>
      <c r="F38" s="34">
        <f>COUNTIFS('Solid-Results'!K:K,"&gt;="&amp;Dashboard!$A38,'Solid-Results'!K:K,"&lt;="&amp;Dashboard!$B38,'Solid-Results'!AH:AH,"Green")</f>
        <v>0</v>
      </c>
      <c r="G38" s="34">
        <f>COUNTIFS('Solid-Results'!L:L,"&gt;="&amp;Dashboard!$A38,'Solid-Results'!L:L,"&lt;="&amp;Dashboard!$B38,'Solid-Results'!AI:AI,"Green")</f>
        <v>1</v>
      </c>
      <c r="H38" s="34">
        <f>COUNTIFS('Solid-Results'!M:M,"&gt;="&amp;Dashboard!$A38,'Solid-Results'!M:M,"&lt;="&amp;Dashboard!$B38,'Solid-Results'!AJ:AJ,"Green")</f>
        <v>0</v>
      </c>
      <c r="I38" s="34">
        <f>COUNTIFS('Solid-Results'!N:N,"&gt;="&amp;Dashboard!$A38,'Solid-Results'!N:N,"&lt;="&amp;Dashboard!$B38,'Solid-Results'!AK:AK,"Green")</f>
        <v>12</v>
      </c>
      <c r="J38" s="34">
        <f>COUNTIFS('Solid-Results'!O:O,"&gt;="&amp;Dashboard!$A38,'Solid-Results'!O:O,"&lt;="&amp;Dashboard!$B38,'Solid-Results'!AL:AL,"Green")</f>
        <v>7</v>
      </c>
      <c r="K38" s="34">
        <f>COUNTIFS('Solid-Results'!P:P,"&gt;="&amp;Dashboard!$A38,'Solid-Results'!P:P,"&lt;="&amp;Dashboard!$B38,'Solid-Results'!AM:AM,"Green")</f>
        <v>6</v>
      </c>
      <c r="L38" s="34">
        <f>COUNTIFS('Solid-Results'!Q:Q,"&gt;="&amp;Dashboard!$A38,'Solid-Results'!Q:Q,"&lt;="&amp;Dashboard!$B38,'Solid-Results'!AN:AN,"Green")</f>
        <v>0</v>
      </c>
      <c r="M38" s="34">
        <f>COUNTIFS('Solid-Results'!R:R,"&gt;="&amp;Dashboard!$A38,'Solid-Results'!R:R,"&lt;="&amp;Dashboard!$B38,'Solid-Results'!AO:AO,"Green")</f>
        <v>0</v>
      </c>
      <c r="N38" s="34">
        <f>COUNTIFS('Solid-Results'!S:S,"&gt;="&amp;Dashboard!$A38,'Solid-Results'!S:S,"&lt;="&amp;Dashboard!$B38,'Solid-Results'!AP:AP,"Green")</f>
        <v>7</v>
      </c>
      <c r="O38" s="34">
        <f>COUNTIFS('Solid-Results'!T:T,"&gt;="&amp;Dashboard!$A38,'Solid-Results'!T:T,"&lt;="&amp;Dashboard!$B38,'Solid-Results'!AQ:AQ,"Green")</f>
        <v>5</v>
      </c>
      <c r="P38" s="34">
        <f>COUNTIFS('Solid-Results'!U:U,"&gt;="&amp;Dashboard!$A38,'Solid-Results'!U:U,"&lt;="&amp;Dashboard!$B38,'Solid-Results'!AR:AR,"Green")</f>
        <v>5</v>
      </c>
      <c r="Q38" s="34">
        <f>COUNTIFS('Solid-Results'!V:V,"&gt;="&amp;Dashboard!$A38,'Solid-Results'!V:V,"&lt;="&amp;Dashboard!$B38,'Solid-Results'!AS:AS,"Green")</f>
        <v>5</v>
      </c>
      <c r="R38" s="34">
        <f>COUNTIFS('Solid-Results'!W:W,"&gt;="&amp;Dashboard!$A38,'Solid-Results'!W:W,"&lt;="&amp;Dashboard!$B38,'Solid-Results'!AT:AT,"Green")</f>
        <v>11</v>
      </c>
    </row>
    <row r="39" spans="1:18" x14ac:dyDescent="0.25">
      <c r="A39" s="42">
        <f t="shared" si="2"/>
        <v>40.01</v>
      </c>
      <c r="B39" s="41">
        <f t="shared" si="3"/>
        <v>50</v>
      </c>
      <c r="C39" s="34">
        <f>COUNTIFS('Solid-Results'!H:H,"&gt;="&amp;Dashboard!$A39,'Solid-Results'!H:H,"&lt;="&amp;Dashboard!$B39,'Solid-Results'!AE:AE,"Green")</f>
        <v>18</v>
      </c>
      <c r="D39" s="34">
        <f>COUNTIFS('Solid-Results'!I:I,"&gt;="&amp;Dashboard!$A39,'Solid-Results'!I:I,"&lt;="&amp;Dashboard!$B39,'Solid-Results'!AF:AF,"Green")</f>
        <v>0</v>
      </c>
      <c r="E39" s="34">
        <f>COUNTIFS('Solid-Results'!J:J,"&gt;="&amp;Dashboard!$A39,'Solid-Results'!J:J,"&lt;="&amp;Dashboard!$B39,'Solid-Results'!AG:AG,"Green")</f>
        <v>3</v>
      </c>
      <c r="F39" s="34">
        <f>COUNTIFS('Solid-Results'!K:K,"&gt;="&amp;Dashboard!$A39,'Solid-Results'!K:K,"&lt;="&amp;Dashboard!$B39,'Solid-Results'!AH:AH,"Green")</f>
        <v>1</v>
      </c>
      <c r="G39" s="34">
        <f>COUNTIFS('Solid-Results'!L:L,"&gt;="&amp;Dashboard!$A39,'Solid-Results'!L:L,"&lt;="&amp;Dashboard!$B39,'Solid-Results'!AI:AI,"Green")</f>
        <v>4</v>
      </c>
      <c r="H39" s="34">
        <f>COUNTIFS('Solid-Results'!M:M,"&gt;="&amp;Dashboard!$A39,'Solid-Results'!M:M,"&lt;="&amp;Dashboard!$B39,'Solid-Results'!AJ:AJ,"Green")</f>
        <v>0</v>
      </c>
      <c r="I39" s="34">
        <f>COUNTIFS('Solid-Results'!N:N,"&gt;="&amp;Dashboard!$A39,'Solid-Results'!N:N,"&lt;="&amp;Dashboard!$B39,'Solid-Results'!AK:AK,"Green")</f>
        <v>3</v>
      </c>
      <c r="J39" s="34">
        <f>COUNTIFS('Solid-Results'!O:O,"&gt;="&amp;Dashboard!$A39,'Solid-Results'!O:O,"&lt;="&amp;Dashboard!$B39,'Solid-Results'!AL:AL,"Green")</f>
        <v>16</v>
      </c>
      <c r="K39" s="34">
        <f>COUNTIFS('Solid-Results'!P:P,"&gt;="&amp;Dashboard!$A39,'Solid-Results'!P:P,"&lt;="&amp;Dashboard!$B39,'Solid-Results'!AM:AM,"Green")</f>
        <v>1</v>
      </c>
      <c r="L39" s="34">
        <f>COUNTIFS('Solid-Results'!Q:Q,"&gt;="&amp;Dashboard!$A39,'Solid-Results'!Q:Q,"&lt;="&amp;Dashboard!$B39,'Solid-Results'!AN:AN,"Green")</f>
        <v>1</v>
      </c>
      <c r="M39" s="34">
        <f>COUNTIFS('Solid-Results'!R:R,"&gt;="&amp;Dashboard!$A39,'Solid-Results'!R:R,"&lt;="&amp;Dashboard!$B39,'Solid-Results'!AO:AO,"Green")</f>
        <v>1</v>
      </c>
      <c r="N39" s="34">
        <f>COUNTIFS('Solid-Results'!S:S,"&gt;="&amp;Dashboard!$A39,'Solid-Results'!S:S,"&lt;="&amp;Dashboard!$B39,'Solid-Results'!AP:AP,"Green")</f>
        <v>12</v>
      </c>
      <c r="O39" s="34">
        <f>COUNTIFS('Solid-Results'!T:T,"&gt;="&amp;Dashboard!$A39,'Solid-Results'!T:T,"&lt;="&amp;Dashboard!$B39,'Solid-Results'!AQ:AQ,"Green")</f>
        <v>6</v>
      </c>
      <c r="P39" s="34">
        <f>COUNTIFS('Solid-Results'!U:U,"&gt;="&amp;Dashboard!$A39,'Solid-Results'!U:U,"&lt;="&amp;Dashboard!$B39,'Solid-Results'!AR:AR,"Green")</f>
        <v>11</v>
      </c>
      <c r="Q39" s="34">
        <f>COUNTIFS('Solid-Results'!V:V,"&gt;="&amp;Dashboard!$A39,'Solid-Results'!V:V,"&lt;="&amp;Dashboard!$B39,'Solid-Results'!AS:AS,"Green")</f>
        <v>14</v>
      </c>
      <c r="R39" s="34">
        <f>COUNTIFS('Solid-Results'!W:W,"&gt;="&amp;Dashboard!$A39,'Solid-Results'!W:W,"&lt;="&amp;Dashboard!$B39,'Solid-Results'!AT:AT,"Green")</f>
        <v>9</v>
      </c>
    </row>
    <row r="40" spans="1:18" x14ac:dyDescent="0.25">
      <c r="A40" s="42">
        <f t="shared" si="2"/>
        <v>50.01</v>
      </c>
      <c r="B40" s="41">
        <f t="shared" si="3"/>
        <v>60</v>
      </c>
      <c r="C40" s="34">
        <f>COUNTIFS('Solid-Results'!H:H,"&gt;="&amp;Dashboard!$A40,'Solid-Results'!H:H,"&lt;="&amp;Dashboard!$B40,'Solid-Results'!AE:AE,"Green")</f>
        <v>6</v>
      </c>
      <c r="D40" s="34">
        <f>COUNTIFS('Solid-Results'!I:I,"&gt;="&amp;Dashboard!$A40,'Solid-Results'!I:I,"&lt;="&amp;Dashboard!$B40,'Solid-Results'!AF:AF,"Green")</f>
        <v>0</v>
      </c>
      <c r="E40" s="34">
        <f>COUNTIFS('Solid-Results'!J:J,"&gt;="&amp;Dashboard!$A40,'Solid-Results'!J:J,"&lt;="&amp;Dashboard!$B40,'Solid-Results'!AG:AG,"Green")</f>
        <v>1</v>
      </c>
      <c r="F40" s="34">
        <f>COUNTIFS('Solid-Results'!K:K,"&gt;="&amp;Dashboard!$A40,'Solid-Results'!K:K,"&lt;="&amp;Dashboard!$B40,'Solid-Results'!AH:AH,"Green")</f>
        <v>4</v>
      </c>
      <c r="G40" s="34">
        <f>COUNTIFS('Solid-Results'!L:L,"&gt;="&amp;Dashboard!$A40,'Solid-Results'!L:L,"&lt;="&amp;Dashboard!$B40,'Solid-Results'!AI:AI,"Green")</f>
        <v>17</v>
      </c>
      <c r="H40" s="34">
        <f>COUNTIFS('Solid-Results'!M:M,"&gt;="&amp;Dashboard!$A40,'Solid-Results'!M:M,"&lt;="&amp;Dashboard!$B40,'Solid-Results'!AJ:AJ,"Green")</f>
        <v>0</v>
      </c>
      <c r="I40" s="34">
        <f>COUNTIFS('Solid-Results'!N:N,"&gt;="&amp;Dashboard!$A40,'Solid-Results'!N:N,"&lt;="&amp;Dashboard!$B40,'Solid-Results'!AK:AK,"Green")</f>
        <v>1</v>
      </c>
      <c r="J40" s="34">
        <f>COUNTIFS('Solid-Results'!O:O,"&gt;="&amp;Dashboard!$A40,'Solid-Results'!O:O,"&lt;="&amp;Dashboard!$B40,'Solid-Results'!AL:AL,"Green")</f>
        <v>7</v>
      </c>
      <c r="K40" s="34">
        <f>COUNTIFS('Solid-Results'!P:P,"&gt;="&amp;Dashboard!$A40,'Solid-Results'!P:P,"&lt;="&amp;Dashboard!$B40,'Solid-Results'!AM:AM,"Green")</f>
        <v>0</v>
      </c>
      <c r="L40" s="34">
        <f>COUNTIFS('Solid-Results'!Q:Q,"&gt;="&amp;Dashboard!$A40,'Solid-Results'!Q:Q,"&lt;="&amp;Dashboard!$B40,'Solid-Results'!AN:AN,"Green")</f>
        <v>8</v>
      </c>
      <c r="M40" s="34">
        <f>COUNTIFS('Solid-Results'!R:R,"&gt;="&amp;Dashboard!$A40,'Solid-Results'!R:R,"&lt;="&amp;Dashboard!$B40,'Solid-Results'!AO:AO,"Green")</f>
        <v>3</v>
      </c>
      <c r="N40" s="34">
        <f>COUNTIFS('Solid-Results'!S:S,"&gt;="&amp;Dashboard!$A40,'Solid-Results'!S:S,"&lt;="&amp;Dashboard!$B40,'Solid-Results'!AP:AP,"Green")</f>
        <v>15</v>
      </c>
      <c r="O40" s="34">
        <f>COUNTIFS('Solid-Results'!T:T,"&gt;="&amp;Dashboard!$A40,'Solid-Results'!T:T,"&lt;="&amp;Dashboard!$B40,'Solid-Results'!AQ:AQ,"Green")</f>
        <v>7</v>
      </c>
      <c r="P40" s="34">
        <f>COUNTIFS('Solid-Results'!U:U,"&gt;="&amp;Dashboard!$A40,'Solid-Results'!U:U,"&lt;="&amp;Dashboard!$B40,'Solid-Results'!AR:AR,"Green")</f>
        <v>13</v>
      </c>
      <c r="Q40" s="34">
        <f>COUNTIFS('Solid-Results'!V:V,"&gt;="&amp;Dashboard!$A40,'Solid-Results'!V:V,"&lt;="&amp;Dashboard!$B40,'Solid-Results'!AS:AS,"Green")</f>
        <v>17</v>
      </c>
      <c r="R40" s="34">
        <f>COUNTIFS('Solid-Results'!W:W,"&gt;="&amp;Dashboard!$A40,'Solid-Results'!W:W,"&lt;="&amp;Dashboard!$B40,'Solid-Results'!AT:AT,"Green")</f>
        <v>5</v>
      </c>
    </row>
    <row r="41" spans="1:18" x14ac:dyDescent="0.25">
      <c r="A41" s="42">
        <f t="shared" si="2"/>
        <v>60.01</v>
      </c>
      <c r="B41" s="41">
        <f t="shared" si="3"/>
        <v>70</v>
      </c>
      <c r="C41" s="34">
        <f>COUNTIFS('Solid-Results'!H:H,"&gt;="&amp;Dashboard!$A41,'Solid-Results'!H:H,"&lt;="&amp;Dashboard!$B41,'Solid-Results'!AE:AE,"Green")</f>
        <v>6</v>
      </c>
      <c r="D41" s="34">
        <f>COUNTIFS('Solid-Results'!I:I,"&gt;="&amp;Dashboard!$A41,'Solid-Results'!I:I,"&lt;="&amp;Dashboard!$B41,'Solid-Results'!AF:AF,"Green")</f>
        <v>0</v>
      </c>
      <c r="E41" s="34">
        <f>COUNTIFS('Solid-Results'!J:J,"&gt;="&amp;Dashboard!$A41,'Solid-Results'!J:J,"&lt;="&amp;Dashboard!$B41,'Solid-Results'!AG:AG,"Green")</f>
        <v>0</v>
      </c>
      <c r="F41" s="34">
        <f>COUNTIFS('Solid-Results'!K:K,"&gt;="&amp;Dashboard!$A41,'Solid-Results'!K:K,"&lt;="&amp;Dashboard!$B41,'Solid-Results'!AH:AH,"Green")</f>
        <v>15</v>
      </c>
      <c r="G41" s="34">
        <f>COUNTIFS('Solid-Results'!L:L,"&gt;="&amp;Dashboard!$A41,'Solid-Results'!L:L,"&lt;="&amp;Dashboard!$B41,'Solid-Results'!AI:AI,"Green")</f>
        <v>11</v>
      </c>
      <c r="H41" s="34">
        <f>COUNTIFS('Solid-Results'!M:M,"&gt;="&amp;Dashboard!$A41,'Solid-Results'!M:M,"&lt;="&amp;Dashboard!$B41,'Solid-Results'!AJ:AJ,"Green")</f>
        <v>15</v>
      </c>
      <c r="I41" s="34">
        <f>COUNTIFS('Solid-Results'!N:N,"&gt;="&amp;Dashboard!$A41,'Solid-Results'!N:N,"&lt;="&amp;Dashboard!$B41,'Solid-Results'!AK:AK,"Green")</f>
        <v>1</v>
      </c>
      <c r="J41" s="34">
        <f>COUNTIFS('Solid-Results'!O:O,"&gt;="&amp;Dashboard!$A41,'Solid-Results'!O:O,"&lt;="&amp;Dashboard!$B41,'Solid-Results'!AL:AL,"Green")</f>
        <v>0</v>
      </c>
      <c r="K41" s="34">
        <f>COUNTIFS('Solid-Results'!P:P,"&gt;="&amp;Dashboard!$A41,'Solid-Results'!P:P,"&lt;="&amp;Dashboard!$B41,'Solid-Results'!AM:AM,"Green")</f>
        <v>0</v>
      </c>
      <c r="L41" s="34">
        <f>COUNTIFS('Solid-Results'!Q:Q,"&gt;="&amp;Dashboard!$A41,'Solid-Results'!Q:Q,"&lt;="&amp;Dashboard!$B41,'Solid-Results'!AN:AN,"Green")</f>
        <v>30</v>
      </c>
      <c r="M41" s="34">
        <f>COUNTIFS('Solid-Results'!R:R,"&gt;="&amp;Dashboard!$A41,'Solid-Results'!R:R,"&lt;="&amp;Dashboard!$B41,'Solid-Results'!AO:AO,"Green")</f>
        <v>15</v>
      </c>
      <c r="N41" s="34">
        <f>COUNTIFS('Solid-Results'!S:S,"&gt;="&amp;Dashboard!$A41,'Solid-Results'!S:S,"&lt;="&amp;Dashboard!$B41,'Solid-Results'!AP:AP,"Green")</f>
        <v>8</v>
      </c>
      <c r="O41" s="34">
        <f>COUNTIFS('Solid-Results'!T:T,"&gt;="&amp;Dashboard!$A41,'Solid-Results'!T:T,"&lt;="&amp;Dashboard!$B41,'Solid-Results'!AQ:AQ,"Green")</f>
        <v>4</v>
      </c>
      <c r="P41" s="34">
        <f>COUNTIFS('Solid-Results'!U:U,"&gt;="&amp;Dashboard!$A41,'Solid-Results'!U:U,"&lt;="&amp;Dashboard!$B41,'Solid-Results'!AR:AR,"Green")</f>
        <v>12</v>
      </c>
      <c r="Q41" s="34">
        <f>COUNTIFS('Solid-Results'!V:V,"&gt;="&amp;Dashboard!$A41,'Solid-Results'!V:V,"&lt;="&amp;Dashboard!$B41,'Solid-Results'!AS:AS,"Green")</f>
        <v>8</v>
      </c>
      <c r="R41" s="34">
        <f>COUNTIFS('Solid-Results'!W:W,"&gt;="&amp;Dashboard!$A41,'Solid-Results'!W:W,"&lt;="&amp;Dashboard!$B41,'Solid-Results'!AT:AT,"Green")</f>
        <v>2</v>
      </c>
    </row>
    <row r="42" spans="1:18" x14ac:dyDescent="0.25">
      <c r="A42" s="42">
        <f t="shared" si="2"/>
        <v>70.010000000000005</v>
      </c>
      <c r="B42" s="41">
        <f t="shared" si="3"/>
        <v>80</v>
      </c>
      <c r="C42" s="34">
        <f>COUNTIFS('Solid-Results'!H:H,"&gt;="&amp;Dashboard!$A42,'Solid-Results'!H:H,"&lt;="&amp;Dashboard!$B42,'Solid-Results'!AE:AE,"Green")</f>
        <v>0</v>
      </c>
      <c r="D42" s="34">
        <f>COUNTIFS('Solid-Results'!I:I,"&gt;="&amp;Dashboard!$A42,'Solid-Results'!I:I,"&lt;="&amp;Dashboard!$B42,'Solid-Results'!AF:AF,"Green")</f>
        <v>0</v>
      </c>
      <c r="E42" s="34">
        <f>COUNTIFS('Solid-Results'!J:J,"&gt;="&amp;Dashboard!$A42,'Solid-Results'!J:J,"&lt;="&amp;Dashboard!$B42,'Solid-Results'!AG:AG,"Green")</f>
        <v>0</v>
      </c>
      <c r="F42" s="34">
        <f>COUNTIFS('Solid-Results'!K:K,"&gt;="&amp;Dashboard!$A42,'Solid-Results'!K:K,"&lt;="&amp;Dashboard!$B42,'Solid-Results'!AH:AH,"Green")</f>
        <v>27</v>
      </c>
      <c r="G42" s="34">
        <f>COUNTIFS('Solid-Results'!L:L,"&gt;="&amp;Dashboard!$A42,'Solid-Results'!L:L,"&lt;="&amp;Dashboard!$B42,'Solid-Results'!AI:AI,"Green")</f>
        <v>9</v>
      </c>
      <c r="H42" s="34">
        <f>COUNTIFS('Solid-Results'!M:M,"&gt;="&amp;Dashboard!$A42,'Solid-Results'!M:M,"&lt;="&amp;Dashboard!$B42,'Solid-Results'!AJ:AJ,"Green")</f>
        <v>48</v>
      </c>
      <c r="I42" s="34">
        <f>COUNTIFS('Solid-Results'!N:N,"&gt;="&amp;Dashboard!$A42,'Solid-Results'!N:N,"&lt;="&amp;Dashboard!$B42,'Solid-Results'!AK:AK,"Green")</f>
        <v>0</v>
      </c>
      <c r="J42" s="34">
        <f>COUNTIFS('Solid-Results'!O:O,"&gt;="&amp;Dashboard!$A42,'Solid-Results'!O:O,"&lt;="&amp;Dashboard!$B42,'Solid-Results'!AL:AL,"Green")</f>
        <v>0</v>
      </c>
      <c r="K42" s="34">
        <f>COUNTIFS('Solid-Results'!P:P,"&gt;="&amp;Dashboard!$A42,'Solid-Results'!P:P,"&lt;="&amp;Dashboard!$B42,'Solid-Results'!AM:AM,"Green")</f>
        <v>0</v>
      </c>
      <c r="L42" s="34">
        <f>COUNTIFS('Solid-Results'!Q:Q,"&gt;="&amp;Dashboard!$A42,'Solid-Results'!Q:Q,"&lt;="&amp;Dashboard!$B42,'Solid-Results'!AN:AN,"Green")</f>
        <v>18</v>
      </c>
      <c r="M42" s="34">
        <f>COUNTIFS('Solid-Results'!R:R,"&gt;="&amp;Dashboard!$A42,'Solid-Results'!R:R,"&lt;="&amp;Dashboard!$B42,'Solid-Results'!AO:AO,"Green")</f>
        <v>24</v>
      </c>
      <c r="N42" s="34">
        <f>COUNTIFS('Solid-Results'!S:S,"&gt;="&amp;Dashboard!$A42,'Solid-Results'!S:S,"&lt;="&amp;Dashboard!$B42,'Solid-Results'!AP:AP,"Green")</f>
        <v>7</v>
      </c>
      <c r="O42" s="34">
        <f>COUNTIFS('Solid-Results'!T:T,"&gt;="&amp;Dashboard!$A42,'Solid-Results'!T:T,"&lt;="&amp;Dashboard!$B42,'Solid-Results'!AQ:AQ,"Green")</f>
        <v>4</v>
      </c>
      <c r="P42" s="34">
        <f>COUNTIFS('Solid-Results'!U:U,"&gt;="&amp;Dashboard!$A42,'Solid-Results'!U:U,"&lt;="&amp;Dashboard!$B42,'Solid-Results'!AR:AR,"Green")</f>
        <v>7</v>
      </c>
      <c r="Q42" s="34">
        <f>COUNTIFS('Solid-Results'!V:V,"&gt;="&amp;Dashboard!$A42,'Solid-Results'!V:V,"&lt;="&amp;Dashboard!$B42,'Solid-Results'!AS:AS,"Green")</f>
        <v>9</v>
      </c>
      <c r="R42" s="34">
        <f>COUNTIFS('Solid-Results'!W:W,"&gt;="&amp;Dashboard!$A42,'Solid-Results'!W:W,"&lt;="&amp;Dashboard!$B42,'Solid-Results'!AT:AT,"Green")</f>
        <v>0</v>
      </c>
    </row>
    <row r="43" spans="1:18" x14ac:dyDescent="0.25">
      <c r="A43" s="42">
        <f t="shared" si="2"/>
        <v>80.010000000000005</v>
      </c>
      <c r="B43" s="41">
        <f t="shared" si="3"/>
        <v>90</v>
      </c>
      <c r="C43" s="34">
        <f>COUNTIFS('Solid-Results'!H:H,"&gt;="&amp;Dashboard!$A43,'Solid-Results'!H:H,"&lt;="&amp;Dashboard!$B43,'Solid-Results'!AE:AE,"Green")</f>
        <v>0</v>
      </c>
      <c r="D43" s="34">
        <f>COUNTIFS('Solid-Results'!I:I,"&gt;="&amp;Dashboard!$A43,'Solid-Results'!I:I,"&lt;="&amp;Dashboard!$B43,'Solid-Results'!AF:AF,"Green")</f>
        <v>0</v>
      </c>
      <c r="E43" s="34">
        <f>COUNTIFS('Solid-Results'!J:J,"&gt;="&amp;Dashboard!$A43,'Solid-Results'!J:J,"&lt;="&amp;Dashboard!$B43,'Solid-Results'!AG:AG,"Green")</f>
        <v>0</v>
      </c>
      <c r="F43" s="34">
        <f>COUNTIFS('Solid-Results'!K:K,"&gt;="&amp;Dashboard!$A43,'Solid-Results'!K:K,"&lt;="&amp;Dashboard!$B43,'Solid-Results'!AH:AH,"Green")</f>
        <v>9</v>
      </c>
      <c r="G43" s="34">
        <f>COUNTIFS('Solid-Results'!L:L,"&gt;="&amp;Dashboard!$A43,'Solid-Results'!L:L,"&lt;="&amp;Dashboard!$B43,'Solid-Results'!AI:AI,"Green")</f>
        <v>0</v>
      </c>
      <c r="H43" s="34">
        <f>COUNTIFS('Solid-Results'!M:M,"&gt;="&amp;Dashboard!$A43,'Solid-Results'!M:M,"&lt;="&amp;Dashboard!$B43,'Solid-Results'!AJ:AJ,"Green")</f>
        <v>0</v>
      </c>
      <c r="I43" s="34">
        <f>COUNTIFS('Solid-Results'!N:N,"&gt;="&amp;Dashboard!$A43,'Solid-Results'!N:N,"&lt;="&amp;Dashboard!$B43,'Solid-Results'!AK:AK,"Green")</f>
        <v>0</v>
      </c>
      <c r="J43" s="34">
        <f>COUNTIFS('Solid-Results'!O:O,"&gt;="&amp;Dashboard!$A43,'Solid-Results'!O:O,"&lt;="&amp;Dashboard!$B43,'Solid-Results'!AL:AL,"Green")</f>
        <v>0</v>
      </c>
      <c r="K43" s="34">
        <f>COUNTIFS('Solid-Results'!P:P,"&gt;="&amp;Dashboard!$A43,'Solid-Results'!P:P,"&lt;="&amp;Dashboard!$B43,'Solid-Results'!AM:AM,"Green")</f>
        <v>0</v>
      </c>
      <c r="L43" s="34">
        <f>COUNTIFS('Solid-Results'!Q:Q,"&gt;="&amp;Dashboard!$A43,'Solid-Results'!Q:Q,"&lt;="&amp;Dashboard!$B43,'Solid-Results'!AN:AN,"Green")</f>
        <v>9</v>
      </c>
      <c r="M43" s="34">
        <f>COUNTIFS('Solid-Results'!R:R,"&gt;="&amp;Dashboard!$A43,'Solid-Results'!R:R,"&lt;="&amp;Dashboard!$B43,'Solid-Results'!AO:AO,"Green")</f>
        <v>18</v>
      </c>
      <c r="N43" s="34">
        <f>COUNTIFS('Solid-Results'!S:S,"&gt;="&amp;Dashboard!$A43,'Solid-Results'!S:S,"&lt;="&amp;Dashboard!$B43,'Solid-Results'!AP:AP,"Green")</f>
        <v>2</v>
      </c>
      <c r="O43" s="34">
        <f>COUNTIFS('Solid-Results'!T:T,"&gt;="&amp;Dashboard!$A43,'Solid-Results'!T:T,"&lt;="&amp;Dashboard!$B43,'Solid-Results'!AQ:AQ,"Green")</f>
        <v>0</v>
      </c>
      <c r="P43" s="34">
        <f>COUNTIFS('Solid-Results'!U:U,"&gt;="&amp;Dashboard!$A43,'Solid-Results'!U:U,"&lt;="&amp;Dashboard!$B43,'Solid-Results'!AR:AR,"Green")</f>
        <v>1</v>
      </c>
      <c r="Q43" s="34">
        <f>COUNTIFS('Solid-Results'!V:V,"&gt;="&amp;Dashboard!$A43,'Solid-Results'!V:V,"&lt;="&amp;Dashboard!$B43,'Solid-Results'!AS:AS,"Green")</f>
        <v>0</v>
      </c>
      <c r="R43" s="34">
        <f>COUNTIFS('Solid-Results'!W:W,"&gt;="&amp;Dashboard!$A43,'Solid-Results'!W:W,"&lt;="&amp;Dashboard!$B43,'Solid-Results'!AT:AT,"Green")</f>
        <v>0</v>
      </c>
    </row>
    <row r="44" spans="1:18" x14ac:dyDescent="0.25">
      <c r="A44" s="42">
        <f t="shared" si="2"/>
        <v>90.01</v>
      </c>
      <c r="B44" s="41">
        <f t="shared" si="3"/>
        <v>100</v>
      </c>
      <c r="C44" s="34">
        <f>COUNTIFS('Solid-Results'!H:H,"&gt;="&amp;Dashboard!$A44,'Solid-Results'!H:H,"&lt;="&amp;Dashboard!$B44,'Solid-Results'!AE:AE,"Green")</f>
        <v>0</v>
      </c>
      <c r="D44" s="34">
        <f>COUNTIFS('Solid-Results'!I:I,"&gt;="&amp;Dashboard!$A44,'Solid-Results'!I:I,"&lt;="&amp;Dashboard!$B44,'Solid-Results'!AF:AF,"Green")</f>
        <v>0</v>
      </c>
      <c r="E44" s="34">
        <f>COUNTIFS('Solid-Results'!J:J,"&gt;="&amp;Dashboard!$A44,'Solid-Results'!J:J,"&lt;="&amp;Dashboard!$B44,'Solid-Results'!AG:AG,"Green")</f>
        <v>0</v>
      </c>
      <c r="F44" s="34">
        <f>COUNTIFS('Solid-Results'!K:K,"&gt;="&amp;Dashboard!$A44,'Solid-Results'!K:K,"&lt;="&amp;Dashboard!$B44,'Solid-Results'!AH:AH,"Green")</f>
        <v>1</v>
      </c>
      <c r="G44" s="34">
        <f>COUNTIFS('Solid-Results'!L:L,"&gt;="&amp;Dashboard!$A44,'Solid-Results'!L:L,"&lt;="&amp;Dashboard!$B44,'Solid-Results'!AI:AI,"Green")</f>
        <v>0</v>
      </c>
      <c r="H44" s="34">
        <f>COUNTIFS('Solid-Results'!M:M,"&gt;="&amp;Dashboard!$A44,'Solid-Results'!M:M,"&lt;="&amp;Dashboard!$B44,'Solid-Results'!AJ:AJ,"Green")</f>
        <v>0</v>
      </c>
      <c r="I44" s="34">
        <f>COUNTIFS('Solid-Results'!N:N,"&gt;="&amp;Dashboard!$A44,'Solid-Results'!N:N,"&lt;="&amp;Dashboard!$B44,'Solid-Results'!AK:AK,"Green")</f>
        <v>0</v>
      </c>
      <c r="J44" s="34">
        <f>COUNTIFS('Solid-Results'!O:O,"&gt;="&amp;Dashboard!$A44,'Solid-Results'!O:O,"&lt;="&amp;Dashboard!$B44,'Solid-Results'!AL:AL,"Green")</f>
        <v>0</v>
      </c>
      <c r="K44" s="34">
        <f>COUNTIFS('Solid-Results'!P:P,"&gt;="&amp;Dashboard!$A44,'Solid-Results'!P:P,"&lt;="&amp;Dashboard!$B44,'Solid-Results'!AM:AM,"Green")</f>
        <v>0</v>
      </c>
      <c r="L44" s="34">
        <f>COUNTIFS('Solid-Results'!Q:Q,"&gt;="&amp;Dashboard!$A44,'Solid-Results'!Q:Q,"&lt;="&amp;Dashboard!$B44,'Solid-Results'!AN:AN,"Green")</f>
        <v>0</v>
      </c>
      <c r="M44" s="34">
        <f>COUNTIFS('Solid-Results'!R:R,"&gt;="&amp;Dashboard!$A44,'Solid-Results'!R:R,"&lt;="&amp;Dashboard!$B44,'Solid-Results'!AO:AO,"Green")</f>
        <v>8</v>
      </c>
      <c r="N44" s="34">
        <f>COUNTIFS('Solid-Results'!S:S,"&gt;="&amp;Dashboard!$A44,'Solid-Results'!S:S,"&lt;="&amp;Dashboard!$B44,'Solid-Results'!AP:AP,"Green")</f>
        <v>0</v>
      </c>
      <c r="O44" s="34">
        <f>COUNTIFS('Solid-Results'!T:T,"&gt;="&amp;Dashboard!$A44,'Solid-Results'!T:T,"&lt;="&amp;Dashboard!$B44,'Solid-Results'!AQ:AQ,"Green")</f>
        <v>0</v>
      </c>
      <c r="P44" s="34">
        <f>COUNTIFS('Solid-Results'!U:U,"&gt;="&amp;Dashboard!$A44,'Solid-Results'!U:U,"&lt;="&amp;Dashboard!$B44,'Solid-Results'!AR:AR,"Green")</f>
        <v>0</v>
      </c>
      <c r="Q44" s="34">
        <f>COUNTIFS('Solid-Results'!V:V,"&gt;="&amp;Dashboard!$A44,'Solid-Results'!V:V,"&lt;="&amp;Dashboard!$B44,'Solid-Results'!AS:AS,"Green")</f>
        <v>0</v>
      </c>
      <c r="R44" s="34">
        <f>COUNTIFS('Solid-Results'!W:W,"&gt;="&amp;Dashboard!$A44,'Solid-Results'!W:W,"&lt;="&amp;Dashboard!$B44,'Solid-Results'!AT:AT,"Green")</f>
        <v>0</v>
      </c>
    </row>
    <row r="46" spans="1:18" x14ac:dyDescent="0.25">
      <c r="A46" s="43" t="s">
        <v>2244</v>
      </c>
    </row>
    <row r="47" spans="1:18" x14ac:dyDescent="0.25">
      <c r="A47" s="39" t="s">
        <v>2239</v>
      </c>
      <c r="B47" s="33" t="s">
        <v>2240</v>
      </c>
      <c r="C47" s="37" t="s">
        <v>441</v>
      </c>
      <c r="D47" s="37" t="s">
        <v>4</v>
      </c>
      <c r="E47" s="37" t="s">
        <v>442</v>
      </c>
      <c r="F47" s="37" t="s">
        <v>5</v>
      </c>
      <c r="G47" s="37" t="s">
        <v>6</v>
      </c>
      <c r="H47" s="37" t="s">
        <v>443</v>
      </c>
      <c r="I47" s="37" t="s">
        <v>7</v>
      </c>
      <c r="J47" s="37" t="s">
        <v>8</v>
      </c>
      <c r="K47" s="37" t="s">
        <v>9</v>
      </c>
      <c r="L47" s="37" t="s">
        <v>10</v>
      </c>
      <c r="M47" s="37" t="s">
        <v>11</v>
      </c>
      <c r="N47" s="37" t="s">
        <v>12</v>
      </c>
      <c r="O47" s="37" t="s">
        <v>13</v>
      </c>
      <c r="P47" s="37" t="s">
        <v>14</v>
      </c>
      <c r="Q47" s="37" t="s">
        <v>15</v>
      </c>
      <c r="R47" s="37" t="s">
        <v>16</v>
      </c>
    </row>
    <row r="48" spans="1:18" x14ac:dyDescent="0.25">
      <c r="A48" s="40">
        <v>0</v>
      </c>
      <c r="B48" s="41">
        <v>10</v>
      </c>
      <c r="C48" s="35">
        <f>IFERROR(C35/C22,0)</f>
        <v>0</v>
      </c>
      <c r="D48" s="35">
        <f t="shared" ref="D48:R48" si="4">IFERROR(D35/D22,0)</f>
        <v>0</v>
      </c>
      <c r="E48" s="35">
        <f t="shared" si="4"/>
        <v>0</v>
      </c>
      <c r="F48" s="35">
        <f t="shared" si="4"/>
        <v>0</v>
      </c>
      <c r="G48" s="35">
        <f t="shared" si="4"/>
        <v>0</v>
      </c>
      <c r="H48" s="35">
        <f t="shared" si="4"/>
        <v>0</v>
      </c>
      <c r="I48" s="35">
        <f t="shared" si="4"/>
        <v>0</v>
      </c>
      <c r="J48" s="35">
        <f t="shared" si="4"/>
        <v>0</v>
      </c>
      <c r="K48" s="35">
        <f t="shared" si="4"/>
        <v>0</v>
      </c>
      <c r="L48" s="35">
        <f t="shared" si="4"/>
        <v>0</v>
      </c>
      <c r="M48" s="35">
        <f t="shared" si="4"/>
        <v>0</v>
      </c>
      <c r="N48" s="35">
        <f t="shared" si="4"/>
        <v>0</v>
      </c>
      <c r="O48" s="35">
        <f t="shared" si="4"/>
        <v>0</v>
      </c>
      <c r="P48" s="35">
        <f t="shared" si="4"/>
        <v>0</v>
      </c>
      <c r="Q48" s="35">
        <f t="shared" si="4"/>
        <v>0</v>
      </c>
      <c r="R48" s="35">
        <f t="shared" si="4"/>
        <v>0</v>
      </c>
    </row>
    <row r="49" spans="1:18" x14ac:dyDescent="0.25">
      <c r="A49" s="42">
        <f>B48+0.01</f>
        <v>10.01</v>
      </c>
      <c r="B49" s="41">
        <f>B48+10</f>
        <v>20</v>
      </c>
      <c r="C49" s="35">
        <f t="shared" ref="C49:R49" si="5">IFERROR(C36/C23,0)</f>
        <v>0</v>
      </c>
      <c r="D49" s="35">
        <f t="shared" si="5"/>
        <v>0</v>
      </c>
      <c r="E49" s="35">
        <f t="shared" si="5"/>
        <v>0.18181818181818182</v>
      </c>
      <c r="F49" s="35">
        <f t="shared" si="5"/>
        <v>0</v>
      </c>
      <c r="G49" s="35">
        <f t="shared" si="5"/>
        <v>0</v>
      </c>
      <c r="H49" s="35">
        <f t="shared" si="5"/>
        <v>0</v>
      </c>
      <c r="I49" s="35">
        <f t="shared" si="5"/>
        <v>0.1</v>
      </c>
      <c r="J49" s="35">
        <f t="shared" si="5"/>
        <v>0</v>
      </c>
      <c r="K49" s="35">
        <f t="shared" si="5"/>
        <v>0.25</v>
      </c>
      <c r="L49" s="35">
        <f t="shared" si="5"/>
        <v>0</v>
      </c>
      <c r="M49" s="35">
        <f t="shared" si="5"/>
        <v>0</v>
      </c>
      <c r="N49" s="35">
        <f t="shared" si="5"/>
        <v>0</v>
      </c>
      <c r="O49" s="35">
        <f t="shared" si="5"/>
        <v>0</v>
      </c>
      <c r="P49" s="35">
        <f t="shared" si="5"/>
        <v>0</v>
      </c>
      <c r="Q49" s="35">
        <f t="shared" si="5"/>
        <v>0</v>
      </c>
      <c r="R49" s="35">
        <f t="shared" si="5"/>
        <v>0</v>
      </c>
    </row>
    <row r="50" spans="1:18" x14ac:dyDescent="0.25">
      <c r="A50" s="42">
        <f t="shared" ref="A50:A57" si="6">B49+0.01</f>
        <v>20.010000000000002</v>
      </c>
      <c r="B50" s="41">
        <f t="shared" ref="B50:B57" si="7">B49+10</f>
        <v>30</v>
      </c>
      <c r="C50" s="35">
        <f t="shared" ref="C50:R50" si="8">IFERROR(C37/C24,0)</f>
        <v>0</v>
      </c>
      <c r="D50" s="35">
        <f t="shared" si="8"/>
        <v>0.2</v>
      </c>
      <c r="E50" s="35">
        <f t="shared" si="8"/>
        <v>0.27027027027027029</v>
      </c>
      <c r="F50" s="35">
        <f t="shared" si="8"/>
        <v>0</v>
      </c>
      <c r="G50" s="35">
        <f t="shared" si="8"/>
        <v>0</v>
      </c>
      <c r="H50" s="35">
        <f t="shared" si="8"/>
        <v>0</v>
      </c>
      <c r="I50" s="35">
        <f t="shared" si="8"/>
        <v>0.41666666666666669</v>
      </c>
      <c r="J50" s="35">
        <f t="shared" si="8"/>
        <v>0.5</v>
      </c>
      <c r="K50" s="35">
        <f t="shared" si="8"/>
        <v>0.23255813953488372</v>
      </c>
      <c r="L50" s="35">
        <f t="shared" si="8"/>
        <v>0</v>
      </c>
      <c r="M50" s="35">
        <f t="shared" si="8"/>
        <v>0</v>
      </c>
      <c r="N50" s="35">
        <f t="shared" si="8"/>
        <v>0.33333333333333331</v>
      </c>
      <c r="O50" s="35">
        <f t="shared" si="8"/>
        <v>0.2</v>
      </c>
      <c r="P50" s="35">
        <f t="shared" si="8"/>
        <v>0.4</v>
      </c>
      <c r="Q50" s="35">
        <f t="shared" si="8"/>
        <v>0</v>
      </c>
      <c r="R50" s="35">
        <f t="shared" si="8"/>
        <v>0.1</v>
      </c>
    </row>
    <row r="51" spans="1:18" x14ac:dyDescent="0.25">
      <c r="A51" s="42">
        <f t="shared" si="6"/>
        <v>30.01</v>
      </c>
      <c r="B51" s="41">
        <f t="shared" si="7"/>
        <v>40</v>
      </c>
      <c r="C51" s="35">
        <f t="shared" ref="C51:R51" si="9">IFERROR(C38/C25,0)</f>
        <v>0.40909090909090912</v>
      </c>
      <c r="D51" s="35">
        <f t="shared" si="9"/>
        <v>0.2857142857142857</v>
      </c>
      <c r="E51" s="35">
        <f t="shared" si="9"/>
        <v>0.34782608695652173</v>
      </c>
      <c r="F51" s="35">
        <f t="shared" si="9"/>
        <v>0</v>
      </c>
      <c r="G51" s="35">
        <f t="shared" si="9"/>
        <v>0.14285714285714285</v>
      </c>
      <c r="H51" s="35">
        <f t="shared" si="9"/>
        <v>0</v>
      </c>
      <c r="I51" s="35">
        <f t="shared" si="9"/>
        <v>0.36363636363636365</v>
      </c>
      <c r="J51" s="35">
        <f t="shared" si="9"/>
        <v>0.33333333333333331</v>
      </c>
      <c r="K51" s="35">
        <f t="shared" si="9"/>
        <v>0.375</v>
      </c>
      <c r="L51" s="35">
        <f t="shared" si="9"/>
        <v>0</v>
      </c>
      <c r="M51" s="35">
        <f t="shared" si="9"/>
        <v>0</v>
      </c>
      <c r="N51" s="35">
        <f t="shared" si="9"/>
        <v>0.63636363636363635</v>
      </c>
      <c r="O51" s="35">
        <f t="shared" si="9"/>
        <v>0.38461538461538464</v>
      </c>
      <c r="P51" s="35">
        <f t="shared" si="9"/>
        <v>0.5</v>
      </c>
      <c r="Q51" s="35">
        <f t="shared" si="9"/>
        <v>0.7142857142857143</v>
      </c>
      <c r="R51" s="35">
        <f t="shared" si="9"/>
        <v>0.57894736842105265</v>
      </c>
    </row>
    <row r="52" spans="1:18" x14ac:dyDescent="0.25">
      <c r="A52" s="42">
        <f t="shared" si="6"/>
        <v>40.01</v>
      </c>
      <c r="B52" s="41">
        <f t="shared" si="7"/>
        <v>50</v>
      </c>
      <c r="C52" s="35">
        <f t="shared" ref="C52:R52" si="10">IFERROR(C39/C26,0)</f>
        <v>0.54545454545454541</v>
      </c>
      <c r="D52" s="35">
        <f t="shared" si="10"/>
        <v>0</v>
      </c>
      <c r="E52" s="35">
        <f t="shared" si="10"/>
        <v>0.42857142857142855</v>
      </c>
      <c r="F52" s="35">
        <f t="shared" si="10"/>
        <v>0.5</v>
      </c>
      <c r="G52" s="35">
        <f t="shared" si="10"/>
        <v>0.36363636363636365</v>
      </c>
      <c r="H52" s="35">
        <f t="shared" si="10"/>
        <v>0</v>
      </c>
      <c r="I52" s="35">
        <f t="shared" si="10"/>
        <v>0.3</v>
      </c>
      <c r="J52" s="35">
        <f t="shared" si="10"/>
        <v>0.34782608695652173</v>
      </c>
      <c r="K52" s="35">
        <f t="shared" si="10"/>
        <v>0.5</v>
      </c>
      <c r="L52" s="35">
        <f t="shared" si="10"/>
        <v>1</v>
      </c>
      <c r="M52" s="35">
        <f t="shared" si="10"/>
        <v>1</v>
      </c>
      <c r="N52" s="35">
        <f t="shared" si="10"/>
        <v>0.63157894736842102</v>
      </c>
      <c r="O52" s="35">
        <f t="shared" si="10"/>
        <v>0.3</v>
      </c>
      <c r="P52" s="35">
        <f t="shared" si="10"/>
        <v>0.61111111111111116</v>
      </c>
      <c r="Q52" s="35">
        <f t="shared" si="10"/>
        <v>0.73684210526315785</v>
      </c>
      <c r="R52" s="35">
        <f t="shared" si="10"/>
        <v>0.34615384615384615</v>
      </c>
    </row>
    <row r="53" spans="1:18" x14ac:dyDescent="0.25">
      <c r="A53" s="42">
        <f t="shared" si="6"/>
        <v>50.01</v>
      </c>
      <c r="B53" s="41">
        <f t="shared" si="7"/>
        <v>60</v>
      </c>
      <c r="C53" s="35">
        <f t="shared" ref="C53:R53" si="11">IFERROR(C40/C27,0)</f>
        <v>0.6</v>
      </c>
      <c r="D53" s="35">
        <f t="shared" si="11"/>
        <v>0</v>
      </c>
      <c r="E53" s="35">
        <f t="shared" si="11"/>
        <v>0.5</v>
      </c>
      <c r="F53" s="35">
        <f t="shared" si="11"/>
        <v>0.5714285714285714</v>
      </c>
      <c r="G53" s="35">
        <f t="shared" si="11"/>
        <v>0.5</v>
      </c>
      <c r="H53" s="35">
        <f t="shared" si="11"/>
        <v>0</v>
      </c>
      <c r="I53" s="35">
        <f t="shared" si="11"/>
        <v>0.33333333333333331</v>
      </c>
      <c r="J53" s="35">
        <f t="shared" si="11"/>
        <v>0.58333333333333337</v>
      </c>
      <c r="K53" s="35">
        <f t="shared" si="11"/>
        <v>0</v>
      </c>
      <c r="L53" s="35">
        <f t="shared" si="11"/>
        <v>0.72727272727272729</v>
      </c>
      <c r="M53" s="35">
        <f t="shared" si="11"/>
        <v>0.6</v>
      </c>
      <c r="N53" s="35">
        <f t="shared" si="11"/>
        <v>0.7142857142857143</v>
      </c>
      <c r="O53" s="35">
        <f t="shared" si="11"/>
        <v>0.36842105263157893</v>
      </c>
      <c r="P53" s="35">
        <f t="shared" si="11"/>
        <v>0.59090909090909094</v>
      </c>
      <c r="Q53" s="35">
        <f t="shared" si="11"/>
        <v>0.65384615384615385</v>
      </c>
      <c r="R53" s="35">
        <f t="shared" si="11"/>
        <v>0.26315789473684209</v>
      </c>
    </row>
    <row r="54" spans="1:18" x14ac:dyDescent="0.25">
      <c r="A54" s="42">
        <f t="shared" si="6"/>
        <v>60.01</v>
      </c>
      <c r="B54" s="41">
        <f t="shared" si="7"/>
        <v>70</v>
      </c>
      <c r="C54" s="35">
        <f t="shared" ref="C54:R54" si="12">IFERROR(C41/C28,0)</f>
        <v>0.8571428571428571</v>
      </c>
      <c r="D54" s="35">
        <f t="shared" si="12"/>
        <v>0</v>
      </c>
      <c r="E54" s="35">
        <f t="shared" si="12"/>
        <v>0</v>
      </c>
      <c r="F54" s="35">
        <f t="shared" si="12"/>
        <v>0.65217391304347827</v>
      </c>
      <c r="G54" s="35">
        <f t="shared" si="12"/>
        <v>0.55000000000000004</v>
      </c>
      <c r="H54" s="35">
        <f t="shared" si="12"/>
        <v>0.7142857142857143</v>
      </c>
      <c r="I54" s="35">
        <f t="shared" si="12"/>
        <v>1</v>
      </c>
      <c r="J54" s="35">
        <f t="shared" si="12"/>
        <v>0</v>
      </c>
      <c r="K54" s="35">
        <f t="shared" si="12"/>
        <v>0</v>
      </c>
      <c r="L54" s="35">
        <f t="shared" si="12"/>
        <v>0.90909090909090906</v>
      </c>
      <c r="M54" s="35">
        <f t="shared" si="12"/>
        <v>0.9375</v>
      </c>
      <c r="N54" s="35">
        <f t="shared" si="12"/>
        <v>0.61538461538461542</v>
      </c>
      <c r="O54" s="35">
        <f t="shared" si="12"/>
        <v>0.36363636363636365</v>
      </c>
      <c r="P54" s="35">
        <f t="shared" si="12"/>
        <v>0.75</v>
      </c>
      <c r="Q54" s="35">
        <f t="shared" si="12"/>
        <v>0.42105263157894735</v>
      </c>
      <c r="R54" s="35">
        <f t="shared" si="12"/>
        <v>0.2857142857142857</v>
      </c>
    </row>
    <row r="55" spans="1:18" x14ac:dyDescent="0.25">
      <c r="A55" s="42">
        <f t="shared" si="6"/>
        <v>70.010000000000005</v>
      </c>
      <c r="B55" s="41">
        <f t="shared" si="7"/>
        <v>80</v>
      </c>
      <c r="C55" s="35">
        <f t="shared" ref="C55:R55" si="13">IFERROR(C42/C29,0)</f>
        <v>0</v>
      </c>
      <c r="D55" s="35">
        <f t="shared" si="13"/>
        <v>0</v>
      </c>
      <c r="E55" s="35">
        <f t="shared" si="13"/>
        <v>0</v>
      </c>
      <c r="F55" s="35">
        <f t="shared" si="13"/>
        <v>0.72972972972972971</v>
      </c>
      <c r="G55" s="35">
        <f t="shared" si="13"/>
        <v>1</v>
      </c>
      <c r="H55" s="35">
        <f t="shared" si="13"/>
        <v>0.8</v>
      </c>
      <c r="I55" s="35">
        <f t="shared" si="13"/>
        <v>0</v>
      </c>
      <c r="J55" s="35">
        <f t="shared" si="13"/>
        <v>0</v>
      </c>
      <c r="K55" s="35">
        <f t="shared" si="13"/>
        <v>0</v>
      </c>
      <c r="L55" s="35">
        <f t="shared" si="13"/>
        <v>0.75</v>
      </c>
      <c r="M55" s="35">
        <f t="shared" si="13"/>
        <v>0.88888888888888884</v>
      </c>
      <c r="N55" s="35">
        <f t="shared" si="13"/>
        <v>0.77777777777777779</v>
      </c>
      <c r="O55" s="35">
        <f t="shared" si="13"/>
        <v>0.66666666666666663</v>
      </c>
      <c r="P55" s="35">
        <f t="shared" si="13"/>
        <v>0.77777777777777779</v>
      </c>
      <c r="Q55" s="35">
        <f t="shared" si="13"/>
        <v>0.9</v>
      </c>
      <c r="R55" s="35">
        <f t="shared" si="13"/>
        <v>0</v>
      </c>
    </row>
    <row r="56" spans="1:18" x14ac:dyDescent="0.25">
      <c r="A56" s="42">
        <f t="shared" si="6"/>
        <v>80.010000000000005</v>
      </c>
      <c r="B56" s="41">
        <f t="shared" si="7"/>
        <v>90</v>
      </c>
      <c r="C56" s="35">
        <f t="shared" ref="C56:R56" si="14">IFERROR(C43/C30,0)</f>
        <v>0</v>
      </c>
      <c r="D56" s="35">
        <f t="shared" si="14"/>
        <v>0</v>
      </c>
      <c r="E56" s="35">
        <f t="shared" si="14"/>
        <v>0</v>
      </c>
      <c r="F56" s="35">
        <f t="shared" si="14"/>
        <v>0.81818181818181823</v>
      </c>
      <c r="G56" s="35">
        <f t="shared" si="14"/>
        <v>0</v>
      </c>
      <c r="H56" s="35">
        <f t="shared" si="14"/>
        <v>0</v>
      </c>
      <c r="I56" s="35">
        <f t="shared" si="14"/>
        <v>0</v>
      </c>
      <c r="J56" s="35">
        <f t="shared" si="14"/>
        <v>0</v>
      </c>
      <c r="K56" s="35">
        <f t="shared" si="14"/>
        <v>0</v>
      </c>
      <c r="L56" s="35">
        <f t="shared" si="14"/>
        <v>0.75</v>
      </c>
      <c r="M56" s="35">
        <f t="shared" si="14"/>
        <v>0.78260869565217395</v>
      </c>
      <c r="N56" s="35">
        <f t="shared" si="14"/>
        <v>1</v>
      </c>
      <c r="O56" s="35">
        <f t="shared" si="14"/>
        <v>0</v>
      </c>
      <c r="P56" s="35">
        <f t="shared" si="14"/>
        <v>1</v>
      </c>
      <c r="Q56" s="35">
        <f t="shared" si="14"/>
        <v>0</v>
      </c>
      <c r="R56" s="35">
        <f t="shared" si="14"/>
        <v>0</v>
      </c>
    </row>
    <row r="57" spans="1:18" x14ac:dyDescent="0.25">
      <c r="A57" s="42">
        <f t="shared" si="6"/>
        <v>90.01</v>
      </c>
      <c r="B57" s="41">
        <f t="shared" si="7"/>
        <v>100</v>
      </c>
      <c r="C57" s="35">
        <f t="shared" ref="C57:R57" si="15">IFERROR(C44/C31,0)</f>
        <v>0</v>
      </c>
      <c r="D57" s="35">
        <f t="shared" si="15"/>
        <v>0</v>
      </c>
      <c r="E57" s="35">
        <f t="shared" si="15"/>
        <v>0</v>
      </c>
      <c r="F57" s="35">
        <f t="shared" si="15"/>
        <v>1</v>
      </c>
      <c r="G57" s="35">
        <f t="shared" si="15"/>
        <v>0</v>
      </c>
      <c r="H57" s="35">
        <f t="shared" si="15"/>
        <v>0</v>
      </c>
      <c r="I57" s="35">
        <f t="shared" si="15"/>
        <v>0</v>
      </c>
      <c r="J57" s="35">
        <f t="shared" si="15"/>
        <v>0</v>
      </c>
      <c r="K57" s="35">
        <f t="shared" si="15"/>
        <v>0</v>
      </c>
      <c r="L57" s="35">
        <f t="shared" si="15"/>
        <v>0</v>
      </c>
      <c r="M57" s="35">
        <f t="shared" si="15"/>
        <v>0.88888888888888884</v>
      </c>
      <c r="N57" s="35">
        <f t="shared" si="15"/>
        <v>0</v>
      </c>
      <c r="O57" s="35">
        <f t="shared" si="15"/>
        <v>0</v>
      </c>
      <c r="P57" s="35">
        <f t="shared" si="15"/>
        <v>0</v>
      </c>
      <c r="Q57" s="35">
        <f t="shared" si="15"/>
        <v>0</v>
      </c>
      <c r="R57" s="35">
        <f t="shared" si="15"/>
        <v>0</v>
      </c>
    </row>
  </sheetData>
  <conditionalFormatting sqref="C48:R57">
    <cfRule type="cellIs" dxfId="0" priority="1" operator="greaterThan">
      <formula>0.5</formula>
    </cfRule>
  </conditionalFormatting>
  <pageMargins left="0.7" right="0.7" top="0.75" bottom="0.75" header="0.3" footer="0.3"/>
  <ignoredErrors>
    <ignoredError sqref="A3 A5 A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2026-07-24T20:58:49Z</dcterms:modified>
</cp:coreProperties>
</file>