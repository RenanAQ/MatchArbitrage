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95037C92-13A1-4F59-A8A7-BF0F9EAB72FD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General" sheetId="1" r:id="rId1"/>
    <sheet name="polymarket-redeems" sheetId="9" r:id="rId2"/>
    <sheet name="Pinnacle-tips" sheetId="10" r:id="rId3"/>
  </sheets>
  <definedNames>
    <definedName name="_xlnm._FilterDatabase" localSheetId="0" hidden="1">General!$A$3:$AI$1045992</definedName>
    <definedName name="_xlnm._FilterDatabase" localSheetId="2" hidden="1">'Pinnacle-tips'!$O$1:$W$149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32" i="10" l="1"/>
  <c r="V131" i="10"/>
  <c r="V130" i="10"/>
  <c r="V129" i="10"/>
  <c r="V128" i="10"/>
  <c r="V127" i="10"/>
  <c r="V126" i="10"/>
  <c r="V125" i="10"/>
  <c r="V124" i="10"/>
  <c r="V123" i="10"/>
  <c r="V122" i="10"/>
  <c r="E23" i="9"/>
  <c r="AF4" i="1"/>
  <c r="AE4" i="1"/>
  <c r="AD4" i="1"/>
  <c r="AC4" i="1"/>
  <c r="AB4" i="1"/>
  <c r="Y4" i="1"/>
  <c r="X4" i="1"/>
  <c r="V121" i="10"/>
  <c r="V120" i="10"/>
  <c r="V119" i="10"/>
  <c r="V118" i="10"/>
  <c r="V117" i="10"/>
  <c r="V116" i="10"/>
  <c r="V115" i="10"/>
  <c r="V114" i="10"/>
  <c r="V113" i="10"/>
  <c r="V112" i="10"/>
  <c r="V111" i="10"/>
  <c r="V110" i="10"/>
  <c r="V109" i="10"/>
  <c r="V108" i="10"/>
  <c r="V107" i="10"/>
  <c r="V106" i="10"/>
  <c r="V105" i="10"/>
  <c r="V104" i="10"/>
  <c r="V103" i="10"/>
  <c r="V102" i="10"/>
  <c r="V101" i="10"/>
  <c r="V100" i="10"/>
  <c r="V99" i="10"/>
  <c r="V98" i="10"/>
  <c r="V97" i="10"/>
  <c r="V96" i="10"/>
  <c r="V95" i="10"/>
  <c r="V94" i="10"/>
  <c r="V93" i="10"/>
  <c r="V92" i="10"/>
  <c r="V91" i="10"/>
  <c r="E22" i="9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83" i="10"/>
  <c r="V82" i="10"/>
  <c r="V81" i="10"/>
  <c r="V80" i="10"/>
  <c r="V79" i="10"/>
  <c r="V78" i="10"/>
  <c r="V77" i="10"/>
  <c r="V76" i="10"/>
  <c r="V75" i="10"/>
  <c r="V74" i="10"/>
  <c r="V73" i="10"/>
  <c r="V72" i="10"/>
  <c r="V71" i="10"/>
  <c r="V70" i="10"/>
  <c r="V69" i="10"/>
  <c r="V68" i="10"/>
  <c r="V90" i="10"/>
  <c r="V89" i="10"/>
  <c r="V88" i="10"/>
  <c r="V87" i="10"/>
  <c r="V86" i="10"/>
  <c r="V85" i="10"/>
  <c r="V8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4" i="10"/>
  <c r="V3" i="10"/>
  <c r="V2" i="10"/>
  <c r="E21" i="9"/>
  <c r="E18" i="9"/>
  <c r="E17" i="9"/>
  <c r="E16" i="9"/>
  <c r="E15" i="9"/>
  <c r="E12" i="9"/>
  <c r="E11" i="9"/>
  <c r="E10" i="9"/>
  <c r="E9" i="9"/>
  <c r="F8" i="9"/>
  <c r="A8" i="9"/>
  <c r="A7" i="9"/>
  <c r="A4" i="9"/>
  <c r="F3" i="9"/>
  <c r="F1" i="9"/>
  <c r="D1" i="9"/>
  <c r="C1" i="9"/>
  <c r="E1" i="9" l="1"/>
</calcChain>
</file>

<file path=xl/sharedStrings.xml><?xml version="1.0" encoding="utf-8"?>
<sst xmlns="http://schemas.openxmlformats.org/spreadsheetml/2006/main" count="2053" uniqueCount="910">
  <si>
    <t>Unit</t>
  </si>
  <si>
    <t>Country</t>
  </si>
  <si>
    <t>Campeonato</t>
  </si>
  <si>
    <t>Data</t>
  </si>
  <si>
    <t>Horário</t>
  </si>
  <si>
    <t>Mandante</t>
  </si>
  <si>
    <t>Visitante</t>
  </si>
  <si>
    <t>Placar</t>
  </si>
  <si>
    <t>1</t>
  </si>
  <si>
    <t>X</t>
  </si>
  <si>
    <t>2</t>
  </si>
  <si>
    <t>1X</t>
  </si>
  <si>
    <t>X2</t>
  </si>
  <si>
    <t>12</t>
  </si>
  <si>
    <t>1 HT</t>
  </si>
  <si>
    <t>X HT</t>
  </si>
  <si>
    <t>2 HT</t>
  </si>
  <si>
    <t>Mais de 0.5 HT</t>
  </si>
  <si>
    <t>Mais de 1.5</t>
  </si>
  <si>
    <t>O2.5</t>
  </si>
  <si>
    <t>U2.5</t>
  </si>
  <si>
    <t>U3.5</t>
  </si>
  <si>
    <t>BTTS-Y</t>
  </si>
  <si>
    <t>A/M Não</t>
  </si>
  <si>
    <t>U1.5</t>
  </si>
  <si>
    <t>O3.5</t>
  </si>
  <si>
    <t>A/M Sim</t>
  </si>
  <si>
    <t>Polymarket</t>
  </si>
  <si>
    <t>Results</t>
  </si>
  <si>
    <t>Menos de 3.5</t>
  </si>
  <si>
    <t>Pinnacle</t>
  </si>
  <si>
    <t>Odd</t>
  </si>
  <si>
    <t>Hegelmann Litauen</t>
  </si>
  <si>
    <t>San Antonio Bulo Bulo</t>
  </si>
  <si>
    <t>Gangwon FC</t>
  </si>
  <si>
    <t>Daejeon Hana Citizen</t>
  </si>
  <si>
    <t>Ulsan HD</t>
  </si>
  <si>
    <t>Incheon Utd</t>
  </si>
  <si>
    <t>KaPa</t>
  </si>
  <si>
    <t>Avaí</t>
  </si>
  <si>
    <t>América-MG</t>
  </si>
  <si>
    <t>Real Potosí</t>
  </si>
  <si>
    <t>Vila Nova-GO</t>
  </si>
  <si>
    <t>Fortaleza</t>
  </si>
  <si>
    <t>FC Anyang</t>
  </si>
  <si>
    <t>Gwangju FC</t>
  </si>
  <si>
    <t>CRB</t>
  </si>
  <si>
    <t>Operário-PR</t>
  </si>
  <si>
    <t>Ponte Preta</t>
  </si>
  <si>
    <t>Estados Unidos 2. USL</t>
  </si>
  <si>
    <t>Lexington SC</t>
  </si>
  <si>
    <t>Sport Recife</t>
  </si>
  <si>
    <t>LDU Quito</t>
  </si>
  <si>
    <t>Nautico</t>
  </si>
  <si>
    <t>Athletic Club</t>
  </si>
  <si>
    <t>Sao Bernardo SP</t>
  </si>
  <si>
    <t>Emelec</t>
  </si>
  <si>
    <t>Manly Utd</t>
  </si>
  <si>
    <t>Sydney Olympic</t>
  </si>
  <si>
    <t>Green Gully</t>
  </si>
  <si>
    <t>Dandenong City</t>
  </si>
  <si>
    <t>Caroline Springs George Cross FC</t>
  </si>
  <si>
    <t>St Albans Saints</t>
  </si>
  <si>
    <t>Hume City</t>
  </si>
  <si>
    <t>Oakleigh Cannons</t>
  </si>
  <si>
    <t>Preston Lions</t>
  </si>
  <si>
    <t>Bentleigh Greens</t>
  </si>
  <si>
    <t>FK Siauliai</t>
  </si>
  <si>
    <t>2 de Mayo</t>
  </si>
  <si>
    <t>Alianza Atletico</t>
  </si>
  <si>
    <t>CD Los Chankas</t>
  </si>
  <si>
    <t>Cerro Porteño</t>
  </si>
  <si>
    <t>Everton CD</t>
  </si>
  <si>
    <t>Nacional</t>
  </si>
  <si>
    <t>Colômbia 1. Primera A (Liga Águila)</t>
  </si>
  <si>
    <t>New Mexico United</t>
  </si>
  <si>
    <t>Colo Colo</t>
  </si>
  <si>
    <t>Deportivo Cali</t>
  </si>
  <si>
    <t>Plaza Amador</t>
  </si>
  <si>
    <t>Universitario de Deportes</t>
  </si>
  <si>
    <t>Melbourne City FC 2</t>
  </si>
  <si>
    <t>Marconi Stallions</t>
  </si>
  <si>
    <t>Dandenong Thunder</t>
  </si>
  <si>
    <t>Western Sydney Wanderers U21</t>
  </si>
  <si>
    <t>University NSW</t>
  </si>
  <si>
    <t>St George Saints</t>
  </si>
  <si>
    <t>Dalian Young Boy Reserves</t>
  </si>
  <si>
    <t>FC Haka</t>
  </si>
  <si>
    <t>JaPS</t>
  </si>
  <si>
    <t>SJK II</t>
  </si>
  <si>
    <t>FK Beitar Riga/Mariners</t>
  </si>
  <si>
    <t>PK-35</t>
  </si>
  <si>
    <t>Jippo</t>
  </si>
  <si>
    <t>Union San Felipe</t>
  </si>
  <si>
    <t>Barracas Bolívar</t>
  </si>
  <si>
    <t>Central Ballester</t>
  </si>
  <si>
    <t>Always Ready</t>
  </si>
  <si>
    <t>Coquimbo Unido</t>
  </si>
  <si>
    <t>Universidad de Concepción</t>
  </si>
  <si>
    <t>Curico Unido</t>
  </si>
  <si>
    <t>Dock Sud</t>
  </si>
  <si>
    <t>Merlo</t>
  </si>
  <si>
    <t>Figueirense</t>
  </si>
  <si>
    <t>Cienciano</t>
  </si>
  <si>
    <t>Boyacá Chicó FC</t>
  </si>
  <si>
    <t>Atlético Nacional</t>
  </si>
  <si>
    <t>Guabirá</t>
  </si>
  <si>
    <t>Sport Boys</t>
  </si>
  <si>
    <t>Philadelphia Union II</t>
  </si>
  <si>
    <t>LA Galaxy II</t>
  </si>
  <si>
    <t>Alianza FC Panama</t>
  </si>
  <si>
    <t>UMECIT</t>
  </si>
  <si>
    <t>Alianza</t>
  </si>
  <si>
    <t>Oriente Petrolero</t>
  </si>
  <si>
    <t>Universidad Católica</t>
  </si>
  <si>
    <t>Melgar</t>
  </si>
  <si>
    <t>Sporting Cristal</t>
  </si>
  <si>
    <t>Atlético Junior</t>
  </si>
  <si>
    <t>CD Universitario</t>
  </si>
  <si>
    <t>Wollongong Wolves</t>
  </si>
  <si>
    <t>Blacktown City</t>
  </si>
  <si>
    <t>Yenisey Krasnoyarsk</t>
  </si>
  <si>
    <t>Veles</t>
  </si>
  <si>
    <t>BSG Chemie Leipzig</t>
  </si>
  <si>
    <t>FC Ufa</t>
  </si>
  <si>
    <t>SKA Energia Khabarovsk</t>
  </si>
  <si>
    <t>Huracan DPA</t>
  </si>
  <si>
    <t>FK Leningradets</t>
  </si>
  <si>
    <t>Ural Sverdlovsk Oblast</t>
  </si>
  <si>
    <t>Torpedo Moscow</t>
  </si>
  <si>
    <t>Shinnik Yaroslavl</t>
  </si>
  <si>
    <t>PFC Sochi</t>
  </si>
  <si>
    <t>FC Arsenal Tula</t>
  </si>
  <si>
    <t>CA Atenas</t>
  </si>
  <si>
    <t>FK Transinvest</t>
  </si>
  <si>
    <t>Cherno More Varna</t>
  </si>
  <si>
    <t>NK Bravo</t>
  </si>
  <si>
    <t>Banga Gargzdai</t>
  </si>
  <si>
    <t>FC Real Sireti</t>
  </si>
  <si>
    <t>Septemvri Sofia</t>
  </si>
  <si>
    <t>Real Tomayapo</t>
  </si>
  <si>
    <t>Brusque</t>
  </si>
  <si>
    <t>Barra FC</t>
  </si>
  <si>
    <t>Gama</t>
  </si>
  <si>
    <t>Palestino</t>
  </si>
  <si>
    <t>América de Cali</t>
  </si>
  <si>
    <t>Olimpia</t>
  </si>
  <si>
    <t>ASA</t>
  </si>
  <si>
    <t>Portland Timbers 2</t>
  </si>
  <si>
    <t>Alianza Lima</t>
  </si>
  <si>
    <t>Herrera FC</t>
  </si>
  <si>
    <t>Universidad de Chile</t>
  </si>
  <si>
    <t>Guaraní</t>
  </si>
  <si>
    <t>Sportivo Luqueño</t>
  </si>
  <si>
    <t>CT United</t>
  </si>
  <si>
    <t>Blooming</t>
  </si>
  <si>
    <t>The Strongest</t>
  </si>
  <si>
    <t>Amazonas FC</t>
  </si>
  <si>
    <t>UNAN Managua</t>
  </si>
  <si>
    <t>Deportes Concepcion</t>
  </si>
  <si>
    <t>O'Higgins</t>
  </si>
  <si>
    <t>Cúcuta Deportivo</t>
  </si>
  <si>
    <t>Beijing Institute</t>
  </si>
  <si>
    <t>Riga FC II</t>
  </si>
  <si>
    <t>Voluntari</t>
  </si>
  <si>
    <t>Dunav Ruse</t>
  </si>
  <si>
    <t>Kamaz Nab Chelny</t>
  </si>
  <si>
    <t>Rotor Volgograd</t>
  </si>
  <si>
    <t>San Jose de Oruro</t>
  </si>
  <si>
    <t>KA Akureyri</t>
  </si>
  <si>
    <t>Maringá</t>
  </si>
  <si>
    <t>Inter de Limeira</t>
  </si>
  <si>
    <t>Tauro FC</t>
  </si>
  <si>
    <t>Piteå IF</t>
  </si>
  <si>
    <t>FC Baranovichi</t>
  </si>
  <si>
    <t>Isloch</t>
  </si>
  <si>
    <t>FBK Karlstad</t>
  </si>
  <si>
    <t>FC Järfälla</t>
  </si>
  <si>
    <t>FC Stockholm Internazionale</t>
  </si>
  <si>
    <t>Skövde AIK</t>
  </si>
  <si>
    <t>Hässleholms IF</t>
  </si>
  <si>
    <t>Laholms FK</t>
  </si>
  <si>
    <t>FK Arsenal Dzyarzhynsk</t>
  </si>
  <si>
    <t>Dinamo Brest</t>
  </si>
  <si>
    <t>Belshina Bobruisk</t>
  </si>
  <si>
    <t>07 Vestur</t>
  </si>
  <si>
    <t>Dacia Buiucani</t>
  </si>
  <si>
    <t>HB Torshavn</t>
  </si>
  <si>
    <t>Hammarby TFF</t>
  </si>
  <si>
    <t>FC Arlanda</t>
  </si>
  <si>
    <t>KR Reykjavik</t>
  </si>
  <si>
    <t>Kristianstad FC</t>
  </si>
  <si>
    <t>U2.5,BTTS-N</t>
  </si>
  <si>
    <t>Dinamo Minsk</t>
  </si>
  <si>
    <t>Torpedo Zhodino</t>
  </si>
  <si>
    <t>BTTS-N</t>
  </si>
  <si>
    <t>Neftekhimik Nizhnekamsk</t>
  </si>
  <si>
    <t>FK Chelyabinsk</t>
  </si>
  <si>
    <t>Tekstilshik Ivanovo</t>
  </si>
  <si>
    <t>FC Nizhny Novgorod</t>
  </si>
  <si>
    <t>FK Volga Ulyanovsk</t>
  </si>
  <si>
    <t>FK Spartak Kostroma</t>
  </si>
  <si>
    <t>Universitatea Craiova</t>
  </si>
  <si>
    <t>CSKA 1948 Sofia</t>
  </si>
  <si>
    <t>NK Maribor</t>
  </si>
  <si>
    <t>Atlético Balboa</t>
  </si>
  <si>
    <t>Fuerte San Francisco</t>
  </si>
  <si>
    <t>Jalapa</t>
  </si>
  <si>
    <t>Matagalpa FC</t>
  </si>
  <si>
    <t>CD Walter Ferretti</t>
  </si>
  <si>
    <t>Otelul Galati</t>
  </si>
  <si>
    <t>FC Arges Pitesti</t>
  </si>
  <si>
    <t>FC Lok Leipzig</t>
  </si>
  <si>
    <t>Chemnitzer</t>
  </si>
  <si>
    <t>Magdeburg II</t>
  </si>
  <si>
    <t>Date</t>
  </si>
  <si>
    <t>Time</t>
  </si>
  <si>
    <t>Won</t>
  </si>
  <si>
    <t>Lost</t>
  </si>
  <si>
    <t>Result</t>
  </si>
  <si>
    <t>Deposits</t>
  </si>
  <si>
    <t>Place</t>
  </si>
  <si>
    <t>League</t>
  </si>
  <si>
    <t>Home</t>
  </si>
  <si>
    <t>Away</t>
  </si>
  <si>
    <t>Stake</t>
  </si>
  <si>
    <t>Tip</t>
  </si>
  <si>
    <t>Odds</t>
  </si>
  <si>
    <t>Settled</t>
  </si>
  <si>
    <t>Pinnacle Pre-game bets for Aug .Total Stake: $</t>
  </si>
  <si>
    <t>Loss</t>
  </si>
  <si>
    <t>Win</t>
  </si>
  <si>
    <t>26/08/2026</t>
  </si>
  <si>
    <t>Coreia do Sul 2. K-League 2</t>
  </si>
  <si>
    <t>28/08/2026</t>
  </si>
  <si>
    <t>Ansan Greeners FC</t>
  </si>
  <si>
    <t>Daegu FC</t>
  </si>
  <si>
    <t>Jeonnam Dragons</t>
  </si>
  <si>
    <t>Cheonan City</t>
  </si>
  <si>
    <t>China 1. Superliga</t>
  </si>
  <si>
    <t>Dalian Young Boy</t>
  </si>
  <si>
    <t>Beijing Sinobo Guoan</t>
  </si>
  <si>
    <t>Shanghai Shenhua</t>
  </si>
  <si>
    <t>Shandong Taishan</t>
  </si>
  <si>
    <t>Shenzhen Xinpengcheng</t>
  </si>
  <si>
    <t>Shanghai Port</t>
  </si>
  <si>
    <t>Lituânia 2. I Lyga</t>
  </si>
  <si>
    <t>FK Tauras</t>
  </si>
  <si>
    <t>FK Vilnius</t>
  </si>
  <si>
    <t>Rússia 2. Division 1 (FNL)</t>
  </si>
  <si>
    <t>Bielorrússia 1. Premier League (Vysshaya Liga)</t>
  </si>
  <si>
    <t>FC Vitebsk</t>
  </si>
  <si>
    <t>Naftan Novopolotsk</t>
  </si>
  <si>
    <t>DFK Dainava</t>
  </si>
  <si>
    <t>FK Zalgiris Vilnius II</t>
  </si>
  <si>
    <t>Romênia 1. Liga 1</t>
  </si>
  <si>
    <t>Rússia 1. Premier League</t>
  </si>
  <si>
    <t>Akron Tolyatti</t>
  </si>
  <si>
    <t>CSKA Moscow</t>
  </si>
  <si>
    <t>Finlândia 2. Ykkonen</t>
  </si>
  <si>
    <t>KTP</t>
  </si>
  <si>
    <t>Bulgária 1. Parva Liga</t>
  </si>
  <si>
    <t>Slavia Sofia</t>
  </si>
  <si>
    <t>Eslováquia 2. Liga</t>
  </si>
  <si>
    <t>FK Pohronie</t>
  </si>
  <si>
    <t>FC Tatran Presov</t>
  </si>
  <si>
    <t>FK Siauliai II</t>
  </si>
  <si>
    <t>FK Minija</t>
  </si>
  <si>
    <t>Polônia 2. Divisão 1</t>
  </si>
  <si>
    <t>Unia Skierniewice</t>
  </si>
  <si>
    <t>Stal Rzeszow</t>
  </si>
  <si>
    <t>Pogon Grodzisk Mazowiecki</t>
  </si>
  <si>
    <t>Termalica Nieciecza</t>
  </si>
  <si>
    <t>Alemanha 4. Liga Regional da Baviera</t>
  </si>
  <si>
    <t>Schweinfurt 05</t>
  </si>
  <si>
    <t>Greuther Furth II</t>
  </si>
  <si>
    <t>Alemanha 4. Liga Regional Nordeste</t>
  </si>
  <si>
    <t>Carl Zeiss Jena</t>
  </si>
  <si>
    <t>VSG Altglienicke</t>
  </si>
  <si>
    <t>FK Gomel</t>
  </si>
  <si>
    <t>Dinamarca 1. Superligaen</t>
  </si>
  <si>
    <t>AC Horsens</t>
  </si>
  <si>
    <t>Viborg</t>
  </si>
  <si>
    <t>Suécia 3. Divisão 1 Sul</t>
  </si>
  <si>
    <t>Lunds BK</t>
  </si>
  <si>
    <t>BK Olympic</t>
  </si>
  <si>
    <t>Ilhas Faroé 1. Premier League</t>
  </si>
  <si>
    <t>Vikingur Gota</t>
  </si>
  <si>
    <t>Hungria 1. NB I</t>
  </si>
  <si>
    <t>Debreceni VSC</t>
  </si>
  <si>
    <t>MTK Budapest</t>
  </si>
  <si>
    <t>Islândia 3. Deild Karla (Divisão 2)</t>
  </si>
  <si>
    <t>Fjolnir</t>
  </si>
  <si>
    <t>Hviti Riddarinn</t>
  </si>
  <si>
    <t>Universitatea Cluj</t>
  </si>
  <si>
    <t>Petrolul Ploiesti</t>
  </si>
  <si>
    <t>Lokomotiv Plovdiv</t>
  </si>
  <si>
    <t>Eslovênia 1. Liga Prva</t>
  </si>
  <si>
    <t>NK Aluminij</t>
  </si>
  <si>
    <t>FC Koper</t>
  </si>
  <si>
    <t>Polônia 1. Ekstraklasa</t>
  </si>
  <si>
    <t>Legia Warszawa</t>
  </si>
  <si>
    <t>Slask Wroclaw</t>
  </si>
  <si>
    <t>Irlanda 1. Divisão Premier</t>
  </si>
  <si>
    <t>Bohemians</t>
  </si>
  <si>
    <t>Sligo</t>
  </si>
  <si>
    <t>Galway United</t>
  </si>
  <si>
    <t>Shelbourne</t>
  </si>
  <si>
    <t>St Patricks</t>
  </si>
  <si>
    <t>Waterford</t>
  </si>
  <si>
    <t>Irlanda 2. First Division</t>
  </si>
  <si>
    <t>Athlone Town</t>
  </si>
  <si>
    <t>Bray</t>
  </si>
  <si>
    <t>Cobh Ramblers</t>
  </si>
  <si>
    <t>Longford Town</t>
  </si>
  <si>
    <t>Cork</t>
  </si>
  <si>
    <t>Wexford FC</t>
  </si>
  <si>
    <t>Kerry FC</t>
  </si>
  <si>
    <t>Treaty United FC</t>
  </si>
  <si>
    <t>UCD</t>
  </si>
  <si>
    <t>Finn Harps</t>
  </si>
  <si>
    <t>Odra Opole</t>
  </si>
  <si>
    <t>Lks Lodz</t>
  </si>
  <si>
    <t>Drogheda United</t>
  </si>
  <si>
    <t>Dundalk</t>
  </si>
  <si>
    <t>Paraguai 1. Primeira Divisão</t>
  </si>
  <si>
    <t>Rubio Nu</t>
  </si>
  <si>
    <t>Islândia 2. Deild Karla (Lengjudeildin)</t>
  </si>
  <si>
    <t>Fylkir Reykjavik</t>
  </si>
  <si>
    <t>Grotta Seltjarnarnes</t>
  </si>
  <si>
    <t>Throttur Reykjavik</t>
  </si>
  <si>
    <t>KF Aegir</t>
  </si>
  <si>
    <t>Kari</t>
  </si>
  <si>
    <t>Throttur Vogum</t>
  </si>
  <si>
    <t>Peru 1. Primeira Divisão</t>
  </si>
  <si>
    <t>Comerciantes Unidos</t>
  </si>
  <si>
    <t>FC Cajamarca</t>
  </si>
  <si>
    <t>Colômbia 2. Primera B (Torneio Águila)</t>
  </si>
  <si>
    <t>Independiente Yumbo</t>
  </si>
  <si>
    <t>Itagui Leones</t>
  </si>
  <si>
    <t>Equador 1. Série A (Liga Pro)</t>
  </si>
  <si>
    <t>Mushuc Runa</t>
  </si>
  <si>
    <t>Delfin</t>
  </si>
  <si>
    <t>Sportivo San Lorenzo</t>
  </si>
  <si>
    <t>Argentina 1. Superliga/Liga Profissional</t>
  </si>
  <si>
    <t>Unión de Santa Fe</t>
  </si>
  <si>
    <t>Sarmiento de Junín</t>
  </si>
  <si>
    <t>El Salvador Primera Division</t>
  </si>
  <si>
    <t>Municipal Limeño</t>
  </si>
  <si>
    <t>Metapan</t>
  </si>
  <si>
    <t>Uruguai 1. Primeira Divisão</t>
  </si>
  <si>
    <t>Wanderers</t>
  </si>
  <si>
    <t>Central Espanol</t>
  </si>
  <si>
    <t>Brasil Série B</t>
  </si>
  <si>
    <t>Goiás</t>
  </si>
  <si>
    <t>Chile 1. Primeira Divisão</t>
  </si>
  <si>
    <t>Cobresal</t>
  </si>
  <si>
    <t>Canada 1. Premier League</t>
  </si>
  <si>
    <t>Atletico Ottawa</t>
  </si>
  <si>
    <t>Inter Toronto</t>
  </si>
  <si>
    <t>Supra du Quebec</t>
  </si>
  <si>
    <t>Forge FC</t>
  </si>
  <si>
    <t>Estados Unidos 3. MLS Next Pro</t>
  </si>
  <si>
    <t>Inter Miami CF II</t>
  </si>
  <si>
    <t>Atlanta United 2</t>
  </si>
  <si>
    <t>Toronto FC II</t>
  </si>
  <si>
    <t>New York City FC II</t>
  </si>
  <si>
    <t>Novorizontino</t>
  </si>
  <si>
    <t>Tecnico Universitario</t>
  </si>
  <si>
    <t>Club Deportivo Cuenca</t>
  </si>
  <si>
    <t>Colorado Rapids II</t>
  </si>
  <si>
    <t>St Louis City II</t>
  </si>
  <si>
    <t>North Texas SC</t>
  </si>
  <si>
    <t>Boca Juniors</t>
  </si>
  <si>
    <t>Lanús</t>
  </si>
  <si>
    <t>Argentina 2. Primeira Nacional (2ª Divisão)</t>
  </si>
  <si>
    <t>Gimnasia y Tiro</t>
  </si>
  <si>
    <t>Chacarita Juniors</t>
  </si>
  <si>
    <t>Unión Magdalena</t>
  </si>
  <si>
    <t>Deportes Quindío</t>
  </si>
  <si>
    <t>México 1. Liga MX</t>
  </si>
  <si>
    <t>Atlante</t>
  </si>
  <si>
    <t>León</t>
  </si>
  <si>
    <t>Necaxa</t>
  </si>
  <si>
    <t>Cruz Azul</t>
  </si>
  <si>
    <t>México 2. Liga de Expansão MX</t>
  </si>
  <si>
    <t>Correcaminos</t>
  </si>
  <si>
    <t>Alacranes de Durango</t>
  </si>
  <si>
    <t>Panamá 1. LPF</t>
  </si>
  <si>
    <t>CA Independiente de la Chorrera</t>
  </si>
  <si>
    <t>Costa Rica Primeira Divisão</t>
  </si>
  <si>
    <t>Sporting San Jose</t>
  </si>
  <si>
    <t>Inter San Carlos</t>
  </si>
  <si>
    <t>Guatemala 1. Liga Nacional</t>
  </si>
  <si>
    <t>Suchitepequez</t>
  </si>
  <si>
    <t>Coban Imperial</t>
  </si>
  <si>
    <t>29/08/2026</t>
  </si>
  <si>
    <t>Tijuana</t>
  </si>
  <si>
    <t>Pumas UNAM</t>
  </si>
  <si>
    <t>Austrália NPL - Tasmania Premier League</t>
  </si>
  <si>
    <t>South Hobart</t>
  </si>
  <si>
    <t>Kingborough Lions</t>
  </si>
  <si>
    <t>Austrália NPL - Victoria Premier League</t>
  </si>
  <si>
    <t>Avondale</t>
  </si>
  <si>
    <t>South Melbourne</t>
  </si>
  <si>
    <t>Heidelberg Utd</t>
  </si>
  <si>
    <t>Altona Magic</t>
  </si>
  <si>
    <t>Austrália NPL - South Australia</t>
  </si>
  <si>
    <t>Playford</t>
  </si>
  <si>
    <t>Adelaide City</t>
  </si>
  <si>
    <t>Austrália NPL - ACT Capital Territory Premier League</t>
  </si>
  <si>
    <t>Tigers FC</t>
  </si>
  <si>
    <t>Canberra Juventus</t>
  </si>
  <si>
    <t>Austrália NPL - Northern NSW Premier League</t>
  </si>
  <si>
    <t>Broadmeadow Magic</t>
  </si>
  <si>
    <t>Weston Workers FC</t>
  </si>
  <si>
    <t>Austrália NPL - Queensland</t>
  </si>
  <si>
    <t>Moreton City Excelsior</t>
  </si>
  <si>
    <t>Gold Coast Knights</t>
  </si>
  <si>
    <t>Tuggeranong Utd</t>
  </si>
  <si>
    <t>Queanbeyan City</t>
  </si>
  <si>
    <t>Qingdao Hainiu</t>
  </si>
  <si>
    <t>Wuhan Three Towns</t>
  </si>
  <si>
    <t>Metrostars</t>
  </si>
  <si>
    <t>West Torrens Birkalla</t>
  </si>
  <si>
    <t>Estônia 2. Esiliiga</t>
  </si>
  <si>
    <t>FC Flora Tallinn II</t>
  </si>
  <si>
    <t>JK Tallinna Kalev</t>
  </si>
  <si>
    <t>FC Tallinn</t>
  </si>
  <si>
    <t>JK Nomme Kalju II</t>
  </si>
  <si>
    <t>Maardu Linnameeskond</t>
  </si>
  <si>
    <t>FC Levadia Tallinn U21</t>
  </si>
  <si>
    <t>Letônia 2. 1 Liga</t>
  </si>
  <si>
    <t>Saldus SS/Leevon</t>
  </si>
  <si>
    <t>SK Super Nova II</t>
  </si>
  <si>
    <t>Garliava Kaunas</t>
  </si>
  <si>
    <t>FK Babrungas</t>
  </si>
  <si>
    <t>Radomiak Radom</t>
  </si>
  <si>
    <t>Cracovia Krakow</t>
  </si>
  <si>
    <t>Coreia do Sul 1. K-League 1</t>
  </si>
  <si>
    <t>Bucheon</t>
  </si>
  <si>
    <t>Gimcheon Sangmu FC</t>
  </si>
  <si>
    <t>Gimpo FC</t>
  </si>
  <si>
    <t>Suwon Bluewings</t>
  </si>
  <si>
    <t>Gyeongnam FC</t>
  </si>
  <si>
    <t>Paju Frontier FC</t>
  </si>
  <si>
    <t>Hwaseong FC</t>
  </si>
  <si>
    <t>Chungbuk Cheongju</t>
  </si>
  <si>
    <t>Seongnam FC</t>
  </si>
  <si>
    <t>Seoul E-Land FC</t>
  </si>
  <si>
    <t>Cazaquistão 1. Premier League</t>
  </si>
  <si>
    <t>FC Elimai Semey</t>
  </si>
  <si>
    <t>Kairat Almaty</t>
  </si>
  <si>
    <t>FK Ulytau</t>
  </si>
  <si>
    <t>Zhetysu</t>
  </si>
  <si>
    <t>Tianjin Jinmen Tigers</t>
  </si>
  <si>
    <t>Qingdao West Coast</t>
  </si>
  <si>
    <t>Zhejiang</t>
  </si>
  <si>
    <t>Yunnan Yukun</t>
  </si>
  <si>
    <t>China 2. Division 1 - League One</t>
  </si>
  <si>
    <t>Shaanxi Union</t>
  </si>
  <si>
    <t>Yanbian Longding</t>
  </si>
  <si>
    <t>Dinamarca 2. 1ª Division</t>
  </si>
  <si>
    <t>Kolding IF</t>
  </si>
  <si>
    <t>AB Copenhagen</t>
  </si>
  <si>
    <t>Suécia 2. Superettan</t>
  </si>
  <si>
    <t>Landskrona BoIS</t>
  </si>
  <si>
    <t>Östersunds FK</t>
  </si>
  <si>
    <t>Ljungskile</t>
  </si>
  <si>
    <t>IFK Varnamo</t>
  </si>
  <si>
    <t>Suécia 3. Divisão 1 Norte</t>
  </si>
  <si>
    <t>AFC Eskilstuna</t>
  </si>
  <si>
    <t>Sollentuna United FF</t>
  </si>
  <si>
    <t>Angelholm</t>
  </si>
  <si>
    <t>Jonkopings Sodra</t>
  </si>
  <si>
    <t>Eskilsminne IF</t>
  </si>
  <si>
    <t>Foshan Nanshi</t>
  </si>
  <si>
    <t>Shenzhen Juniors</t>
  </si>
  <si>
    <t>Nanjing City</t>
  </si>
  <si>
    <t>Guangxi Hengchen</t>
  </si>
  <si>
    <t>Shijiazhuang Gongfu FC</t>
  </si>
  <si>
    <t>Wuxi Wugo</t>
  </si>
  <si>
    <t>Estônia 1. Meistriliiga</t>
  </si>
  <si>
    <t>Nomme United</t>
  </si>
  <si>
    <t>Harju JK Laagri</t>
  </si>
  <si>
    <t>Chengdu Rongcheng</t>
  </si>
  <si>
    <t>Liaoning Ironman</t>
  </si>
  <si>
    <t>Augsburg II</t>
  </si>
  <si>
    <t>SC Eltersdorf</t>
  </si>
  <si>
    <t>Buchbach</t>
  </si>
  <si>
    <t>SpVgg Bayreuth</t>
  </si>
  <si>
    <t>Wacker Burghausen</t>
  </si>
  <si>
    <t>DJK Vilzing</t>
  </si>
  <si>
    <t>Hertha Berlin II</t>
  </si>
  <si>
    <t>Hallescher</t>
  </si>
  <si>
    <t>Rot-Weiss Erfurt</t>
  </si>
  <si>
    <t>BFC Preussen</t>
  </si>
  <si>
    <t>Alemanha 4. Liga Regional Norte</t>
  </si>
  <si>
    <t>SC Weiche Flensburg 08</t>
  </si>
  <si>
    <t>SV Atlas Delmenhorst</t>
  </si>
  <si>
    <t>Henan</t>
  </si>
  <si>
    <t>Chongqing Tonglianglong</t>
  </si>
  <si>
    <t>Dingnan Jiangxi United</t>
  </si>
  <si>
    <t>Suzhou Dongwu</t>
  </si>
  <si>
    <t>AaB</t>
  </si>
  <si>
    <t>HB Køge</t>
  </si>
  <si>
    <t>Letônia 1. Virsliga</t>
  </si>
  <si>
    <t>SC Grobinas</t>
  </si>
  <si>
    <t>BFC Daugavpils</t>
  </si>
  <si>
    <t>FK Transinvest II</t>
  </si>
  <si>
    <t>Lietava Jonava</t>
  </si>
  <si>
    <t>Noruega 2. OBOS-ligaen (2ª Divisão)</t>
  </si>
  <si>
    <t>Bryne</t>
  </si>
  <si>
    <t>Haugesund</t>
  </si>
  <si>
    <t>Fakel Voronezh</t>
  </si>
  <si>
    <t>Zenit St Petersburg</t>
  </si>
  <si>
    <t>Nyiregyhaza Spartacus</t>
  </si>
  <si>
    <t>Paksi</t>
  </si>
  <si>
    <t>Motor Lublin</t>
  </si>
  <si>
    <t>Piast Gliwice</t>
  </si>
  <si>
    <t>FK Zhenys</t>
  </si>
  <si>
    <t>FC Altai Semey</t>
  </si>
  <si>
    <t>MP</t>
  </si>
  <si>
    <t>Geórgia 1. Erovnuli Liga</t>
  </si>
  <si>
    <t>Dinamo Tbilisi</t>
  </si>
  <si>
    <t>Dila Gori</t>
  </si>
  <si>
    <t>FC Gagra</t>
  </si>
  <si>
    <t>FC Iberia 1999</t>
  </si>
  <si>
    <t>Torpedo Kutaisi</t>
  </si>
  <si>
    <t>Meshakhte Tkibuli</t>
  </si>
  <si>
    <t>FK Csikszereda Miercurea Ciuc</t>
  </si>
  <si>
    <t>CFR Cluj-Napoca</t>
  </si>
  <si>
    <t>Suécia 1. Allsvenskan</t>
  </si>
  <si>
    <t>BK Hacken</t>
  </si>
  <si>
    <t>Vasteras SK</t>
  </si>
  <si>
    <t>Elfsborg</t>
  </si>
  <si>
    <t>Degerfors</t>
  </si>
  <si>
    <t>Falkenbergs FF</t>
  </si>
  <si>
    <t>IK Brage</t>
  </si>
  <si>
    <t>MKP Pogon Siedlce</t>
  </si>
  <si>
    <t>Stal Mielec</t>
  </si>
  <si>
    <t>Polonia Warsaw</t>
  </si>
  <si>
    <t>Lechia Gdansk</t>
  </si>
  <si>
    <t>Puszcza Niepolomice</t>
  </si>
  <si>
    <t>Podbeskidzie</t>
  </si>
  <si>
    <t>Zwickau</t>
  </si>
  <si>
    <t>Babelsberg 03</t>
  </si>
  <si>
    <t>Vfb Lubeck</t>
  </si>
  <si>
    <t>SV Drochtersen-Assel</t>
  </si>
  <si>
    <t>FC Kuressaare</t>
  </si>
  <si>
    <t>Parnu JK Vaprus</t>
  </si>
  <si>
    <t>Ekenas IF</t>
  </si>
  <si>
    <t>Afturelding</t>
  </si>
  <si>
    <t>IF Vestri</t>
  </si>
  <si>
    <t>Grindavik</t>
  </si>
  <si>
    <t>HK Kopavogur</t>
  </si>
  <si>
    <t>Leiknir Reykjavik</t>
  </si>
  <si>
    <t>Njardvik</t>
  </si>
  <si>
    <t>Kormakur/Hvot</t>
  </si>
  <si>
    <t>Fjardabyggd</t>
  </si>
  <si>
    <t>UMF Selfoss</t>
  </si>
  <si>
    <t>Magni Grenivik</t>
  </si>
  <si>
    <t>Vikingur Olafsvik</t>
  </si>
  <si>
    <t>Haukar</t>
  </si>
  <si>
    <t>Tukums 2000</t>
  </si>
  <si>
    <t>FK Jelgava</t>
  </si>
  <si>
    <t>RFS II</t>
  </si>
  <si>
    <t>JFK Ventspils</t>
  </si>
  <si>
    <t>FK Ekranas</t>
  </si>
  <si>
    <t>FK BE1</t>
  </si>
  <si>
    <t>FK Neptunas Klaipeda</t>
  </si>
  <si>
    <t>FK Atmosfera</t>
  </si>
  <si>
    <t>Moldávia 1. Divizia Nationala</t>
  </si>
  <si>
    <t>FC Politehnica Chisinau</t>
  </si>
  <si>
    <t>Noruega 1. Eliteserien Série de Elite</t>
  </si>
  <si>
    <t>Valerenga</t>
  </si>
  <si>
    <t>Molde</t>
  </si>
  <si>
    <t>Assyriska Föreningen</t>
  </si>
  <si>
    <t>Gefle IF</t>
  </si>
  <si>
    <t>IF Karlstad Fotboll</t>
  </si>
  <si>
    <t>IFK Stocksund</t>
  </si>
  <si>
    <t>FC Rosengård 1917</t>
  </si>
  <si>
    <t>FC Trollhattan</t>
  </si>
  <si>
    <t>Atvidabergs FF</t>
  </si>
  <si>
    <t>Tvååkers IF</t>
  </si>
  <si>
    <t>Racing (U)</t>
  </si>
  <si>
    <t>Albion FC</t>
  </si>
  <si>
    <t>Inter Bratislava</t>
  </si>
  <si>
    <t>MFK Zvolen</t>
  </si>
  <si>
    <t>OFK Banik Lehota</t>
  </si>
  <si>
    <t>FK Humenne</t>
  </si>
  <si>
    <t>STK Samorin</t>
  </si>
  <si>
    <t>MSK Zilina B</t>
  </si>
  <si>
    <t>Krasnodar</t>
  </si>
  <si>
    <t>Rostov</t>
  </si>
  <si>
    <t>Arda Kardzhali</t>
  </si>
  <si>
    <t>Botev Vratsa</t>
  </si>
  <si>
    <t>Lok Sofia</t>
  </si>
  <si>
    <t>Kaisar Kyzylorda</t>
  </si>
  <si>
    <t>Okzhetpes Kokshetau</t>
  </si>
  <si>
    <t>Ordabasy</t>
  </si>
  <si>
    <t>FK Kyzylzhar</t>
  </si>
  <si>
    <t>Ujpest</t>
  </si>
  <si>
    <t>Vasas SC</t>
  </si>
  <si>
    <t>FK Kauno Zalgiris II</t>
  </si>
  <si>
    <t>FC Hegelmann II</t>
  </si>
  <si>
    <t>República Tcheca 1. First League</t>
  </si>
  <si>
    <t>Pardubice</t>
  </si>
  <si>
    <t>SK Artis Brno</t>
  </si>
  <si>
    <t>Sérvia 2. Prva Liga</t>
  </si>
  <si>
    <t>FK Graficar Beograd</t>
  </si>
  <si>
    <t>FK Dubocica</t>
  </si>
  <si>
    <t>Metalac Gornji</t>
  </si>
  <si>
    <t>Loznica</t>
  </si>
  <si>
    <t>Teleoptik</t>
  </si>
  <si>
    <t>FK Vozdovac</t>
  </si>
  <si>
    <t>Nordic United FC</t>
  </si>
  <si>
    <t>IFK Norrkoping</t>
  </si>
  <si>
    <t>NK Radomlje</t>
  </si>
  <si>
    <t>Olimpija Ljubljana</t>
  </si>
  <si>
    <t>Hungria 2. NB II</t>
  </si>
  <si>
    <t>FC Nagykanizsa</t>
  </si>
  <si>
    <t>Tiszakecske FC</t>
  </si>
  <si>
    <t>Kecskemeti TE</t>
  </si>
  <si>
    <t>Kozarmisleny SE</t>
  </si>
  <si>
    <t>Sepsi Sfantu Gheorghe</t>
  </si>
  <si>
    <t>Halmstad</t>
  </si>
  <si>
    <t>Kalmar FF</t>
  </si>
  <si>
    <t>Kickers Emden</t>
  </si>
  <si>
    <t>Hannover II</t>
  </si>
  <si>
    <t>VfB Oldenburg</t>
  </si>
  <si>
    <t>Eimsbutteler TV</t>
  </si>
  <si>
    <t>Tartu JK Welco</t>
  </si>
  <si>
    <t>Viimsi JK</t>
  </si>
  <si>
    <t>Volsungur</t>
  </si>
  <si>
    <t>IR Reykjavik</t>
  </si>
  <si>
    <t>Dalvik/Reynir</t>
  </si>
  <si>
    <t>KFG Gardabaer</t>
  </si>
  <si>
    <t>FK Auda</t>
  </si>
  <si>
    <t>SK Super Nova</t>
  </si>
  <si>
    <t>FK Smiltene/BJSS</t>
  </si>
  <si>
    <t>Metta/LU</t>
  </si>
  <si>
    <t>Marupes SC</t>
  </si>
  <si>
    <t>JDFS Alberts</t>
  </si>
  <si>
    <t>Viking FK</t>
  </si>
  <si>
    <t>Aalesund</t>
  </si>
  <si>
    <t>Sérvia 1. Superliga</t>
  </si>
  <si>
    <t>Partizan Belgrade</t>
  </si>
  <si>
    <t>OFK Belgrade</t>
  </si>
  <si>
    <t>Neman Grodno</t>
  </si>
  <si>
    <t>Slavia Mozyr</t>
  </si>
  <si>
    <t>Chile 2. Primeira B</t>
  </si>
  <si>
    <t>Club Deportes Santa Cruz</t>
  </si>
  <si>
    <t>FC Vion Zlate Moravce</t>
  </si>
  <si>
    <t>Slovan Galanta</t>
  </si>
  <si>
    <t>Islândia 1. Premier League (Besta-deild karla)</t>
  </si>
  <si>
    <t>IBV Vestmannaeyjar</t>
  </si>
  <si>
    <t>Thor Akureyri</t>
  </si>
  <si>
    <t>Zimbru Chisinau</t>
  </si>
  <si>
    <t>Sheriff Tiraspol</t>
  </si>
  <si>
    <t>Akhmat Grozny</t>
  </si>
  <si>
    <t>Krylia Sovetov</t>
  </si>
  <si>
    <t>Lokomotiv Moscow</t>
  </si>
  <si>
    <t>Dinamo Moscow</t>
  </si>
  <si>
    <t>-</t>
  </si>
  <si>
    <t>Boston River</t>
  </si>
  <si>
    <t>Cerro</t>
  </si>
  <si>
    <t>Juventud</t>
  </si>
  <si>
    <t>Deportivo Maldonado</t>
  </si>
  <si>
    <t>Deportivo Riestra</t>
  </si>
  <si>
    <t>Vélez Sarsfield</t>
  </si>
  <si>
    <t>Colegiales</t>
  </si>
  <si>
    <t>Deportivo Maipu</t>
  </si>
  <si>
    <t>Argentina 3. Primeira B (3ª Divisão)</t>
  </si>
  <si>
    <t>Argentino Quilmes</t>
  </si>
  <si>
    <t>Club Sportivo Italiano</t>
  </si>
  <si>
    <t>Arsenal de Sarandí</t>
  </si>
  <si>
    <t>Excursionistas</t>
  </si>
  <si>
    <t>Brown de Adrogué</t>
  </si>
  <si>
    <t>Liniers</t>
  </si>
  <si>
    <t>Defensores Unidos</t>
  </si>
  <si>
    <t>Atletico Camioneros</t>
  </si>
  <si>
    <t>Deportivo Laferrere</t>
  </si>
  <si>
    <t>Real Pilar</t>
  </si>
  <si>
    <t>Ituzaingó</t>
  </si>
  <si>
    <t>Talleres de Remedios de Escalada</t>
  </si>
  <si>
    <t>UAI Urquiza</t>
  </si>
  <si>
    <t>Argentina 4. Primeira C (4ª Divisão)</t>
  </si>
  <si>
    <t>Argentino Rosario</t>
  </si>
  <si>
    <t>Centro Espanol</t>
  </si>
  <si>
    <t>Deportivo Español</t>
  </si>
  <si>
    <t>Yupanqui</t>
  </si>
  <si>
    <t>Defensores Cambaceres</t>
  </si>
  <si>
    <t>Deportivo Paraguayo</t>
  </si>
  <si>
    <t>El Porvenir</t>
  </si>
  <si>
    <t>Claypole</t>
  </si>
  <si>
    <t>Estrella del Sur Alejandro Korn</t>
  </si>
  <si>
    <t>Victoriano Arenas</t>
  </si>
  <si>
    <t>General La Madrid</t>
  </si>
  <si>
    <t>Cañuelas</t>
  </si>
  <si>
    <t>Juventud Unida San Miguel</t>
  </si>
  <si>
    <t>Club Mercedes</t>
  </si>
  <si>
    <t>Leandro Nicéforo Alem</t>
  </si>
  <si>
    <t>Puerto Nuevo</t>
  </si>
  <si>
    <t>Leones de Rosario</t>
  </si>
  <si>
    <t>Atlas</t>
  </si>
  <si>
    <t>Lugano</t>
  </si>
  <si>
    <t>Berazategui</t>
  </si>
  <si>
    <t>Luján</t>
  </si>
  <si>
    <t>Deportivo Muñiz</t>
  </si>
  <si>
    <t>Sacachispas</t>
  </si>
  <si>
    <t>Justo José Urquiza</t>
  </si>
  <si>
    <t>Londrina</t>
  </si>
  <si>
    <t>Juventude</t>
  </si>
  <si>
    <t>Independiente del Valle</t>
  </si>
  <si>
    <t>U. Católica</t>
  </si>
  <si>
    <t>Cruz Azul Hidalgo</t>
  </si>
  <si>
    <t>Tepatitlan FC</t>
  </si>
  <si>
    <t>Juan Pablo II College</t>
  </si>
  <si>
    <t>Jedinstvo UB</t>
  </si>
  <si>
    <t>Spartak Subotica</t>
  </si>
  <si>
    <t>NS Mura</t>
  </si>
  <si>
    <t>Midland</t>
  </si>
  <si>
    <t>Nueva Chicago</t>
  </si>
  <si>
    <t>Eslováquia 1. Super Liga</t>
  </si>
  <si>
    <t>Dukla Banska Bystrica</t>
  </si>
  <si>
    <t>KFC Komarno</t>
  </si>
  <si>
    <t>CS Corvinul Hunedoara</t>
  </si>
  <si>
    <t>Dinamo Bucuresti</t>
  </si>
  <si>
    <t>Atletico Rafaela</t>
  </si>
  <si>
    <t>Tristán Suárez</t>
  </si>
  <si>
    <t>Club Ciudad de Bolivar</t>
  </si>
  <si>
    <t>Defensores de Belgrano</t>
  </si>
  <si>
    <t>Santiago Wanderers</t>
  </si>
  <si>
    <t>Magallanes</t>
  </si>
  <si>
    <t>Real Soacha Cundinamarca</t>
  </si>
  <si>
    <t>Patriotas F.C.</t>
  </si>
  <si>
    <t>Sportivo Trinidense</t>
  </si>
  <si>
    <t>FK Cukaricki</t>
  </si>
  <si>
    <t>Vojvodina</t>
  </si>
  <si>
    <t>FK Novi Pazar</t>
  </si>
  <si>
    <t>FK Macva Sabac</t>
  </si>
  <si>
    <t>Radnicki Nis</t>
  </si>
  <si>
    <t>FK Radnicki 1923</t>
  </si>
  <si>
    <t>Rosario Central</t>
  </si>
  <si>
    <t>Gimnasia La Plata</t>
  </si>
  <si>
    <t>Acassuso</t>
  </si>
  <si>
    <t>All Boys</t>
  </si>
  <si>
    <t>Agropecuario</t>
  </si>
  <si>
    <t>Almagro</t>
  </si>
  <si>
    <t>Gimnasia y Esgrima de Jujuy</t>
  </si>
  <si>
    <t>CA Chaco For Ever</t>
  </si>
  <si>
    <t>Estudiantes de Caseros</t>
  </si>
  <si>
    <t>CA Guemes</t>
  </si>
  <si>
    <t>Central Norte</t>
  </si>
  <si>
    <t>Almirante Brown</t>
  </si>
  <si>
    <t>Atlanta</t>
  </si>
  <si>
    <t>Colón de Santa Fe</t>
  </si>
  <si>
    <t>Deportivo Morón</t>
  </si>
  <si>
    <t>Racing de Cordoba</t>
  </si>
  <si>
    <t>Deportivo Madryn</t>
  </si>
  <si>
    <t>Patronato</t>
  </si>
  <si>
    <t>Ferro Carril Oeste</t>
  </si>
  <si>
    <t>Mitre (SE)</t>
  </si>
  <si>
    <t>Los Andes</t>
  </si>
  <si>
    <t>Quilmes</t>
  </si>
  <si>
    <t>San Martin SJ</t>
  </si>
  <si>
    <t>San Miguel</t>
  </si>
  <si>
    <t>Godoy Cruz de Mendoza</t>
  </si>
  <si>
    <t>San Telmo</t>
  </si>
  <si>
    <t>Temperley</t>
  </si>
  <si>
    <t>San Martin de Tucuman</t>
  </si>
  <si>
    <t>Comunicaciones (Mercedes)</t>
  </si>
  <si>
    <t>Fénix</t>
  </si>
  <si>
    <t>Central Córdoba de Rosario</t>
  </si>
  <si>
    <t>Brasil Série C</t>
  </si>
  <si>
    <t>Ypiranga-RS</t>
  </si>
  <si>
    <t>Anapolis FC</t>
  </si>
  <si>
    <t>Santa Cruz</t>
  </si>
  <si>
    <t>Volta Redonda</t>
  </si>
  <si>
    <t>Caxias do Sul</t>
  </si>
  <si>
    <t>Ferroviária</t>
  </si>
  <si>
    <t>Confiança</t>
  </si>
  <si>
    <t>Maranhão</t>
  </si>
  <si>
    <t>Floresta</t>
  </si>
  <si>
    <t>Ituano</t>
  </si>
  <si>
    <t>Guarani</t>
  </si>
  <si>
    <t>Itabaiana</t>
  </si>
  <si>
    <t>Botafogo-PB</t>
  </si>
  <si>
    <t>Paysandu</t>
  </si>
  <si>
    <t>Defensor Sporting</t>
  </si>
  <si>
    <t>Montevideo City</t>
  </si>
  <si>
    <t>Atlético FC</t>
  </si>
  <si>
    <t>Bogotá FC</t>
  </si>
  <si>
    <t>Real Santander</t>
  </si>
  <si>
    <t>Internacional FC de Palmira</t>
  </si>
  <si>
    <t>Estados Unidos 1. MLS</t>
  </si>
  <si>
    <t>Seattle Sounders FC</t>
  </si>
  <si>
    <t>Chicago Fire</t>
  </si>
  <si>
    <t>UTC</t>
  </si>
  <si>
    <t>Cavalry FC</t>
  </si>
  <si>
    <t>Vancouver FC</t>
  </si>
  <si>
    <t>Guayaquil City FC</t>
  </si>
  <si>
    <t>Pittsburgh Riverhounds</t>
  </si>
  <si>
    <t>Tampa Bay Rowdies</t>
  </si>
  <si>
    <t>Guastatoya</t>
  </si>
  <si>
    <t>Marquense</t>
  </si>
  <si>
    <t>Jaguares de Córdoba</t>
  </si>
  <si>
    <t>Brasil Série A</t>
  </si>
  <si>
    <t>Atlético-MG</t>
  </si>
  <si>
    <t>Vitória</t>
  </si>
  <si>
    <t>Botafogo SP</t>
  </si>
  <si>
    <t>Cuiabá</t>
  </si>
  <si>
    <t>Deportes Limache</t>
  </si>
  <si>
    <t>Unión Española</t>
  </si>
  <si>
    <t>Rangers de Talca</t>
  </si>
  <si>
    <t>CD Platense Zacatecoluca</t>
  </si>
  <si>
    <t>Internacional Santa Tecla</t>
  </si>
  <si>
    <t>Deportivo Recoleta</t>
  </si>
  <si>
    <t>Huracán</t>
  </si>
  <si>
    <t>Estudiantes Rio Cuarto</t>
  </si>
  <si>
    <t>Tlaxcala FC</t>
  </si>
  <si>
    <t>Venados FC</t>
  </si>
  <si>
    <t>Real Cartagena</t>
  </si>
  <si>
    <t>Tigres FC</t>
  </si>
  <si>
    <t>São Paulo</t>
  </si>
  <si>
    <t>Bragantino</t>
  </si>
  <si>
    <t>Brooklyn FC</t>
  </si>
  <si>
    <t>Sporting JAX</t>
  </si>
  <si>
    <t>Hartford Athletic</t>
  </si>
  <si>
    <t>Birmingham Legion FC</t>
  </si>
  <si>
    <t>Colorado Springs Switchbacks FC</t>
  </si>
  <si>
    <t>Chattanooga FC</t>
  </si>
  <si>
    <t>Carolina Core FC</t>
  </si>
  <si>
    <t>New York Red Bulls II</t>
  </si>
  <si>
    <t>KÍ Klaksvík</t>
  </si>
  <si>
    <t>Eb/Streymur</t>
  </si>
  <si>
    <t>Querétaro</t>
  </si>
  <si>
    <t>Pachuca</t>
  </si>
  <si>
    <t>Guadalajara</t>
  </si>
  <si>
    <t>CD Arabe Unido</t>
  </si>
  <si>
    <t>Independiente Santa Fe</t>
  </si>
  <si>
    <t>Atlanta United FC</t>
  </si>
  <si>
    <t>Charlotte FC</t>
  </si>
  <si>
    <t>Columbus Crew SC</t>
  </si>
  <si>
    <t>New England Revolution</t>
  </si>
  <si>
    <t>DC United</t>
  </si>
  <si>
    <t>Los Angeles FC</t>
  </si>
  <si>
    <t>Inter Miami CF</t>
  </si>
  <si>
    <t>CF Montreal</t>
  </si>
  <si>
    <t>New York Red Bulls</t>
  </si>
  <si>
    <t>Philadelphia Union</t>
  </si>
  <si>
    <t>Toronto FC</t>
  </si>
  <si>
    <t>New York City FC</t>
  </si>
  <si>
    <t>Nublense</t>
  </si>
  <si>
    <t>Deportes Iquique</t>
  </si>
  <si>
    <t>San Luis</t>
  </si>
  <si>
    <t>Manta FC</t>
  </si>
  <si>
    <t>Barcelona S.C.</t>
  </si>
  <si>
    <t>Louisville City FC</t>
  </si>
  <si>
    <t>Detroit City FC</t>
  </si>
  <si>
    <t>Oakland Roots</t>
  </si>
  <si>
    <t>Orange County SC</t>
  </si>
  <si>
    <t>Nicarágua 1. Liga Primera</t>
  </si>
  <si>
    <t>Diriangen</t>
  </si>
  <si>
    <t>Vasco</t>
  </si>
  <si>
    <t>Cruzeiro</t>
  </si>
  <si>
    <t>Atlético Tucumán</t>
  </si>
  <si>
    <t>Belgrano de Córdoba</t>
  </si>
  <si>
    <t>Talleres de Córdoba</t>
  </si>
  <si>
    <t>Ctral. Córdoba SE</t>
  </si>
  <si>
    <t>Houston Dynamo</t>
  </si>
  <si>
    <t>San Jose Earthquakes</t>
  </si>
  <si>
    <t>Minnesota United FC</t>
  </si>
  <si>
    <t>Orlando City SC</t>
  </si>
  <si>
    <t>Nashville SC</t>
  </si>
  <si>
    <t>FC Cincinnati</t>
  </si>
  <si>
    <t>Sporting Kansas City</t>
  </si>
  <si>
    <t>Vancouver Whitecaps</t>
  </si>
  <si>
    <t>Tulsa</t>
  </si>
  <si>
    <t>Rhode Island FC</t>
  </si>
  <si>
    <t>Deportivo Garcilaso</t>
  </si>
  <si>
    <t>Alianza FC</t>
  </si>
  <si>
    <t>El Paso Locomotive FC</t>
  </si>
  <si>
    <t>Loudoun United FC</t>
  </si>
  <si>
    <t>Comunicaciones</t>
  </si>
  <si>
    <t>Municipal</t>
  </si>
  <si>
    <t>Mineros de Zacatecas</t>
  </si>
  <si>
    <t>Jaiba Brava</t>
  </si>
  <si>
    <t>Rancho Santana FC</t>
  </si>
  <si>
    <t>América</t>
  </si>
  <si>
    <t>Puebla</t>
  </si>
  <si>
    <t>Colorado Rapids</t>
  </si>
  <si>
    <t>Real Salt Lake</t>
  </si>
  <si>
    <t>San Antonio FC</t>
  </si>
  <si>
    <t>San Francisco FC</t>
  </si>
  <si>
    <t>Perez Zeledon</t>
  </si>
  <si>
    <t>Alajuelense</t>
  </si>
  <si>
    <t>Monterey Bay FC</t>
  </si>
  <si>
    <t>Sacramento Republic FC</t>
  </si>
  <si>
    <t>Portland Timbers</t>
  </si>
  <si>
    <t>Austin FC</t>
  </si>
  <si>
    <t>San Diego FC</t>
  </si>
  <si>
    <t>LA Galaxy</t>
  </si>
  <si>
    <t>Las Vegas Lights FC</t>
  </si>
  <si>
    <t>Charleston Battery</t>
  </si>
  <si>
    <t>Phoenix Rising FC</t>
  </si>
  <si>
    <t>Indy Eleven</t>
  </si>
  <si>
    <t>Nada</t>
  </si>
  <si>
    <t>No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</si>
</sst>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\$* #,##0.00_-;&quot;-$&quot;* #,##0.00_-;_-\$* \-??_-;_-@_-"/>
    <numFmt numFmtId="165" formatCode="_-* #,##0.00_-;\-* #,##0.00_-;_-* \-??_-;_-@_-"/>
    <numFmt numFmtId="166" formatCode="m/d/yyyy"/>
    <numFmt numFmtId="167" formatCode="[$-F400]h:mm:ss\ AM/PM"/>
  </numFmts>
  <fonts count="8" x14ac:knownFonts="1">
    <font>
      <sz val="11"/>
      <name val="Calibri"/>
      <charset val="1"/>
    </font>
    <font>
      <sz val="11"/>
      <color theme="1"/>
      <name val="Aptos Narrow"/>
      <family val="2"/>
      <charset val="1"/>
    </font>
    <font>
      <b/>
      <sz val="11"/>
      <color theme="0"/>
      <name val="Calibri"/>
      <family val="2"/>
      <charset val="1"/>
    </font>
    <font>
      <b/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9"/>
        <bgColor rgb="FF808000"/>
      </patternFill>
    </fill>
    <fill>
      <patternFill patternType="solid">
        <fgColor theme="4"/>
        <bgColor rgb="FF0066CC"/>
      </patternFill>
    </fill>
    <fill>
      <patternFill patternType="solid">
        <fgColor theme="5" tint="0.79989013336588644"/>
        <bgColor rgb="FFE8E8E8"/>
      </patternFill>
    </fill>
    <fill>
      <patternFill patternType="solid">
        <fgColor theme="7" tint="0.79989013336588644"/>
        <bgColor rgb="FFC1E5F5"/>
      </patternFill>
    </fill>
    <fill>
      <patternFill patternType="solid">
        <fgColor theme="2"/>
        <bgColor rgb="FFFBE3D6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165" fontId="7" fillId="0" borderId="0" applyBorder="0" applyProtection="0"/>
    <xf numFmtId="164" fontId="7" fillId="0" borderId="0" applyBorder="0" applyProtection="0"/>
    <xf numFmtId="0" fontId="1" fillId="0" borderId="0"/>
    <xf numFmtId="0" fontId="1" fillId="0" borderId="0"/>
    <xf numFmtId="0" fontId="7" fillId="2" borderId="1" applyProtection="0"/>
  </cellStyleXfs>
  <cellXfs count="33">
    <xf numFmtId="0" fontId="0" fillId="0" borderId="0" xfId="0"/>
    <xf numFmtId="49" fontId="0" fillId="0" borderId="0" xfId="0" applyNumberFormat="1"/>
    <xf numFmtId="164" fontId="7" fillId="0" borderId="0" xfId="2" applyBorder="1" applyProtection="1"/>
    <xf numFmtId="164" fontId="2" fillId="3" borderId="2" xfId="2" applyFont="1" applyFill="1" applyBorder="1" applyProtection="1"/>
    <xf numFmtId="164" fontId="7" fillId="0" borderId="3" xfId="2" applyBorder="1" applyProtection="1"/>
    <xf numFmtId="0" fontId="2" fillId="4" borderId="0" xfId="0" applyFont="1" applyFill="1"/>
    <xf numFmtId="0" fontId="2" fillId="4" borderId="4" xfId="0" applyFont="1" applyFill="1" applyBorder="1"/>
    <xf numFmtId="49" fontId="2" fillId="4" borderId="4" xfId="0" applyNumberFormat="1" applyFont="1" applyFill="1" applyBorder="1"/>
    <xf numFmtId="0" fontId="2" fillId="5" borderId="4" xfId="0" applyFont="1" applyFill="1" applyBorder="1"/>
    <xf numFmtId="0" fontId="2" fillId="3" borderId="4" xfId="0" applyFont="1" applyFill="1" applyBorder="1"/>
    <xf numFmtId="0" fontId="3" fillId="6" borderId="4" xfId="0" applyFont="1" applyFill="1" applyBorder="1"/>
    <xf numFmtId="164" fontId="3" fillId="6" borderId="4" xfId="2" applyFont="1" applyFill="1" applyBorder="1" applyProtection="1"/>
    <xf numFmtId="0" fontId="4" fillId="5" borderId="0" xfId="0" applyFont="1" applyFill="1"/>
    <xf numFmtId="20" fontId="0" fillId="0" borderId="0" xfId="0" applyNumberFormat="1"/>
    <xf numFmtId="165" fontId="7" fillId="0" borderId="0" xfId="1" applyBorder="1" applyProtection="1"/>
    <xf numFmtId="164" fontId="5" fillId="0" borderId="0" xfId="2" applyFont="1" applyBorder="1" applyProtection="1"/>
    <xf numFmtId="0" fontId="6" fillId="0" borderId="0" xfId="0" applyFont="1"/>
    <xf numFmtId="0" fontId="6" fillId="0" borderId="5" xfId="0" applyFont="1" applyBorder="1"/>
    <xf numFmtId="0" fontId="0" fillId="0" borderId="5" xfId="0" applyBorder="1"/>
    <xf numFmtId="166" fontId="0" fillId="0" borderId="5" xfId="0" applyNumberFormat="1" applyBorder="1"/>
    <xf numFmtId="164" fontId="6" fillId="0" borderId="5" xfId="2" applyFont="1" applyBorder="1" applyProtection="1"/>
    <xf numFmtId="167" fontId="0" fillId="0" borderId="5" xfId="0" applyNumberFormat="1" applyBorder="1"/>
    <xf numFmtId="164" fontId="7" fillId="0" borderId="5" xfId="2" applyBorder="1" applyProtection="1"/>
    <xf numFmtId="165" fontId="3" fillId="6" borderId="5" xfId="1" applyFont="1" applyFill="1" applyBorder="1" applyProtection="1"/>
    <xf numFmtId="164" fontId="3" fillId="6" borderId="5" xfId="2" applyFont="1" applyFill="1" applyBorder="1" applyProtection="1"/>
    <xf numFmtId="165" fontId="3" fillId="6" borderId="6" xfId="1" applyFont="1" applyFill="1" applyBorder="1" applyProtection="1"/>
    <xf numFmtId="166" fontId="4" fillId="7" borderId="5" xfId="0" applyNumberFormat="1" applyFont="1" applyFill="1" applyBorder="1"/>
    <xf numFmtId="165" fontId="4" fillId="7" borderId="5" xfId="1" applyFont="1" applyFill="1" applyBorder="1" applyProtection="1"/>
    <xf numFmtId="0" fontId="4" fillId="7" borderId="5" xfId="0" applyFont="1" applyFill="1" applyBorder="1"/>
    <xf numFmtId="164" fontId="4" fillId="7" borderId="5" xfId="0" applyNumberFormat="1" applyFont="1" applyFill="1" applyBorder="1"/>
    <xf numFmtId="165" fontId="6" fillId="0" borderId="0" xfId="1" applyFont="1" applyBorder="1" applyProtection="1"/>
    <xf numFmtId="14" fontId="4" fillId="7" borderId="5" xfId="0" applyNumberFormat="1" applyFont="1" applyFill="1" applyBorder="1"/>
    <xf numFmtId="165" fontId="7" fillId="0" borderId="0" xfId="1"/>
  </cellXfs>
  <cellStyles count="6">
    <cellStyle name="Comma" xfId="1" builtinId="3"/>
    <cellStyle name="Currency" xfId="2" builtinId="4"/>
    <cellStyle name="Normal" xfId="0" builtinId="0"/>
    <cellStyle name="Normal 2" xfId="3" xr:uid="{00000000-0005-0000-0000-000006000000}"/>
    <cellStyle name="Normal 3" xfId="4" xr:uid="{00000000-0005-0000-0000-000007000000}"/>
    <cellStyle name="Note 2" xfId="5" xr:uid="{00000000-0005-0000-0000-000008000000}"/>
  </cellStyles>
  <dxfs count="1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156082"/>
      <rgbColor rgb="FFBFBFBF"/>
      <rgbColor rgb="FF808080"/>
      <rgbColor rgb="FF9999FF"/>
      <rgbColor rgb="FFA02B93"/>
      <rgbColor rgb="FFFFFFCC"/>
      <rgbColor rgb="FFCA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F9ED5"/>
      <rgbColor rgb="FF0000FF"/>
      <rgbColor rgb="FF00CCFF"/>
      <rgbColor rgb="FFC6EFCE"/>
      <rgbColor rgb="FFD9F2D0"/>
      <rgbColor rgb="FFFBE3D6"/>
      <rgbColor rgb="FF83CBEB"/>
      <rgbColor rgb="FFE8E8E8"/>
      <rgbColor rgb="FFC1E5F5"/>
      <rgbColor rgb="FFFFC7CE"/>
      <rgbColor rgb="FF3366FF"/>
      <rgbColor rgb="FF33CCCC"/>
      <rgbColor rgb="FF99CC00"/>
      <rgbColor rgb="FFFFCC00"/>
      <rgbColor rgb="FFFF9900"/>
      <rgbColor rgb="FFE97132"/>
      <rgbColor rgb="FF595959"/>
      <rgbColor rgb="FFB2B2B2"/>
      <rgbColor rgb="FF003366"/>
      <rgbColor rgb="FF4EA72E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I1048575"/>
  <sheetViews>
    <sheetView zoomScale="130" zoomScaleNormal="130" workbookViewId="0">
      <pane ySplit="3" topLeftCell="A5" activePane="bottomLeft" state="frozen"/>
      <selection pane="bottomLeft" activeCell="Z20" sqref="Z20"/>
    </sheetView>
  </sheetViews>
  <sheetFormatPr defaultColWidth="8.7109375" defaultRowHeight="15" zeroHeight="1" outlineLevelCol="1" x14ac:dyDescent="0.25"/>
  <cols>
    <col min="1" max="1" width="3.140625" customWidth="1"/>
    <col min="2" max="2" width="24.140625" customWidth="1"/>
    <col min="3" max="3" width="10.42578125" customWidth="1"/>
    <col min="4" max="4" width="9.42578125" customWidth="1"/>
    <col min="5" max="5" width="20.140625" customWidth="1"/>
    <col min="6" max="6" width="19.140625" customWidth="1"/>
    <col min="7" max="7" width="8.28515625" style="1" hidden="1" customWidth="1" outlineLevel="1"/>
    <col min="8" max="10" width="5" hidden="1" customWidth="1" outlineLevel="1"/>
    <col min="11" max="13" width="5.28515625" hidden="1" customWidth="1" outlineLevel="1"/>
    <col min="14" max="14" width="6.7109375" hidden="1" customWidth="1" outlineLevel="1"/>
    <col min="15" max="15" width="7" hidden="1" customWidth="1" outlineLevel="1"/>
    <col min="16" max="16" width="6.7109375" hidden="1" customWidth="1" outlineLevel="1"/>
    <col min="17" max="17" width="15.42578125" hidden="1" customWidth="1" outlineLevel="1"/>
    <col min="18" max="18" width="12.7109375" hidden="1" customWidth="1" outlineLevel="1"/>
    <col min="19" max="19" width="7.7109375" customWidth="1" collapsed="1"/>
    <col min="20" max="21" width="7.42578125" customWidth="1"/>
    <col min="22" max="22" width="9.7109375" customWidth="1"/>
    <col min="23" max="23" width="11" customWidth="1"/>
    <col min="24" max="25" width="11" hidden="1" customWidth="1" outlineLevel="1"/>
    <col min="26" max="26" width="7.42578125" customWidth="1" collapsed="1"/>
    <col min="27" max="27" width="5.42578125" customWidth="1"/>
    <col min="28" max="29" width="5.7109375" customWidth="1"/>
    <col min="30" max="30" width="12.28515625" customWidth="1"/>
    <col min="31" max="31" width="8.42578125" customWidth="1"/>
    <col min="33" max="33" width="9.7109375" customWidth="1"/>
    <col min="34" max="34" width="9.7109375" style="2" customWidth="1"/>
    <col min="35" max="35" width="8.7109375" customWidth="1"/>
  </cols>
  <sheetData>
    <row r="1" spans="1:35" x14ac:dyDescent="0.25">
      <c r="AH1" s="3" t="s">
        <v>0</v>
      </c>
      <c r="AI1" s="4">
        <v>1</v>
      </c>
    </row>
    <row r="2" spans="1:35" x14ac:dyDescent="0.25">
      <c r="AA2" s="2"/>
      <c r="AB2" s="2"/>
      <c r="AC2" s="2"/>
      <c r="AD2" s="2"/>
      <c r="AE2" s="2"/>
      <c r="AF2" s="2"/>
    </row>
    <row r="3" spans="1:35" x14ac:dyDescent="0.25">
      <c r="A3" s="5" t="s">
        <v>1</v>
      </c>
      <c r="B3" s="5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7" t="s">
        <v>7</v>
      </c>
      <c r="H3" s="6" t="s">
        <v>8</v>
      </c>
      <c r="I3" s="6" t="s">
        <v>9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6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6" t="s">
        <v>23</v>
      </c>
      <c r="X3" s="8" t="s">
        <v>24</v>
      </c>
      <c r="Y3" s="8" t="s">
        <v>25</v>
      </c>
      <c r="Z3" s="9" t="s">
        <v>27</v>
      </c>
      <c r="AA3" s="9" t="s">
        <v>28</v>
      </c>
      <c r="AB3" s="10" t="s">
        <v>19</v>
      </c>
      <c r="AC3" s="10" t="s">
        <v>20</v>
      </c>
      <c r="AD3" s="10" t="s">
        <v>29</v>
      </c>
      <c r="AE3" s="10" t="s">
        <v>26</v>
      </c>
      <c r="AF3" s="10" t="s">
        <v>23</v>
      </c>
      <c r="AG3" s="10" t="s">
        <v>30</v>
      </c>
      <c r="AH3" s="11" t="s">
        <v>0</v>
      </c>
      <c r="AI3" s="10" t="s">
        <v>31</v>
      </c>
    </row>
    <row r="4" spans="1:35" hidden="1" x14ac:dyDescent="0.25">
      <c r="B4" t="s">
        <v>49</v>
      </c>
      <c r="C4" t="s">
        <v>232</v>
      </c>
      <c r="D4" s="13">
        <v>0.9375</v>
      </c>
      <c r="E4" t="s">
        <v>75</v>
      </c>
      <c r="F4" t="s">
        <v>50</v>
      </c>
      <c r="H4">
        <v>45.4</v>
      </c>
      <c r="I4">
        <v>28.7</v>
      </c>
      <c r="J4">
        <v>25.9</v>
      </c>
      <c r="K4">
        <v>74.099999999999994</v>
      </c>
      <c r="L4">
        <v>54.6</v>
      </c>
      <c r="M4">
        <v>71.3</v>
      </c>
      <c r="N4">
        <v>31.3</v>
      </c>
      <c r="O4">
        <v>46.7</v>
      </c>
      <c r="P4">
        <v>22</v>
      </c>
      <c r="Q4">
        <v>64.400000000000006</v>
      </c>
      <c r="R4">
        <v>73.2</v>
      </c>
      <c r="S4">
        <v>46.5</v>
      </c>
      <c r="T4">
        <v>53.5</v>
      </c>
      <c r="U4">
        <v>59.4</v>
      </c>
      <c r="V4">
        <v>51.7</v>
      </c>
      <c r="W4">
        <v>48.3</v>
      </c>
      <c r="X4" s="12">
        <f t="shared" ref="X4" si="0">100-R4</f>
        <v>26.799999999999997</v>
      </c>
      <c r="Y4" s="12">
        <f t="shared" ref="Y4" si="1">100-U4</f>
        <v>40.6</v>
      </c>
      <c r="Z4" t="s">
        <v>192</v>
      </c>
      <c r="AB4" s="32">
        <f t="shared" ref="AB4" si="2">1/S4*100</f>
        <v>2.1505376344086025</v>
      </c>
      <c r="AC4" s="32">
        <f t="shared" ref="AC4" si="3">1/T4*100</f>
        <v>1.8691588785046727</v>
      </c>
      <c r="AD4" s="32">
        <f t="shared" ref="AD4" si="4">1/U4*100</f>
        <v>1.6835016835016834</v>
      </c>
      <c r="AE4" s="32">
        <f t="shared" ref="AE4" si="5">1/V4*100</f>
        <v>1.9342359767891681</v>
      </c>
      <c r="AF4" s="32">
        <f t="shared" ref="AF4" si="6">1/W4*100</f>
        <v>2.0703933747412009</v>
      </c>
    </row>
    <row r="5" spans="1:35" x14ac:dyDescent="0.25">
      <c r="B5" t="s">
        <v>233</v>
      </c>
      <c r="C5" t="s">
        <v>234</v>
      </c>
      <c r="D5" s="13">
        <v>0.3125</v>
      </c>
      <c r="E5" t="s">
        <v>235</v>
      </c>
      <c r="F5" t="s">
        <v>236</v>
      </c>
      <c r="H5">
        <v>30.6</v>
      </c>
      <c r="I5">
        <v>27.1</v>
      </c>
      <c r="J5">
        <v>42.3</v>
      </c>
      <c r="K5">
        <v>57.7</v>
      </c>
      <c r="L5">
        <v>69.400000000000006</v>
      </c>
      <c r="M5">
        <v>72.900000000000006</v>
      </c>
      <c r="N5">
        <v>29</v>
      </c>
      <c r="O5">
        <v>42.3</v>
      </c>
      <c r="P5">
        <v>28.7</v>
      </c>
      <c r="Q5">
        <v>71.7</v>
      </c>
      <c r="R5">
        <v>82.4</v>
      </c>
      <c r="S5">
        <v>59.6</v>
      </c>
      <c r="T5">
        <v>40.4</v>
      </c>
      <c r="U5">
        <v>46.1</v>
      </c>
      <c r="V5">
        <v>62.7</v>
      </c>
      <c r="W5">
        <v>37.299999999999997</v>
      </c>
      <c r="Z5" t="s">
        <v>22</v>
      </c>
    </row>
    <row r="6" spans="1:35" x14ac:dyDescent="0.25">
      <c r="B6" t="s">
        <v>233</v>
      </c>
      <c r="C6" t="s">
        <v>234</v>
      </c>
      <c r="D6" s="13">
        <v>0.3125</v>
      </c>
      <c r="E6" t="s">
        <v>237</v>
      </c>
      <c r="F6" t="s">
        <v>238</v>
      </c>
      <c r="H6">
        <v>38.700000000000003</v>
      </c>
      <c r="I6">
        <v>28.8</v>
      </c>
      <c r="J6">
        <v>32.5</v>
      </c>
      <c r="K6">
        <v>67.5</v>
      </c>
      <c r="L6">
        <v>61.3</v>
      </c>
      <c r="M6">
        <v>71.2</v>
      </c>
      <c r="N6">
        <v>35.5</v>
      </c>
      <c r="O6">
        <v>45.4</v>
      </c>
      <c r="P6">
        <v>19.100000000000001</v>
      </c>
      <c r="Q6">
        <v>65.599999999999994</v>
      </c>
      <c r="R6">
        <v>75.8</v>
      </c>
      <c r="S6">
        <v>49.9</v>
      </c>
      <c r="T6">
        <v>50.1</v>
      </c>
      <c r="U6">
        <v>55.7</v>
      </c>
      <c r="V6">
        <v>55.5</v>
      </c>
      <c r="W6">
        <v>44.5</v>
      </c>
      <c r="Z6" t="s">
        <v>192</v>
      </c>
    </row>
    <row r="7" spans="1:35" x14ac:dyDescent="0.25">
      <c r="B7" t="s">
        <v>239</v>
      </c>
      <c r="C7" t="s">
        <v>234</v>
      </c>
      <c r="D7" s="13">
        <v>0.3576388888888889</v>
      </c>
      <c r="E7" t="s">
        <v>240</v>
      </c>
      <c r="F7" t="s">
        <v>241</v>
      </c>
      <c r="H7">
        <v>36.9</v>
      </c>
      <c r="I7">
        <v>26.8</v>
      </c>
      <c r="J7">
        <v>36.299999999999997</v>
      </c>
      <c r="K7">
        <v>63.7</v>
      </c>
      <c r="L7">
        <v>63.1</v>
      </c>
      <c r="M7">
        <v>73.2</v>
      </c>
      <c r="N7">
        <v>20.399999999999999</v>
      </c>
      <c r="O7">
        <v>45.4</v>
      </c>
      <c r="P7">
        <v>34.200000000000003</v>
      </c>
      <c r="Q7">
        <v>66.3</v>
      </c>
      <c r="R7">
        <v>83.6</v>
      </c>
      <c r="S7">
        <v>61.5</v>
      </c>
      <c r="T7">
        <v>38.5</v>
      </c>
      <c r="U7">
        <v>44.1</v>
      </c>
      <c r="V7">
        <v>64.599999999999994</v>
      </c>
      <c r="W7">
        <v>35.4</v>
      </c>
      <c r="Z7" t="s">
        <v>192</v>
      </c>
    </row>
    <row r="8" spans="1:35" x14ac:dyDescent="0.25">
      <c r="B8" t="s">
        <v>239</v>
      </c>
      <c r="C8" t="s">
        <v>234</v>
      </c>
      <c r="D8" s="13">
        <v>0.3576388888888889</v>
      </c>
      <c r="E8" t="s">
        <v>242</v>
      </c>
      <c r="F8" t="s">
        <v>243</v>
      </c>
      <c r="H8">
        <v>47.5</v>
      </c>
      <c r="I8">
        <v>25.1</v>
      </c>
      <c r="J8">
        <v>27.4</v>
      </c>
      <c r="K8">
        <v>72.599999999999994</v>
      </c>
      <c r="L8">
        <v>52.5</v>
      </c>
      <c r="M8">
        <v>74.900000000000006</v>
      </c>
      <c r="N8">
        <v>36.4</v>
      </c>
      <c r="O8">
        <v>36.9</v>
      </c>
      <c r="P8">
        <v>26.7</v>
      </c>
      <c r="Q8">
        <v>79.599999999999994</v>
      </c>
      <c r="R8">
        <v>88</v>
      </c>
      <c r="S8">
        <v>69.2</v>
      </c>
      <c r="T8">
        <v>30.8</v>
      </c>
      <c r="U8">
        <v>36.5</v>
      </c>
      <c r="V8">
        <v>69.400000000000006</v>
      </c>
      <c r="W8">
        <v>30.6</v>
      </c>
      <c r="Z8" t="s">
        <v>908</v>
      </c>
    </row>
    <row r="9" spans="1:35" x14ac:dyDescent="0.25">
      <c r="B9" t="s">
        <v>239</v>
      </c>
      <c r="C9" t="s">
        <v>234</v>
      </c>
      <c r="D9" s="13">
        <v>0.375</v>
      </c>
      <c r="E9" t="s">
        <v>244</v>
      </c>
      <c r="F9" t="s">
        <v>245</v>
      </c>
      <c r="H9">
        <v>37.200000000000003</v>
      </c>
      <c r="I9">
        <v>27.4</v>
      </c>
      <c r="J9">
        <v>35.4</v>
      </c>
      <c r="K9">
        <v>64.599999999999994</v>
      </c>
      <c r="L9">
        <v>62.8</v>
      </c>
      <c r="M9">
        <v>72.599999999999994</v>
      </c>
      <c r="N9">
        <v>32.200000000000003</v>
      </c>
      <c r="O9">
        <v>41.7</v>
      </c>
      <c r="P9">
        <v>26.1</v>
      </c>
      <c r="Q9">
        <v>72.400000000000006</v>
      </c>
      <c r="R9">
        <v>81.099999999999994</v>
      </c>
      <c r="S9">
        <v>57.6</v>
      </c>
      <c r="T9">
        <v>42.4</v>
      </c>
      <c r="U9">
        <v>48</v>
      </c>
      <c r="V9">
        <v>61.6</v>
      </c>
      <c r="W9">
        <v>38.4</v>
      </c>
      <c r="Z9" t="s">
        <v>192</v>
      </c>
    </row>
    <row r="10" spans="1:35" x14ac:dyDescent="0.25">
      <c r="B10" t="s">
        <v>246</v>
      </c>
      <c r="C10" t="s">
        <v>234</v>
      </c>
      <c r="D10" s="13">
        <v>0.41666666666666669</v>
      </c>
      <c r="E10" t="s">
        <v>247</v>
      </c>
      <c r="F10" t="s">
        <v>248</v>
      </c>
      <c r="H10">
        <v>50.4</v>
      </c>
      <c r="I10">
        <v>26.3</v>
      </c>
      <c r="J10">
        <v>23.2</v>
      </c>
      <c r="K10">
        <v>76.8</v>
      </c>
      <c r="L10">
        <v>49.6</v>
      </c>
      <c r="M10">
        <v>73.7</v>
      </c>
      <c r="N10">
        <v>25.4</v>
      </c>
      <c r="O10">
        <v>48.9</v>
      </c>
      <c r="P10">
        <v>25.7</v>
      </c>
      <c r="Q10">
        <v>61.6</v>
      </c>
      <c r="R10">
        <v>79.3</v>
      </c>
      <c r="S10">
        <v>54.9</v>
      </c>
      <c r="T10">
        <v>45.1</v>
      </c>
      <c r="U10">
        <v>51.5</v>
      </c>
      <c r="V10">
        <v>57.2</v>
      </c>
      <c r="W10">
        <v>42.8</v>
      </c>
      <c r="Z10" t="s">
        <v>909</v>
      </c>
    </row>
    <row r="11" spans="1:35" x14ac:dyDescent="0.25">
      <c r="B11" t="s">
        <v>249</v>
      </c>
      <c r="C11" t="s">
        <v>234</v>
      </c>
      <c r="D11" s="13">
        <v>0.45833333333333331</v>
      </c>
      <c r="E11" t="s">
        <v>131</v>
      </c>
      <c r="F11" t="s">
        <v>197</v>
      </c>
      <c r="H11">
        <v>62.9</v>
      </c>
      <c r="I11">
        <v>22.7</v>
      </c>
      <c r="J11">
        <v>14.4</v>
      </c>
      <c r="K11">
        <v>85.6</v>
      </c>
      <c r="L11">
        <v>37.1</v>
      </c>
      <c r="M11">
        <v>77.3</v>
      </c>
      <c r="N11">
        <v>46.1</v>
      </c>
      <c r="O11">
        <v>33.799999999999997</v>
      </c>
      <c r="P11">
        <v>20</v>
      </c>
      <c r="Q11">
        <v>82.2</v>
      </c>
      <c r="R11">
        <v>84.5</v>
      </c>
      <c r="S11">
        <v>63.3</v>
      </c>
      <c r="T11">
        <v>36.700000000000003</v>
      </c>
      <c r="U11">
        <v>44.9</v>
      </c>
      <c r="V11">
        <v>58.1</v>
      </c>
      <c r="W11">
        <v>41.9</v>
      </c>
      <c r="Z11" t="s">
        <v>909</v>
      </c>
    </row>
    <row r="12" spans="1:35" x14ac:dyDescent="0.25">
      <c r="B12" t="s">
        <v>249</v>
      </c>
      <c r="C12" t="s">
        <v>234</v>
      </c>
      <c r="D12" s="13">
        <v>0.45833333333333331</v>
      </c>
      <c r="E12" t="s">
        <v>125</v>
      </c>
      <c r="F12" t="s">
        <v>129</v>
      </c>
      <c r="H12">
        <v>18.2</v>
      </c>
      <c r="I12">
        <v>27.8</v>
      </c>
      <c r="J12">
        <v>54</v>
      </c>
      <c r="K12">
        <v>46</v>
      </c>
      <c r="L12">
        <v>81.8</v>
      </c>
      <c r="M12">
        <v>72.2</v>
      </c>
      <c r="N12">
        <v>24</v>
      </c>
      <c r="O12">
        <v>47.3</v>
      </c>
      <c r="P12">
        <v>28.7</v>
      </c>
      <c r="Q12">
        <v>64</v>
      </c>
      <c r="R12">
        <v>75.099999999999994</v>
      </c>
      <c r="S12">
        <v>49.1</v>
      </c>
      <c r="T12">
        <v>50.9</v>
      </c>
      <c r="U12">
        <v>58</v>
      </c>
      <c r="V12">
        <v>50.4</v>
      </c>
      <c r="W12">
        <v>49.6</v>
      </c>
      <c r="Z12" t="s">
        <v>909</v>
      </c>
    </row>
    <row r="13" spans="1:35" x14ac:dyDescent="0.25">
      <c r="B13" t="s">
        <v>249</v>
      </c>
      <c r="C13" t="s">
        <v>234</v>
      </c>
      <c r="D13" s="13">
        <v>0.45833333333333331</v>
      </c>
      <c r="E13" t="s">
        <v>121</v>
      </c>
      <c r="F13" t="s">
        <v>130</v>
      </c>
      <c r="H13">
        <v>40.9</v>
      </c>
      <c r="I13">
        <v>26.8</v>
      </c>
      <c r="J13">
        <v>32.299999999999997</v>
      </c>
      <c r="K13">
        <v>67.7</v>
      </c>
      <c r="L13">
        <v>59.1</v>
      </c>
      <c r="M13">
        <v>73.2</v>
      </c>
      <c r="N13">
        <v>21</v>
      </c>
      <c r="O13">
        <v>45</v>
      </c>
      <c r="P13">
        <v>34</v>
      </c>
      <c r="Q13">
        <v>67.099999999999994</v>
      </c>
      <c r="R13">
        <v>82.5</v>
      </c>
      <c r="S13">
        <v>59.7</v>
      </c>
      <c r="T13">
        <v>40.299999999999997</v>
      </c>
      <c r="U13">
        <v>45.9</v>
      </c>
      <c r="V13">
        <v>63</v>
      </c>
      <c r="W13">
        <v>37</v>
      </c>
      <c r="Z13" t="s">
        <v>909</v>
      </c>
    </row>
    <row r="14" spans="1:35" x14ac:dyDescent="0.25">
      <c r="B14" t="s">
        <v>250</v>
      </c>
      <c r="C14" t="s">
        <v>234</v>
      </c>
      <c r="D14" s="13">
        <v>0.5</v>
      </c>
      <c r="E14" t="s">
        <v>251</v>
      </c>
      <c r="F14" t="s">
        <v>252</v>
      </c>
      <c r="H14">
        <v>61.3</v>
      </c>
      <c r="I14">
        <v>24.3</v>
      </c>
      <c r="J14">
        <v>14.5</v>
      </c>
      <c r="K14">
        <v>85.5</v>
      </c>
      <c r="L14">
        <v>38.700000000000003</v>
      </c>
      <c r="M14">
        <v>75.7</v>
      </c>
      <c r="N14">
        <v>47.2</v>
      </c>
      <c r="O14">
        <v>35.9</v>
      </c>
      <c r="P14">
        <v>16.899999999999999</v>
      </c>
      <c r="Q14">
        <v>77.8</v>
      </c>
      <c r="R14">
        <v>76.2</v>
      </c>
      <c r="S14">
        <v>50.6</v>
      </c>
      <c r="T14">
        <v>49.4</v>
      </c>
      <c r="U14">
        <v>57.7</v>
      </c>
      <c r="V14">
        <v>48.3</v>
      </c>
      <c r="W14">
        <v>51.7</v>
      </c>
      <c r="Z14" t="s">
        <v>909</v>
      </c>
    </row>
    <row r="15" spans="1:35" x14ac:dyDescent="0.25">
      <c r="B15" t="s">
        <v>246</v>
      </c>
      <c r="C15" t="s">
        <v>234</v>
      </c>
      <c r="D15" s="13">
        <v>0.5</v>
      </c>
      <c r="E15" t="s">
        <v>253</v>
      </c>
      <c r="F15" t="s">
        <v>254</v>
      </c>
      <c r="H15">
        <v>49.2</v>
      </c>
      <c r="I15">
        <v>26.6</v>
      </c>
      <c r="J15">
        <v>24.2</v>
      </c>
      <c r="K15">
        <v>75.8</v>
      </c>
      <c r="L15">
        <v>50.8</v>
      </c>
      <c r="M15">
        <v>73.400000000000006</v>
      </c>
      <c r="N15">
        <v>35.200000000000003</v>
      </c>
      <c r="O15">
        <v>44.6</v>
      </c>
      <c r="P15">
        <v>20.2</v>
      </c>
      <c r="Q15">
        <v>67</v>
      </c>
      <c r="R15">
        <v>79</v>
      </c>
      <c r="S15">
        <v>54.4</v>
      </c>
      <c r="T15">
        <v>45.6</v>
      </c>
      <c r="U15">
        <v>51.8</v>
      </c>
      <c r="V15">
        <v>57.2</v>
      </c>
      <c r="W15">
        <v>42.8</v>
      </c>
      <c r="Z15" t="s">
        <v>909</v>
      </c>
    </row>
    <row r="16" spans="1:35" x14ac:dyDescent="0.25">
      <c r="B16" t="s">
        <v>255</v>
      </c>
      <c r="C16" t="s">
        <v>234</v>
      </c>
      <c r="D16" s="13">
        <v>0.5</v>
      </c>
      <c r="E16" t="s">
        <v>164</v>
      </c>
      <c r="F16" t="s">
        <v>210</v>
      </c>
      <c r="H16">
        <v>24</v>
      </c>
      <c r="I16">
        <v>28.7</v>
      </c>
      <c r="J16">
        <v>47.4</v>
      </c>
      <c r="K16">
        <v>52.6</v>
      </c>
      <c r="L16">
        <v>76</v>
      </c>
      <c r="M16">
        <v>71.3</v>
      </c>
      <c r="N16">
        <v>15.3</v>
      </c>
      <c r="O16">
        <v>44.1</v>
      </c>
      <c r="P16">
        <v>40.5</v>
      </c>
      <c r="Q16">
        <v>66.7</v>
      </c>
      <c r="R16">
        <v>75.400000000000006</v>
      </c>
      <c r="S16">
        <v>49.4</v>
      </c>
      <c r="T16">
        <v>50.6</v>
      </c>
      <c r="U16">
        <v>56.7</v>
      </c>
      <c r="V16">
        <v>53.4</v>
      </c>
      <c r="W16">
        <v>46.6</v>
      </c>
      <c r="Z16" t="s">
        <v>909</v>
      </c>
    </row>
    <row r="17" spans="2:26" x14ac:dyDescent="0.25">
      <c r="B17" t="s">
        <v>256</v>
      </c>
      <c r="C17" t="s">
        <v>234</v>
      </c>
      <c r="D17" s="13">
        <v>0.5</v>
      </c>
      <c r="E17" t="s">
        <v>257</v>
      </c>
      <c r="F17" t="s">
        <v>258</v>
      </c>
      <c r="H17">
        <v>21.1</v>
      </c>
      <c r="I17">
        <v>31.2</v>
      </c>
      <c r="J17">
        <v>47.7</v>
      </c>
      <c r="K17">
        <v>52.3</v>
      </c>
      <c r="L17">
        <v>78.900000000000006</v>
      </c>
      <c r="M17">
        <v>68.8</v>
      </c>
      <c r="N17">
        <v>8.3000000000000007</v>
      </c>
      <c r="O17">
        <v>44.3</v>
      </c>
      <c r="P17">
        <v>47.3</v>
      </c>
      <c r="Q17">
        <v>62.8</v>
      </c>
      <c r="R17">
        <v>66.3</v>
      </c>
      <c r="S17">
        <v>38.299999999999997</v>
      </c>
      <c r="T17">
        <v>61.7</v>
      </c>
      <c r="U17">
        <v>67.599999999999994</v>
      </c>
      <c r="V17">
        <v>43.7</v>
      </c>
      <c r="W17">
        <v>56.3</v>
      </c>
      <c r="Z17" t="s">
        <v>192</v>
      </c>
    </row>
    <row r="18" spans="2:26" x14ac:dyDescent="0.25">
      <c r="B18" t="s">
        <v>259</v>
      </c>
      <c r="C18" t="s">
        <v>234</v>
      </c>
      <c r="D18" s="13">
        <v>0.52083333333333337</v>
      </c>
      <c r="E18" t="s">
        <v>88</v>
      </c>
      <c r="F18" t="s">
        <v>38</v>
      </c>
      <c r="H18">
        <v>45.4</v>
      </c>
      <c r="I18">
        <v>28.4</v>
      </c>
      <c r="J18">
        <v>26.2</v>
      </c>
      <c r="K18">
        <v>73.8</v>
      </c>
      <c r="L18">
        <v>54.6</v>
      </c>
      <c r="M18">
        <v>71.599999999999994</v>
      </c>
      <c r="N18">
        <v>36.799999999999997</v>
      </c>
      <c r="O18">
        <v>44.6</v>
      </c>
      <c r="P18">
        <v>18.600000000000001</v>
      </c>
      <c r="Q18">
        <v>66.5</v>
      </c>
      <c r="R18">
        <v>74.099999999999994</v>
      </c>
      <c r="S18">
        <v>47.7</v>
      </c>
      <c r="T18">
        <v>52.3</v>
      </c>
      <c r="U18">
        <v>58.2</v>
      </c>
      <c r="V18">
        <v>52.7</v>
      </c>
      <c r="W18">
        <v>47.3</v>
      </c>
      <c r="Z18" t="s">
        <v>909</v>
      </c>
    </row>
    <row r="19" spans="2:26" x14ac:dyDescent="0.25">
      <c r="B19" t="s">
        <v>259</v>
      </c>
      <c r="C19" t="s">
        <v>234</v>
      </c>
      <c r="D19" s="13">
        <v>0.52083333333333337</v>
      </c>
      <c r="E19" t="s">
        <v>260</v>
      </c>
      <c r="F19" t="s">
        <v>87</v>
      </c>
      <c r="H19">
        <v>41.3</v>
      </c>
      <c r="I19">
        <v>27.8</v>
      </c>
      <c r="J19">
        <v>30.9</v>
      </c>
      <c r="K19">
        <v>69.099999999999994</v>
      </c>
      <c r="L19">
        <v>58.7</v>
      </c>
      <c r="M19">
        <v>72.2</v>
      </c>
      <c r="N19">
        <v>31.8</v>
      </c>
      <c r="O19">
        <v>42.5</v>
      </c>
      <c r="P19">
        <v>25.7</v>
      </c>
      <c r="Q19">
        <v>71.099999999999994</v>
      </c>
      <c r="R19">
        <v>78.5</v>
      </c>
      <c r="S19">
        <v>53.7</v>
      </c>
      <c r="T19">
        <v>46.3</v>
      </c>
      <c r="U19">
        <v>52</v>
      </c>
      <c r="V19">
        <v>58.2</v>
      </c>
      <c r="W19">
        <v>41.8</v>
      </c>
      <c r="Z19" t="s">
        <v>909</v>
      </c>
    </row>
    <row r="20" spans="2:26" x14ac:dyDescent="0.25">
      <c r="B20" t="s">
        <v>261</v>
      </c>
      <c r="C20" t="s">
        <v>234</v>
      </c>
      <c r="D20" s="13">
        <v>0.54166666666666663</v>
      </c>
      <c r="E20" t="s">
        <v>262</v>
      </c>
      <c r="F20" t="s">
        <v>139</v>
      </c>
      <c r="H20">
        <v>56.7</v>
      </c>
      <c r="I20">
        <v>29.2</v>
      </c>
      <c r="J20">
        <v>14.1</v>
      </c>
      <c r="K20">
        <v>85.9</v>
      </c>
      <c r="L20">
        <v>43.3</v>
      </c>
      <c r="M20">
        <v>70.8</v>
      </c>
      <c r="N20">
        <v>37.200000000000003</v>
      </c>
      <c r="O20">
        <v>49.3</v>
      </c>
      <c r="P20">
        <v>13.5</v>
      </c>
      <c r="Q20">
        <v>58.6</v>
      </c>
      <c r="R20">
        <v>59.3</v>
      </c>
      <c r="S20">
        <v>31.2</v>
      </c>
      <c r="T20">
        <v>68.8</v>
      </c>
      <c r="U20">
        <v>75.8</v>
      </c>
      <c r="V20">
        <v>33.200000000000003</v>
      </c>
      <c r="W20">
        <v>66.8</v>
      </c>
      <c r="Z20" t="s">
        <v>192</v>
      </c>
    </row>
    <row r="21" spans="2:26" x14ac:dyDescent="0.25">
      <c r="B21" t="s">
        <v>263</v>
      </c>
      <c r="C21" t="s">
        <v>234</v>
      </c>
      <c r="D21" s="13">
        <v>0.54166666666666663</v>
      </c>
      <c r="E21" t="s">
        <v>264</v>
      </c>
      <c r="F21" t="s">
        <v>265</v>
      </c>
      <c r="H21">
        <v>44.9</v>
      </c>
      <c r="I21">
        <v>26.1</v>
      </c>
      <c r="J21">
        <v>29</v>
      </c>
      <c r="K21">
        <v>71</v>
      </c>
      <c r="L21">
        <v>55.1</v>
      </c>
      <c r="M21">
        <v>73.900000000000006</v>
      </c>
      <c r="N21">
        <v>39</v>
      </c>
      <c r="O21">
        <v>42.2</v>
      </c>
      <c r="P21">
        <v>18.8</v>
      </c>
      <c r="Q21">
        <v>69.900000000000006</v>
      </c>
      <c r="R21">
        <v>84</v>
      </c>
      <c r="S21">
        <v>62.1</v>
      </c>
      <c r="T21">
        <v>37.9</v>
      </c>
      <c r="U21">
        <v>43.7</v>
      </c>
      <c r="V21">
        <v>64.3</v>
      </c>
      <c r="W21">
        <v>35.700000000000003</v>
      </c>
    </row>
    <row r="22" spans="2:26" x14ac:dyDescent="0.25">
      <c r="B22" t="s">
        <v>246</v>
      </c>
      <c r="C22" t="s">
        <v>234</v>
      </c>
      <c r="D22" s="13">
        <v>0.54166666666666663</v>
      </c>
      <c r="E22" t="s">
        <v>266</v>
      </c>
      <c r="F22" t="s">
        <v>267</v>
      </c>
      <c r="H22">
        <v>12.9</v>
      </c>
      <c r="I22">
        <v>25</v>
      </c>
      <c r="J22">
        <v>62.2</v>
      </c>
      <c r="K22">
        <v>37.799999999999997</v>
      </c>
      <c r="L22">
        <v>87.1</v>
      </c>
      <c r="M22">
        <v>75</v>
      </c>
      <c r="N22">
        <v>16.7</v>
      </c>
      <c r="O22">
        <v>44.8</v>
      </c>
      <c r="P22">
        <v>38.5</v>
      </c>
      <c r="Q22">
        <v>66.2</v>
      </c>
      <c r="R22">
        <v>79.900000000000006</v>
      </c>
      <c r="S22">
        <v>56</v>
      </c>
      <c r="T22">
        <v>44</v>
      </c>
      <c r="U22">
        <v>52.7</v>
      </c>
      <c r="V22">
        <v>51.3</v>
      </c>
      <c r="W22">
        <v>48.7</v>
      </c>
    </row>
    <row r="23" spans="2:26" x14ac:dyDescent="0.25">
      <c r="B23" t="s">
        <v>268</v>
      </c>
      <c r="C23" t="s">
        <v>234</v>
      </c>
      <c r="D23" s="13">
        <v>0.54166666666666663</v>
      </c>
      <c r="E23" t="s">
        <v>269</v>
      </c>
      <c r="F23" t="s">
        <v>270</v>
      </c>
      <c r="H23">
        <v>59.5</v>
      </c>
      <c r="I23">
        <v>23.9</v>
      </c>
      <c r="J23">
        <v>16.5</v>
      </c>
      <c r="K23">
        <v>83.5</v>
      </c>
      <c r="L23">
        <v>40.5</v>
      </c>
      <c r="M23">
        <v>76.099999999999994</v>
      </c>
      <c r="N23">
        <v>52.9</v>
      </c>
      <c r="O23">
        <v>40.4</v>
      </c>
      <c r="P23">
        <v>6.6</v>
      </c>
      <c r="Q23">
        <v>65.5</v>
      </c>
      <c r="R23">
        <v>81.3</v>
      </c>
      <c r="S23">
        <v>58.1</v>
      </c>
      <c r="T23">
        <v>41.9</v>
      </c>
      <c r="U23">
        <v>49.6</v>
      </c>
      <c r="V23">
        <v>55.8</v>
      </c>
      <c r="W23">
        <v>44.2</v>
      </c>
    </row>
    <row r="24" spans="2:26" x14ac:dyDescent="0.25">
      <c r="B24" t="s">
        <v>268</v>
      </c>
      <c r="C24" t="s">
        <v>234</v>
      </c>
      <c r="D24" s="13">
        <v>0.55208333333333337</v>
      </c>
      <c r="E24" t="s">
        <v>271</v>
      </c>
      <c r="F24" t="s">
        <v>272</v>
      </c>
      <c r="H24">
        <v>57.2</v>
      </c>
      <c r="I24">
        <v>25.4</v>
      </c>
      <c r="J24">
        <v>17.399999999999999</v>
      </c>
      <c r="K24">
        <v>82.6</v>
      </c>
      <c r="L24">
        <v>42.8</v>
      </c>
      <c r="M24">
        <v>74.599999999999994</v>
      </c>
      <c r="N24">
        <v>59.7</v>
      </c>
      <c r="O24">
        <v>35.799999999999997</v>
      </c>
      <c r="P24">
        <v>4.5</v>
      </c>
      <c r="Q24">
        <v>69</v>
      </c>
      <c r="R24">
        <v>76.3</v>
      </c>
      <c r="S24">
        <v>50.7</v>
      </c>
      <c r="T24">
        <v>49.3</v>
      </c>
      <c r="U24">
        <v>56.8</v>
      </c>
      <c r="V24">
        <v>50.7</v>
      </c>
      <c r="W24">
        <v>49.3</v>
      </c>
    </row>
    <row r="25" spans="2:26" x14ac:dyDescent="0.25">
      <c r="B25" t="s">
        <v>249</v>
      </c>
      <c r="C25" t="s">
        <v>234</v>
      </c>
      <c r="D25" s="13">
        <v>0.5625</v>
      </c>
      <c r="E25" t="s">
        <v>196</v>
      </c>
      <c r="F25" t="s">
        <v>124</v>
      </c>
      <c r="H25">
        <v>28.4</v>
      </c>
      <c r="I25">
        <v>31.2</v>
      </c>
      <c r="J25">
        <v>40.4</v>
      </c>
      <c r="K25">
        <v>59.6</v>
      </c>
      <c r="L25">
        <v>71.599999999999994</v>
      </c>
      <c r="M25">
        <v>68.8</v>
      </c>
      <c r="N25">
        <v>14.4</v>
      </c>
      <c r="O25">
        <v>48.2</v>
      </c>
      <c r="P25">
        <v>37.4</v>
      </c>
      <c r="Q25">
        <v>60.8</v>
      </c>
      <c r="R25">
        <v>68.599999999999994</v>
      </c>
      <c r="S25">
        <v>40.799999999999997</v>
      </c>
      <c r="T25">
        <v>59.2</v>
      </c>
      <c r="U25">
        <v>64.5</v>
      </c>
      <c r="V25">
        <v>47.9</v>
      </c>
      <c r="W25">
        <v>52.1</v>
      </c>
    </row>
    <row r="26" spans="2:26" x14ac:dyDescent="0.25">
      <c r="B26" t="s">
        <v>273</v>
      </c>
      <c r="C26" t="s">
        <v>234</v>
      </c>
      <c r="D26" s="13">
        <v>0.58333333333333337</v>
      </c>
      <c r="E26" t="s">
        <v>274</v>
      </c>
      <c r="F26" t="s">
        <v>275</v>
      </c>
      <c r="H26">
        <v>45.9</v>
      </c>
      <c r="I26">
        <v>27.8</v>
      </c>
      <c r="J26">
        <v>26.2</v>
      </c>
      <c r="K26">
        <v>73.8</v>
      </c>
      <c r="L26">
        <v>54.1</v>
      </c>
      <c r="M26">
        <v>72.2</v>
      </c>
      <c r="N26">
        <v>27.5</v>
      </c>
      <c r="O26">
        <v>43.4</v>
      </c>
      <c r="P26">
        <v>29.1</v>
      </c>
      <c r="Q26">
        <v>70</v>
      </c>
      <c r="R26">
        <v>76.099999999999994</v>
      </c>
      <c r="S26">
        <v>50.3</v>
      </c>
      <c r="T26">
        <v>49.7</v>
      </c>
      <c r="U26">
        <v>55.6</v>
      </c>
      <c r="V26">
        <v>54.7</v>
      </c>
      <c r="W26">
        <v>45.3</v>
      </c>
    </row>
    <row r="27" spans="2:26" x14ac:dyDescent="0.25">
      <c r="B27" t="s">
        <v>276</v>
      </c>
      <c r="C27" t="s">
        <v>234</v>
      </c>
      <c r="D27" s="13">
        <v>0.58333333333333337</v>
      </c>
      <c r="E27" t="s">
        <v>213</v>
      </c>
      <c r="F27" t="s">
        <v>277</v>
      </c>
      <c r="H27">
        <v>59.6</v>
      </c>
      <c r="I27">
        <v>25</v>
      </c>
      <c r="J27">
        <v>15.4</v>
      </c>
      <c r="K27">
        <v>84.6</v>
      </c>
      <c r="L27">
        <v>40.4</v>
      </c>
      <c r="M27">
        <v>75</v>
      </c>
      <c r="N27">
        <v>34.1</v>
      </c>
      <c r="O27">
        <v>52.2</v>
      </c>
      <c r="P27">
        <v>13.7</v>
      </c>
      <c r="Q27">
        <v>54.9</v>
      </c>
      <c r="R27">
        <v>75</v>
      </c>
      <c r="S27">
        <v>49</v>
      </c>
      <c r="T27">
        <v>51</v>
      </c>
      <c r="U27">
        <v>59</v>
      </c>
      <c r="V27">
        <v>47.9</v>
      </c>
      <c r="W27">
        <v>52.1</v>
      </c>
    </row>
    <row r="28" spans="2:26" x14ac:dyDescent="0.25">
      <c r="B28" t="s">
        <v>276</v>
      </c>
      <c r="C28" t="s">
        <v>234</v>
      </c>
      <c r="D28" s="13">
        <v>0.58333333333333337</v>
      </c>
      <c r="E28" t="s">
        <v>278</v>
      </c>
      <c r="F28" t="s">
        <v>123</v>
      </c>
      <c r="H28">
        <v>68.7</v>
      </c>
      <c r="I28">
        <v>21.3</v>
      </c>
      <c r="J28">
        <v>10</v>
      </c>
      <c r="K28">
        <v>90</v>
      </c>
      <c r="L28">
        <v>31.3</v>
      </c>
      <c r="M28">
        <v>78.7</v>
      </c>
      <c r="N28">
        <v>51.4</v>
      </c>
      <c r="O28">
        <v>36.799999999999997</v>
      </c>
      <c r="P28">
        <v>11.9</v>
      </c>
      <c r="Q28">
        <v>73.900000000000006</v>
      </c>
      <c r="R28">
        <v>80.5</v>
      </c>
      <c r="S28">
        <v>57.1</v>
      </c>
      <c r="T28">
        <v>42.9</v>
      </c>
      <c r="U28">
        <v>53</v>
      </c>
      <c r="V28">
        <v>48</v>
      </c>
      <c r="W28">
        <v>52</v>
      </c>
    </row>
    <row r="29" spans="2:26" x14ac:dyDescent="0.25">
      <c r="B29" t="s">
        <v>250</v>
      </c>
      <c r="C29" t="s">
        <v>234</v>
      </c>
      <c r="D29" s="13">
        <v>0.58333333333333337</v>
      </c>
      <c r="E29" t="s">
        <v>279</v>
      </c>
      <c r="F29" t="s">
        <v>184</v>
      </c>
      <c r="H29">
        <v>60.3</v>
      </c>
      <c r="I29">
        <v>25.2</v>
      </c>
      <c r="J29">
        <v>14.5</v>
      </c>
      <c r="K29">
        <v>85.5</v>
      </c>
      <c r="L29">
        <v>39.700000000000003</v>
      </c>
      <c r="M29">
        <v>74.8</v>
      </c>
      <c r="N29">
        <v>38.799999999999997</v>
      </c>
      <c r="O29">
        <v>42.9</v>
      </c>
      <c r="P29">
        <v>18.3</v>
      </c>
      <c r="Q29">
        <v>68.8</v>
      </c>
      <c r="R29">
        <v>72.599999999999994</v>
      </c>
      <c r="S29">
        <v>45.9</v>
      </c>
      <c r="T29">
        <v>54.1</v>
      </c>
      <c r="U29">
        <v>62.2</v>
      </c>
      <c r="V29">
        <v>44.8</v>
      </c>
      <c r="W29">
        <v>55.2</v>
      </c>
    </row>
    <row r="30" spans="2:26" x14ac:dyDescent="0.25">
      <c r="B30" t="s">
        <v>280</v>
      </c>
      <c r="C30" t="s">
        <v>234</v>
      </c>
      <c r="D30" s="13">
        <v>0.58333333333333337</v>
      </c>
      <c r="E30" t="s">
        <v>281</v>
      </c>
      <c r="F30" t="s">
        <v>282</v>
      </c>
      <c r="H30">
        <v>30.8</v>
      </c>
      <c r="I30">
        <v>33.4</v>
      </c>
      <c r="J30">
        <v>35.799999999999997</v>
      </c>
      <c r="K30">
        <v>64.2</v>
      </c>
      <c r="L30">
        <v>69.2</v>
      </c>
      <c r="M30">
        <v>66.599999999999994</v>
      </c>
      <c r="N30">
        <v>19</v>
      </c>
      <c r="O30">
        <v>45</v>
      </c>
      <c r="P30">
        <v>36</v>
      </c>
      <c r="Q30">
        <v>66.7</v>
      </c>
      <c r="R30">
        <v>61.8</v>
      </c>
      <c r="S30">
        <v>33.4</v>
      </c>
      <c r="T30">
        <v>66.599999999999994</v>
      </c>
      <c r="U30">
        <v>71.2</v>
      </c>
      <c r="V30">
        <v>42.2</v>
      </c>
      <c r="W30">
        <v>57.8</v>
      </c>
    </row>
    <row r="31" spans="2:26" x14ac:dyDescent="0.25">
      <c r="B31" t="s">
        <v>283</v>
      </c>
      <c r="C31" t="s">
        <v>234</v>
      </c>
      <c r="D31" s="13">
        <v>0.58333333333333337</v>
      </c>
      <c r="E31" t="s">
        <v>284</v>
      </c>
      <c r="F31" t="s">
        <v>285</v>
      </c>
      <c r="H31">
        <v>54.3</v>
      </c>
      <c r="I31">
        <v>24.4</v>
      </c>
      <c r="J31">
        <v>21.3</v>
      </c>
      <c r="K31">
        <v>78.7</v>
      </c>
      <c r="L31">
        <v>45.7</v>
      </c>
      <c r="M31">
        <v>75.599999999999994</v>
      </c>
      <c r="N31">
        <v>37.5</v>
      </c>
      <c r="O31">
        <v>37.4</v>
      </c>
      <c r="P31">
        <v>25.1</v>
      </c>
      <c r="Q31">
        <v>78.599999999999994</v>
      </c>
      <c r="R31">
        <v>86.5</v>
      </c>
      <c r="S31">
        <v>66.5</v>
      </c>
      <c r="T31">
        <v>33.5</v>
      </c>
      <c r="U31">
        <v>40</v>
      </c>
      <c r="V31">
        <v>65.2</v>
      </c>
      <c r="W31">
        <v>34.799999999999997</v>
      </c>
    </row>
    <row r="32" spans="2:26" x14ac:dyDescent="0.25">
      <c r="B32" t="s">
        <v>286</v>
      </c>
      <c r="C32" t="s">
        <v>234</v>
      </c>
      <c r="D32" s="13">
        <v>0.60416666666666663</v>
      </c>
      <c r="E32" t="s">
        <v>287</v>
      </c>
      <c r="F32" t="s">
        <v>187</v>
      </c>
      <c r="H32">
        <v>42</v>
      </c>
      <c r="I32">
        <v>28.2</v>
      </c>
      <c r="J32">
        <v>29.8</v>
      </c>
      <c r="K32">
        <v>70.2</v>
      </c>
      <c r="L32">
        <v>58</v>
      </c>
      <c r="M32">
        <v>71.8</v>
      </c>
      <c r="N32">
        <v>30.6</v>
      </c>
      <c r="O32">
        <v>42.4</v>
      </c>
      <c r="P32">
        <v>26.9</v>
      </c>
      <c r="Q32">
        <v>71.400000000000006</v>
      </c>
      <c r="R32">
        <v>76.599999999999994</v>
      </c>
      <c r="S32">
        <v>51</v>
      </c>
      <c r="T32">
        <v>49</v>
      </c>
      <c r="U32">
        <v>54.6</v>
      </c>
      <c r="V32">
        <v>56.1</v>
      </c>
      <c r="W32">
        <v>43.9</v>
      </c>
    </row>
    <row r="33" spans="2:26" x14ac:dyDescent="0.25">
      <c r="B33" t="s">
        <v>288</v>
      </c>
      <c r="C33" t="s">
        <v>234</v>
      </c>
      <c r="D33" s="13">
        <v>0.625</v>
      </c>
      <c r="E33" t="s">
        <v>289</v>
      </c>
      <c r="F33" t="s">
        <v>290</v>
      </c>
      <c r="H33">
        <v>33</v>
      </c>
      <c r="I33">
        <v>27.5</v>
      </c>
      <c r="J33">
        <v>39.6</v>
      </c>
      <c r="K33">
        <v>60.4</v>
      </c>
      <c r="L33">
        <v>67</v>
      </c>
      <c r="M33">
        <v>72.5</v>
      </c>
      <c r="N33">
        <v>32.700000000000003</v>
      </c>
      <c r="O33">
        <v>36.9</v>
      </c>
      <c r="P33">
        <v>30.4</v>
      </c>
      <c r="Q33">
        <v>80.2</v>
      </c>
      <c r="R33">
        <v>81.3</v>
      </c>
      <c r="S33">
        <v>57.8</v>
      </c>
      <c r="T33">
        <v>42.2</v>
      </c>
      <c r="U33">
        <v>47.8</v>
      </c>
      <c r="V33">
        <v>61.7</v>
      </c>
      <c r="W33">
        <v>38.299999999999997</v>
      </c>
    </row>
    <row r="34" spans="2:26" x14ac:dyDescent="0.25">
      <c r="B34" t="s">
        <v>291</v>
      </c>
      <c r="C34" t="s">
        <v>234</v>
      </c>
      <c r="D34" s="13">
        <v>0.625</v>
      </c>
      <c r="E34" t="s">
        <v>292</v>
      </c>
      <c r="F34" t="s">
        <v>293</v>
      </c>
      <c r="H34">
        <v>57.3</v>
      </c>
      <c r="I34">
        <v>23.9</v>
      </c>
      <c r="J34">
        <v>18.8</v>
      </c>
      <c r="K34">
        <v>81.2</v>
      </c>
      <c r="L34">
        <v>42.7</v>
      </c>
      <c r="M34">
        <v>76.099999999999994</v>
      </c>
      <c r="N34">
        <v>54</v>
      </c>
      <c r="O34">
        <v>31.6</v>
      </c>
      <c r="P34">
        <v>14.3</v>
      </c>
      <c r="Q34">
        <v>82.3</v>
      </c>
      <c r="R34">
        <v>91.4</v>
      </c>
      <c r="S34">
        <v>75.900000000000006</v>
      </c>
      <c r="T34">
        <v>24.1</v>
      </c>
      <c r="U34">
        <v>30.3</v>
      </c>
      <c r="V34">
        <v>71.599999999999994</v>
      </c>
      <c r="W34">
        <v>28.4</v>
      </c>
    </row>
    <row r="35" spans="2:26" x14ac:dyDescent="0.25">
      <c r="B35" t="s">
        <v>255</v>
      </c>
      <c r="C35" t="s">
        <v>234</v>
      </c>
      <c r="D35" s="13">
        <v>0.625</v>
      </c>
      <c r="E35" t="s">
        <v>294</v>
      </c>
      <c r="F35" t="s">
        <v>295</v>
      </c>
      <c r="H35">
        <v>48.1</v>
      </c>
      <c r="I35">
        <v>30</v>
      </c>
      <c r="J35">
        <v>21.9</v>
      </c>
      <c r="K35">
        <v>78.099999999999994</v>
      </c>
      <c r="L35">
        <v>51.9</v>
      </c>
      <c r="M35">
        <v>70</v>
      </c>
      <c r="N35">
        <v>26.1</v>
      </c>
      <c r="O35">
        <v>48.7</v>
      </c>
      <c r="P35">
        <v>25.2</v>
      </c>
      <c r="Q35">
        <v>61.8</v>
      </c>
      <c r="R35">
        <v>66.2</v>
      </c>
      <c r="S35">
        <v>38.1</v>
      </c>
      <c r="T35">
        <v>61.9</v>
      </c>
      <c r="U35">
        <v>67.7</v>
      </c>
      <c r="V35">
        <v>43.8</v>
      </c>
      <c r="W35">
        <v>56.2</v>
      </c>
    </row>
    <row r="36" spans="2:26" x14ac:dyDescent="0.25">
      <c r="B36" t="s">
        <v>261</v>
      </c>
      <c r="C36" t="s">
        <v>234</v>
      </c>
      <c r="D36" s="13">
        <v>0.63541666666666663</v>
      </c>
      <c r="E36" t="s">
        <v>203</v>
      </c>
      <c r="F36" t="s">
        <v>296</v>
      </c>
      <c r="H36">
        <v>65</v>
      </c>
      <c r="I36">
        <v>23.1</v>
      </c>
      <c r="J36">
        <v>11.9</v>
      </c>
      <c r="K36">
        <v>88.1</v>
      </c>
      <c r="L36">
        <v>35</v>
      </c>
      <c r="M36">
        <v>76.900000000000006</v>
      </c>
      <c r="N36">
        <v>32.4</v>
      </c>
      <c r="O36">
        <v>47</v>
      </c>
      <c r="P36">
        <v>20.6</v>
      </c>
      <c r="Q36">
        <v>63.7</v>
      </c>
      <c r="R36">
        <v>75.599999999999994</v>
      </c>
      <c r="S36">
        <v>50</v>
      </c>
      <c r="T36">
        <v>50</v>
      </c>
      <c r="U36">
        <v>59.3</v>
      </c>
      <c r="V36">
        <v>45</v>
      </c>
      <c r="W36">
        <v>55</v>
      </c>
      <c r="Z36" t="s">
        <v>19</v>
      </c>
    </row>
    <row r="37" spans="2:26" x14ac:dyDescent="0.25">
      <c r="B37" t="s">
        <v>297</v>
      </c>
      <c r="C37" t="s">
        <v>234</v>
      </c>
      <c r="D37" s="13">
        <v>0.63541666666666663</v>
      </c>
      <c r="E37" t="s">
        <v>298</v>
      </c>
      <c r="F37" t="s">
        <v>299</v>
      </c>
      <c r="H37">
        <v>47.9</v>
      </c>
      <c r="I37">
        <v>29.5</v>
      </c>
      <c r="J37">
        <v>22.7</v>
      </c>
      <c r="K37">
        <v>77.3</v>
      </c>
      <c r="L37">
        <v>52.1</v>
      </c>
      <c r="M37">
        <v>70.5</v>
      </c>
      <c r="N37">
        <v>54.8</v>
      </c>
      <c r="O37">
        <v>34.5</v>
      </c>
      <c r="P37">
        <v>10.6</v>
      </c>
      <c r="Q37">
        <v>75.8</v>
      </c>
      <c r="R37">
        <v>68.2</v>
      </c>
      <c r="S37">
        <v>40.5</v>
      </c>
      <c r="T37">
        <v>59.5</v>
      </c>
      <c r="U37">
        <v>65.5</v>
      </c>
      <c r="V37">
        <v>45.9</v>
      </c>
      <c r="W37">
        <v>54.1</v>
      </c>
    </row>
    <row r="38" spans="2:26" x14ac:dyDescent="0.25">
      <c r="B38" t="s">
        <v>300</v>
      </c>
      <c r="C38" t="s">
        <v>234</v>
      </c>
      <c r="D38" s="13">
        <v>0.64583333333333337</v>
      </c>
      <c r="E38" t="s">
        <v>301</v>
      </c>
      <c r="F38" t="s">
        <v>302</v>
      </c>
      <c r="H38">
        <v>66.2</v>
      </c>
      <c r="I38">
        <v>22</v>
      </c>
      <c r="J38">
        <v>11.9</v>
      </c>
      <c r="K38">
        <v>88.1</v>
      </c>
      <c r="L38">
        <v>33.799999999999997</v>
      </c>
      <c r="M38">
        <v>78</v>
      </c>
      <c r="N38">
        <v>51.7</v>
      </c>
      <c r="O38">
        <v>35.6</v>
      </c>
      <c r="P38">
        <v>12.6</v>
      </c>
      <c r="Q38">
        <v>75.900000000000006</v>
      </c>
      <c r="R38">
        <v>82.1</v>
      </c>
      <c r="S38">
        <v>59.5</v>
      </c>
      <c r="T38">
        <v>40.5</v>
      </c>
      <c r="U38">
        <v>49.7</v>
      </c>
      <c r="V38">
        <v>52.4</v>
      </c>
      <c r="W38">
        <v>47.6</v>
      </c>
    </row>
    <row r="39" spans="2:26" x14ac:dyDescent="0.25">
      <c r="B39" t="s">
        <v>303</v>
      </c>
      <c r="C39" t="s">
        <v>234</v>
      </c>
      <c r="D39" s="13">
        <v>0.65625</v>
      </c>
      <c r="E39" t="s">
        <v>304</v>
      </c>
      <c r="F39" t="s">
        <v>305</v>
      </c>
      <c r="H39">
        <v>58.5</v>
      </c>
      <c r="I39">
        <v>24.8</v>
      </c>
      <c r="J39">
        <v>16.7</v>
      </c>
      <c r="K39">
        <v>83.3</v>
      </c>
      <c r="L39">
        <v>41.5</v>
      </c>
      <c r="M39">
        <v>75.2</v>
      </c>
      <c r="N39">
        <v>36.6</v>
      </c>
      <c r="O39">
        <v>44.4</v>
      </c>
      <c r="P39">
        <v>19</v>
      </c>
      <c r="Q39">
        <v>66.900000000000006</v>
      </c>
      <c r="R39">
        <v>77.7</v>
      </c>
      <c r="S39">
        <v>52.8</v>
      </c>
      <c r="T39">
        <v>47.2</v>
      </c>
      <c r="U39">
        <v>54.9</v>
      </c>
      <c r="V39">
        <v>51.8</v>
      </c>
      <c r="W39">
        <v>48.2</v>
      </c>
    </row>
    <row r="40" spans="2:26" x14ac:dyDescent="0.25">
      <c r="B40" t="s">
        <v>303</v>
      </c>
      <c r="C40" t="s">
        <v>234</v>
      </c>
      <c r="D40" s="13">
        <v>0.65625</v>
      </c>
      <c r="E40" t="s">
        <v>306</v>
      </c>
      <c r="F40" t="s">
        <v>307</v>
      </c>
      <c r="H40">
        <v>42.5</v>
      </c>
      <c r="I40">
        <v>27.5</v>
      </c>
      <c r="J40">
        <v>30</v>
      </c>
      <c r="K40">
        <v>70</v>
      </c>
      <c r="L40">
        <v>57.5</v>
      </c>
      <c r="M40">
        <v>72.5</v>
      </c>
      <c r="N40">
        <v>33.4</v>
      </c>
      <c r="O40">
        <v>42.8</v>
      </c>
      <c r="P40">
        <v>23.9</v>
      </c>
      <c r="Q40">
        <v>70.400000000000006</v>
      </c>
      <c r="R40">
        <v>79.3</v>
      </c>
      <c r="S40">
        <v>54.8</v>
      </c>
      <c r="T40">
        <v>45.2</v>
      </c>
      <c r="U40">
        <v>51</v>
      </c>
      <c r="V40">
        <v>59</v>
      </c>
      <c r="W40">
        <v>41</v>
      </c>
    </row>
    <row r="41" spans="2:26" x14ac:dyDescent="0.25">
      <c r="B41" t="s">
        <v>303</v>
      </c>
      <c r="C41" t="s">
        <v>234</v>
      </c>
      <c r="D41" s="13">
        <v>0.65625</v>
      </c>
      <c r="E41" t="s">
        <v>308</v>
      </c>
      <c r="F41" t="s">
        <v>309</v>
      </c>
      <c r="H41">
        <v>56</v>
      </c>
      <c r="I41">
        <v>25.5</v>
      </c>
      <c r="J41">
        <v>18.5</v>
      </c>
      <c r="K41">
        <v>81.5</v>
      </c>
      <c r="L41">
        <v>44</v>
      </c>
      <c r="M41">
        <v>74.5</v>
      </c>
      <c r="N41">
        <v>41.9</v>
      </c>
      <c r="O41">
        <v>39.9</v>
      </c>
      <c r="P41">
        <v>18.2</v>
      </c>
      <c r="Q41">
        <v>72.900000000000006</v>
      </c>
      <c r="R41">
        <v>77.599999999999994</v>
      </c>
      <c r="S41">
        <v>52.5</v>
      </c>
      <c r="T41">
        <v>47.5</v>
      </c>
      <c r="U41">
        <v>54.7</v>
      </c>
      <c r="V41">
        <v>52.9</v>
      </c>
      <c r="W41">
        <v>47.1</v>
      </c>
    </row>
    <row r="42" spans="2:26" x14ac:dyDescent="0.25">
      <c r="B42" t="s">
        <v>310</v>
      </c>
      <c r="C42" t="s">
        <v>234</v>
      </c>
      <c r="D42" s="13">
        <v>0.65625</v>
      </c>
      <c r="E42" t="s">
        <v>311</v>
      </c>
      <c r="F42" t="s">
        <v>312</v>
      </c>
      <c r="H42">
        <v>36.299999999999997</v>
      </c>
      <c r="I42">
        <v>28.6</v>
      </c>
      <c r="J42">
        <v>35.1</v>
      </c>
      <c r="K42">
        <v>64.900000000000006</v>
      </c>
      <c r="L42">
        <v>63.7</v>
      </c>
      <c r="M42">
        <v>71.400000000000006</v>
      </c>
      <c r="N42">
        <v>27.7</v>
      </c>
      <c r="O42">
        <v>44.5</v>
      </c>
      <c r="P42">
        <v>27.9</v>
      </c>
      <c r="Q42">
        <v>68.3</v>
      </c>
      <c r="R42">
        <v>76.900000000000006</v>
      </c>
      <c r="S42">
        <v>51.3</v>
      </c>
      <c r="T42">
        <v>48.7</v>
      </c>
      <c r="U42">
        <v>54.2</v>
      </c>
      <c r="V42">
        <v>56.8</v>
      </c>
      <c r="W42">
        <v>43.2</v>
      </c>
    </row>
    <row r="43" spans="2:26" x14ac:dyDescent="0.25">
      <c r="B43" t="s">
        <v>310</v>
      </c>
      <c r="C43" t="s">
        <v>234</v>
      </c>
      <c r="D43" s="13">
        <v>0.65625</v>
      </c>
      <c r="E43" t="s">
        <v>313</v>
      </c>
      <c r="F43" t="s">
        <v>314</v>
      </c>
      <c r="H43">
        <v>39.5</v>
      </c>
      <c r="I43">
        <v>29.4</v>
      </c>
      <c r="J43">
        <v>31</v>
      </c>
      <c r="K43">
        <v>69</v>
      </c>
      <c r="L43">
        <v>60.5</v>
      </c>
      <c r="M43">
        <v>70.599999999999994</v>
      </c>
      <c r="N43">
        <v>29.8</v>
      </c>
      <c r="O43">
        <v>46.6</v>
      </c>
      <c r="P43">
        <v>23.6</v>
      </c>
      <c r="Q43">
        <v>64.8</v>
      </c>
      <c r="R43">
        <v>73.2</v>
      </c>
      <c r="S43">
        <v>46.5</v>
      </c>
      <c r="T43">
        <v>53.5</v>
      </c>
      <c r="U43">
        <v>59</v>
      </c>
      <c r="V43">
        <v>52.7</v>
      </c>
      <c r="W43">
        <v>47.3</v>
      </c>
    </row>
    <row r="44" spans="2:26" x14ac:dyDescent="0.25">
      <c r="B44" t="s">
        <v>310</v>
      </c>
      <c r="C44" t="s">
        <v>234</v>
      </c>
      <c r="D44" s="13">
        <v>0.65625</v>
      </c>
      <c r="E44" t="s">
        <v>315</v>
      </c>
      <c r="F44" t="s">
        <v>316</v>
      </c>
      <c r="H44">
        <v>60.5</v>
      </c>
      <c r="I44">
        <v>23.9</v>
      </c>
      <c r="J44">
        <v>15.5</v>
      </c>
      <c r="K44">
        <v>84.5</v>
      </c>
      <c r="L44">
        <v>39.5</v>
      </c>
      <c r="M44">
        <v>76.099999999999994</v>
      </c>
      <c r="N44">
        <v>34.299999999999997</v>
      </c>
      <c r="O44">
        <v>45</v>
      </c>
      <c r="P44">
        <v>20.7</v>
      </c>
      <c r="Q44">
        <v>66.599999999999994</v>
      </c>
      <c r="R44">
        <v>79.5</v>
      </c>
      <c r="S44">
        <v>55.4</v>
      </c>
      <c r="T44">
        <v>44.6</v>
      </c>
      <c r="U44">
        <v>52.6</v>
      </c>
      <c r="V44">
        <v>52.9</v>
      </c>
      <c r="W44">
        <v>47.1</v>
      </c>
    </row>
    <row r="45" spans="2:26" x14ac:dyDescent="0.25">
      <c r="B45" t="s">
        <v>310</v>
      </c>
      <c r="C45" t="s">
        <v>234</v>
      </c>
      <c r="D45" s="13">
        <v>0.65625</v>
      </c>
      <c r="E45" t="s">
        <v>317</v>
      </c>
      <c r="F45" t="s">
        <v>318</v>
      </c>
      <c r="H45">
        <v>49.1</v>
      </c>
      <c r="I45">
        <v>28.3</v>
      </c>
      <c r="J45">
        <v>22.6</v>
      </c>
      <c r="K45">
        <v>77.400000000000006</v>
      </c>
      <c r="L45">
        <v>50.9</v>
      </c>
      <c r="M45">
        <v>71.7</v>
      </c>
      <c r="N45">
        <v>38.299999999999997</v>
      </c>
      <c r="O45">
        <v>46.1</v>
      </c>
      <c r="P45">
        <v>15.6</v>
      </c>
      <c r="Q45">
        <v>63.5</v>
      </c>
      <c r="R45">
        <v>72</v>
      </c>
      <c r="S45">
        <v>45</v>
      </c>
      <c r="T45">
        <v>55</v>
      </c>
      <c r="U45">
        <v>61.2</v>
      </c>
      <c r="V45">
        <v>49.4</v>
      </c>
      <c r="W45">
        <v>50.6</v>
      </c>
    </row>
    <row r="46" spans="2:26" x14ac:dyDescent="0.25">
      <c r="B46" t="s">
        <v>310</v>
      </c>
      <c r="C46" t="s">
        <v>234</v>
      </c>
      <c r="D46" s="13">
        <v>0.65625</v>
      </c>
      <c r="E46" t="s">
        <v>319</v>
      </c>
      <c r="F46" t="s">
        <v>320</v>
      </c>
      <c r="H46">
        <v>62.8</v>
      </c>
      <c r="I46">
        <v>23.3</v>
      </c>
      <c r="J46">
        <v>14</v>
      </c>
      <c r="K46">
        <v>86</v>
      </c>
      <c r="L46">
        <v>37.200000000000003</v>
      </c>
      <c r="M46">
        <v>76.7</v>
      </c>
      <c r="N46">
        <v>45.9</v>
      </c>
      <c r="O46">
        <v>39.4</v>
      </c>
      <c r="P46">
        <v>14.7</v>
      </c>
      <c r="Q46">
        <v>72</v>
      </c>
      <c r="R46">
        <v>79.7</v>
      </c>
      <c r="S46">
        <v>55.7</v>
      </c>
      <c r="T46">
        <v>44.3</v>
      </c>
      <c r="U46">
        <v>52.9</v>
      </c>
      <c r="V46">
        <v>51.6</v>
      </c>
      <c r="W46">
        <v>48.4</v>
      </c>
    </row>
    <row r="47" spans="2:26" x14ac:dyDescent="0.25">
      <c r="B47" t="s">
        <v>268</v>
      </c>
      <c r="C47" t="s">
        <v>234</v>
      </c>
      <c r="D47" s="13">
        <v>0.65625</v>
      </c>
      <c r="E47" t="s">
        <v>321</v>
      </c>
      <c r="F47" t="s">
        <v>322</v>
      </c>
      <c r="H47">
        <v>37</v>
      </c>
      <c r="I47">
        <v>30</v>
      </c>
      <c r="J47">
        <v>33</v>
      </c>
      <c r="K47">
        <v>67</v>
      </c>
      <c r="L47">
        <v>63</v>
      </c>
      <c r="M47">
        <v>70</v>
      </c>
      <c r="N47">
        <v>44.1</v>
      </c>
      <c r="O47">
        <v>36.799999999999997</v>
      </c>
      <c r="P47">
        <v>19.100000000000001</v>
      </c>
      <c r="Q47">
        <v>77.7</v>
      </c>
      <c r="R47">
        <v>71.8</v>
      </c>
      <c r="S47">
        <v>44.7</v>
      </c>
      <c r="T47">
        <v>55.3</v>
      </c>
      <c r="U47">
        <v>60.6</v>
      </c>
      <c r="V47">
        <v>51.5</v>
      </c>
      <c r="W47">
        <v>48.5</v>
      </c>
    </row>
    <row r="48" spans="2:26" x14ac:dyDescent="0.25">
      <c r="B48" t="s">
        <v>303</v>
      </c>
      <c r="C48" t="s">
        <v>234</v>
      </c>
      <c r="D48" s="13">
        <v>0.66666666666666663</v>
      </c>
      <c r="E48" t="s">
        <v>323</v>
      </c>
      <c r="F48" t="s">
        <v>324</v>
      </c>
      <c r="H48">
        <v>39.6</v>
      </c>
      <c r="I48">
        <v>27.7</v>
      </c>
      <c r="J48">
        <v>32.700000000000003</v>
      </c>
      <c r="K48">
        <v>67.3</v>
      </c>
      <c r="L48">
        <v>60.4</v>
      </c>
      <c r="M48">
        <v>72.3</v>
      </c>
      <c r="N48">
        <v>24.3</v>
      </c>
      <c r="O48">
        <v>43.2</v>
      </c>
      <c r="P48">
        <v>32.4</v>
      </c>
      <c r="Q48">
        <v>70.099999999999994</v>
      </c>
      <c r="R48">
        <v>79.599999999999994</v>
      </c>
      <c r="S48">
        <v>55.3</v>
      </c>
      <c r="T48">
        <v>44.7</v>
      </c>
      <c r="U48">
        <v>50.4</v>
      </c>
      <c r="V48">
        <v>59.7</v>
      </c>
      <c r="W48">
        <v>40.299999999999997</v>
      </c>
    </row>
    <row r="49" spans="2:23" x14ac:dyDescent="0.25">
      <c r="B49" t="s">
        <v>325</v>
      </c>
      <c r="C49" t="s">
        <v>234</v>
      </c>
      <c r="D49" s="13">
        <v>0.66666666666666663</v>
      </c>
      <c r="E49" t="s">
        <v>153</v>
      </c>
      <c r="F49" t="s">
        <v>326</v>
      </c>
      <c r="H49">
        <v>42.5</v>
      </c>
      <c r="I49">
        <v>29.8</v>
      </c>
      <c r="J49">
        <v>27.7</v>
      </c>
      <c r="K49">
        <v>72.3</v>
      </c>
      <c r="L49">
        <v>57.5</v>
      </c>
      <c r="M49">
        <v>70.2</v>
      </c>
      <c r="N49">
        <v>33.200000000000003</v>
      </c>
      <c r="O49">
        <v>47.1</v>
      </c>
      <c r="P49">
        <v>19.7</v>
      </c>
      <c r="Q49">
        <v>63.4</v>
      </c>
      <c r="R49">
        <v>70.599999999999994</v>
      </c>
      <c r="S49">
        <v>43.2</v>
      </c>
      <c r="T49">
        <v>56.8</v>
      </c>
      <c r="U49">
        <v>62.3</v>
      </c>
      <c r="V49">
        <v>49.6</v>
      </c>
      <c r="W49">
        <v>50.4</v>
      </c>
    </row>
    <row r="50" spans="2:23" x14ac:dyDescent="0.25">
      <c r="B50" t="s">
        <v>327</v>
      </c>
      <c r="C50" t="s">
        <v>234</v>
      </c>
      <c r="D50" s="13">
        <v>0.67708333333333337</v>
      </c>
      <c r="E50" t="s">
        <v>328</v>
      </c>
      <c r="F50" t="s">
        <v>329</v>
      </c>
      <c r="H50">
        <v>54.1</v>
      </c>
      <c r="I50">
        <v>24.2</v>
      </c>
      <c r="J50">
        <v>21.7</v>
      </c>
      <c r="K50">
        <v>78.3</v>
      </c>
      <c r="L50">
        <v>45.9</v>
      </c>
      <c r="M50">
        <v>75.8</v>
      </c>
      <c r="N50">
        <v>44.3</v>
      </c>
      <c r="O50">
        <v>33.9</v>
      </c>
      <c r="P50">
        <v>21.7</v>
      </c>
      <c r="Q50">
        <v>82.7</v>
      </c>
      <c r="R50">
        <v>90.5</v>
      </c>
      <c r="S50">
        <v>74</v>
      </c>
      <c r="T50">
        <v>26</v>
      </c>
      <c r="U50">
        <v>32</v>
      </c>
      <c r="V50">
        <v>71.3</v>
      </c>
      <c r="W50">
        <v>28.7</v>
      </c>
    </row>
    <row r="51" spans="2:23" x14ac:dyDescent="0.25">
      <c r="B51" t="s">
        <v>327</v>
      </c>
      <c r="C51" t="s">
        <v>234</v>
      </c>
      <c r="D51" s="13">
        <v>0.67708333333333337</v>
      </c>
      <c r="E51" t="s">
        <v>330</v>
      </c>
      <c r="F51" t="s">
        <v>331</v>
      </c>
      <c r="H51">
        <v>68.7</v>
      </c>
      <c r="I51">
        <v>21.9</v>
      </c>
      <c r="J51">
        <v>9.4</v>
      </c>
      <c r="K51">
        <v>90.6</v>
      </c>
      <c r="L51">
        <v>31.3</v>
      </c>
      <c r="M51">
        <v>78.099999999999994</v>
      </c>
      <c r="N51">
        <v>59.1</v>
      </c>
      <c r="O51">
        <v>29.9</v>
      </c>
      <c r="P51">
        <v>10.9</v>
      </c>
      <c r="Q51">
        <v>82.1</v>
      </c>
      <c r="R51">
        <v>90.5</v>
      </c>
      <c r="S51">
        <v>74.5</v>
      </c>
      <c r="T51">
        <v>25.5</v>
      </c>
      <c r="U51">
        <v>34.299999999999997</v>
      </c>
      <c r="V51">
        <v>62.3</v>
      </c>
      <c r="W51">
        <v>37.700000000000003</v>
      </c>
    </row>
    <row r="52" spans="2:23" x14ac:dyDescent="0.25">
      <c r="B52" t="s">
        <v>291</v>
      </c>
      <c r="C52" t="s">
        <v>234</v>
      </c>
      <c r="D52" s="13">
        <v>0.67708333333333337</v>
      </c>
      <c r="E52" t="s">
        <v>332</v>
      </c>
      <c r="F52" t="s">
        <v>333</v>
      </c>
      <c r="H52">
        <v>60</v>
      </c>
      <c r="I52">
        <v>23.4</v>
      </c>
      <c r="J52">
        <v>16.600000000000001</v>
      </c>
      <c r="K52">
        <v>83.4</v>
      </c>
      <c r="L52">
        <v>40</v>
      </c>
      <c r="M52">
        <v>76.599999999999994</v>
      </c>
      <c r="N52">
        <v>47.1</v>
      </c>
      <c r="O52">
        <v>36.4</v>
      </c>
      <c r="P52">
        <v>16.5</v>
      </c>
      <c r="Q52">
        <v>77</v>
      </c>
      <c r="R52">
        <v>90.5</v>
      </c>
      <c r="S52">
        <v>74.099999999999994</v>
      </c>
      <c r="T52">
        <v>25.9</v>
      </c>
      <c r="U52">
        <v>32.700000000000003</v>
      </c>
      <c r="V52">
        <v>68.8</v>
      </c>
      <c r="W52">
        <v>31.2</v>
      </c>
    </row>
    <row r="53" spans="2:23" x14ac:dyDescent="0.25">
      <c r="B53" t="s">
        <v>334</v>
      </c>
      <c r="C53" t="s">
        <v>234</v>
      </c>
      <c r="D53" s="13">
        <v>0.70833333333333337</v>
      </c>
      <c r="E53" t="s">
        <v>335</v>
      </c>
      <c r="F53" t="s">
        <v>336</v>
      </c>
      <c r="H53">
        <v>50.8</v>
      </c>
      <c r="I53">
        <v>26</v>
      </c>
      <c r="J53">
        <v>23.2</v>
      </c>
      <c r="K53">
        <v>76.8</v>
      </c>
      <c r="L53">
        <v>49.2</v>
      </c>
      <c r="M53">
        <v>74</v>
      </c>
      <c r="N53">
        <v>36.200000000000003</v>
      </c>
      <c r="O53">
        <v>41.4</v>
      </c>
      <c r="P53">
        <v>22.4</v>
      </c>
      <c r="Q53">
        <v>72.099999999999994</v>
      </c>
      <c r="R53">
        <v>80.400000000000006</v>
      </c>
      <c r="S53">
        <v>56.5</v>
      </c>
      <c r="T53">
        <v>43.5</v>
      </c>
      <c r="U53">
        <v>49.9</v>
      </c>
      <c r="V53">
        <v>58.4</v>
      </c>
      <c r="W53">
        <v>41.6</v>
      </c>
    </row>
    <row r="54" spans="2:23" x14ac:dyDescent="0.25">
      <c r="B54" t="s">
        <v>337</v>
      </c>
      <c r="C54" t="s">
        <v>234</v>
      </c>
      <c r="D54" s="13">
        <v>0.72916666666666663</v>
      </c>
      <c r="E54" t="s">
        <v>338</v>
      </c>
      <c r="F54" t="s">
        <v>339</v>
      </c>
      <c r="H54">
        <v>55.7</v>
      </c>
      <c r="I54">
        <v>28.8</v>
      </c>
      <c r="J54">
        <v>15.6</v>
      </c>
      <c r="K54">
        <v>84.4</v>
      </c>
      <c r="L54">
        <v>44.3</v>
      </c>
      <c r="M54">
        <v>71.2</v>
      </c>
      <c r="N54">
        <v>50.5</v>
      </c>
      <c r="O54">
        <v>41</v>
      </c>
      <c r="P54">
        <v>8.5</v>
      </c>
      <c r="Q54">
        <v>66.2</v>
      </c>
      <c r="R54">
        <v>62.7</v>
      </c>
      <c r="S54">
        <v>34.5</v>
      </c>
      <c r="T54">
        <v>65.5</v>
      </c>
      <c r="U54">
        <v>72.400000000000006</v>
      </c>
      <c r="V54">
        <v>37.1</v>
      </c>
      <c r="W54">
        <v>62.9</v>
      </c>
    </row>
    <row r="55" spans="2:23" x14ac:dyDescent="0.25">
      <c r="B55" t="s">
        <v>340</v>
      </c>
      <c r="C55" t="s">
        <v>234</v>
      </c>
      <c r="D55" s="13">
        <v>0.72916666666666663</v>
      </c>
      <c r="E55" t="s">
        <v>341</v>
      </c>
      <c r="F55" t="s">
        <v>342</v>
      </c>
      <c r="H55">
        <v>45.8</v>
      </c>
      <c r="I55">
        <v>30.8</v>
      </c>
      <c r="J55">
        <v>23.4</v>
      </c>
      <c r="K55">
        <v>76.599999999999994</v>
      </c>
      <c r="L55">
        <v>54.2</v>
      </c>
      <c r="M55">
        <v>69.2</v>
      </c>
      <c r="N55">
        <v>32.799999999999997</v>
      </c>
      <c r="O55">
        <v>48</v>
      </c>
      <c r="P55">
        <v>19.2</v>
      </c>
      <c r="Q55">
        <v>62.1</v>
      </c>
      <c r="R55">
        <v>64.8</v>
      </c>
      <c r="S55">
        <v>36.6</v>
      </c>
      <c r="T55">
        <v>63.4</v>
      </c>
      <c r="U55">
        <v>68.900000000000006</v>
      </c>
      <c r="V55">
        <v>43.1</v>
      </c>
      <c r="W55">
        <v>56.9</v>
      </c>
    </row>
    <row r="56" spans="2:23" x14ac:dyDescent="0.25">
      <c r="B56" t="s">
        <v>325</v>
      </c>
      <c r="C56" t="s">
        <v>234</v>
      </c>
      <c r="D56" s="13">
        <v>0.77083333333333337</v>
      </c>
      <c r="E56" t="s">
        <v>343</v>
      </c>
      <c r="F56" t="s">
        <v>73</v>
      </c>
      <c r="H56">
        <v>21.5</v>
      </c>
      <c r="I56">
        <v>31.2</v>
      </c>
      <c r="J56">
        <v>47.2</v>
      </c>
      <c r="K56">
        <v>52.8</v>
      </c>
      <c r="L56">
        <v>78.5</v>
      </c>
      <c r="M56">
        <v>68.8</v>
      </c>
      <c r="N56">
        <v>23.3</v>
      </c>
      <c r="O56">
        <v>47.7</v>
      </c>
      <c r="P56">
        <v>29</v>
      </c>
      <c r="Q56">
        <v>63.3</v>
      </c>
      <c r="R56">
        <v>66.400000000000006</v>
      </c>
      <c r="S56">
        <v>38.299999999999997</v>
      </c>
      <c r="T56">
        <v>61.7</v>
      </c>
      <c r="U56">
        <v>67.5</v>
      </c>
      <c r="V56">
        <v>44</v>
      </c>
      <c r="W56">
        <v>56</v>
      </c>
    </row>
    <row r="57" spans="2:23" x14ac:dyDescent="0.25">
      <c r="B57" t="s">
        <v>344</v>
      </c>
      <c r="C57" t="s">
        <v>234</v>
      </c>
      <c r="D57" s="13">
        <v>0.79166666666666663</v>
      </c>
      <c r="E57" t="s">
        <v>345</v>
      </c>
      <c r="F57" t="s">
        <v>346</v>
      </c>
      <c r="H57">
        <v>47.9</v>
      </c>
      <c r="I57">
        <v>28.2</v>
      </c>
      <c r="J57">
        <v>23.9</v>
      </c>
      <c r="K57">
        <v>76.099999999999994</v>
      </c>
      <c r="L57">
        <v>52.1</v>
      </c>
      <c r="M57">
        <v>71.8</v>
      </c>
      <c r="N57">
        <v>32.4</v>
      </c>
      <c r="O57">
        <v>48</v>
      </c>
      <c r="P57">
        <v>19.7</v>
      </c>
      <c r="Q57">
        <v>62.2</v>
      </c>
      <c r="R57">
        <v>73.2</v>
      </c>
      <c r="S57">
        <v>46.5</v>
      </c>
      <c r="T57">
        <v>53.5</v>
      </c>
      <c r="U57">
        <v>59.5</v>
      </c>
      <c r="V57">
        <v>51.1</v>
      </c>
      <c r="W57">
        <v>48.9</v>
      </c>
    </row>
    <row r="58" spans="2:23" x14ac:dyDescent="0.25">
      <c r="B58" t="s">
        <v>347</v>
      </c>
      <c r="C58" t="s">
        <v>234</v>
      </c>
      <c r="D58" s="13">
        <v>0.79166666666666663</v>
      </c>
      <c r="E58" t="s">
        <v>348</v>
      </c>
      <c r="F58" t="s">
        <v>349</v>
      </c>
      <c r="H58">
        <v>28.9</v>
      </c>
      <c r="I58">
        <v>31.2</v>
      </c>
      <c r="J58">
        <v>39.799999999999997</v>
      </c>
      <c r="K58">
        <v>60.2</v>
      </c>
      <c r="L58">
        <v>71.099999999999994</v>
      </c>
      <c r="M58">
        <v>68.8</v>
      </c>
      <c r="N58">
        <v>29.4</v>
      </c>
      <c r="O58">
        <v>46.7</v>
      </c>
      <c r="P58">
        <v>23.9</v>
      </c>
      <c r="Q58">
        <v>64.7</v>
      </c>
      <c r="R58">
        <v>68.400000000000006</v>
      </c>
      <c r="S58">
        <v>40.6</v>
      </c>
      <c r="T58">
        <v>59.4</v>
      </c>
      <c r="U58">
        <v>64.599999999999994</v>
      </c>
      <c r="V58">
        <v>47.9</v>
      </c>
      <c r="W58">
        <v>52.1</v>
      </c>
    </row>
    <row r="59" spans="2:23" x14ac:dyDescent="0.25">
      <c r="B59" t="s">
        <v>350</v>
      </c>
      <c r="C59" t="s">
        <v>234</v>
      </c>
      <c r="D59" s="13">
        <v>0.79166666666666663</v>
      </c>
      <c r="E59" t="s">
        <v>351</v>
      </c>
      <c r="F59" t="s">
        <v>352</v>
      </c>
      <c r="H59">
        <v>42.1</v>
      </c>
      <c r="I59">
        <v>29.7</v>
      </c>
      <c r="J59">
        <v>28.3</v>
      </c>
      <c r="K59">
        <v>71.7</v>
      </c>
      <c r="L59">
        <v>57.9</v>
      </c>
      <c r="M59">
        <v>70.3</v>
      </c>
      <c r="N59">
        <v>29.6</v>
      </c>
      <c r="O59">
        <v>47.7</v>
      </c>
      <c r="P59">
        <v>22.7</v>
      </c>
      <c r="Q59">
        <v>63.1</v>
      </c>
      <c r="R59">
        <v>71.3</v>
      </c>
      <c r="S59">
        <v>44.1</v>
      </c>
      <c r="T59">
        <v>55.9</v>
      </c>
      <c r="U59">
        <v>61.4</v>
      </c>
      <c r="V59">
        <v>50.4</v>
      </c>
      <c r="W59">
        <v>49.6</v>
      </c>
    </row>
    <row r="60" spans="2:23" x14ac:dyDescent="0.25">
      <c r="B60" t="s">
        <v>353</v>
      </c>
      <c r="C60" t="s">
        <v>234</v>
      </c>
      <c r="D60" s="13">
        <v>0.8125</v>
      </c>
      <c r="E60" t="s">
        <v>354</v>
      </c>
      <c r="F60" t="s">
        <v>55</v>
      </c>
      <c r="H60">
        <v>35.4</v>
      </c>
      <c r="I60">
        <v>30.8</v>
      </c>
      <c r="J60">
        <v>33.799999999999997</v>
      </c>
      <c r="K60">
        <v>66.2</v>
      </c>
      <c r="L60">
        <v>64.599999999999994</v>
      </c>
      <c r="M60">
        <v>69.2</v>
      </c>
      <c r="N60">
        <v>32.299999999999997</v>
      </c>
      <c r="O60">
        <v>47.5</v>
      </c>
      <c r="P60">
        <v>20.2</v>
      </c>
      <c r="Q60">
        <v>63</v>
      </c>
      <c r="R60">
        <v>69.7</v>
      </c>
      <c r="S60">
        <v>42.1</v>
      </c>
      <c r="T60">
        <v>57.9</v>
      </c>
      <c r="U60">
        <v>63.1</v>
      </c>
      <c r="V60">
        <v>49.4</v>
      </c>
      <c r="W60">
        <v>50.6</v>
      </c>
    </row>
    <row r="61" spans="2:23" x14ac:dyDescent="0.25">
      <c r="B61" t="s">
        <v>355</v>
      </c>
      <c r="C61" t="s">
        <v>234</v>
      </c>
      <c r="D61" s="13">
        <v>0.8125</v>
      </c>
      <c r="E61" t="s">
        <v>356</v>
      </c>
      <c r="F61" t="s">
        <v>144</v>
      </c>
      <c r="H61">
        <v>35.6</v>
      </c>
      <c r="I61">
        <v>27.2</v>
      </c>
      <c r="J61">
        <v>37.200000000000003</v>
      </c>
      <c r="K61">
        <v>62.8</v>
      </c>
      <c r="L61">
        <v>64.400000000000006</v>
      </c>
      <c r="M61">
        <v>72.8</v>
      </c>
      <c r="N61">
        <v>24.9</v>
      </c>
      <c r="O61">
        <v>41.1</v>
      </c>
      <c r="P61">
        <v>34</v>
      </c>
      <c r="Q61">
        <v>73.400000000000006</v>
      </c>
      <c r="R61">
        <v>82.2</v>
      </c>
      <c r="S61">
        <v>59.2</v>
      </c>
      <c r="T61">
        <v>40.799999999999997</v>
      </c>
      <c r="U61">
        <v>46.4</v>
      </c>
      <c r="V61">
        <v>62.8</v>
      </c>
      <c r="W61">
        <v>37.200000000000003</v>
      </c>
    </row>
    <row r="62" spans="2:23" x14ac:dyDescent="0.25">
      <c r="B62" t="s">
        <v>357</v>
      </c>
      <c r="C62" t="s">
        <v>234</v>
      </c>
      <c r="D62" s="13">
        <v>0.83333333333333337</v>
      </c>
      <c r="E62" t="s">
        <v>358</v>
      </c>
      <c r="F62" t="s">
        <v>359</v>
      </c>
      <c r="H62">
        <v>55.8</v>
      </c>
      <c r="I62">
        <v>24</v>
      </c>
      <c r="J62">
        <v>20.2</v>
      </c>
      <c r="K62">
        <v>79.8</v>
      </c>
      <c r="L62">
        <v>44.2</v>
      </c>
      <c r="M62">
        <v>76</v>
      </c>
      <c r="N62">
        <v>32.799999999999997</v>
      </c>
      <c r="O62">
        <v>40.700000000000003</v>
      </c>
      <c r="P62">
        <v>26.5</v>
      </c>
      <c r="Q62">
        <v>74</v>
      </c>
      <c r="R62">
        <v>87.8</v>
      </c>
      <c r="S62">
        <v>68.900000000000006</v>
      </c>
      <c r="T62">
        <v>31.1</v>
      </c>
      <c r="U62">
        <v>37.6</v>
      </c>
      <c r="V62">
        <v>66.5</v>
      </c>
      <c r="W62">
        <v>33.5</v>
      </c>
    </row>
    <row r="63" spans="2:23" x14ac:dyDescent="0.25">
      <c r="B63" t="s">
        <v>357</v>
      </c>
      <c r="C63" t="s">
        <v>234</v>
      </c>
      <c r="D63" s="13">
        <v>0.83333333333333337</v>
      </c>
      <c r="E63" t="s">
        <v>360</v>
      </c>
      <c r="F63" t="s">
        <v>361</v>
      </c>
      <c r="H63">
        <v>30.8</v>
      </c>
      <c r="I63">
        <v>28.4</v>
      </c>
      <c r="J63">
        <v>40.799999999999997</v>
      </c>
      <c r="K63">
        <v>59.2</v>
      </c>
      <c r="L63">
        <v>69.2</v>
      </c>
      <c r="M63">
        <v>71.599999999999994</v>
      </c>
      <c r="N63">
        <v>25.7</v>
      </c>
      <c r="O63">
        <v>47.6</v>
      </c>
      <c r="P63">
        <v>26.7</v>
      </c>
      <c r="Q63">
        <v>63.6</v>
      </c>
      <c r="R63">
        <v>78</v>
      </c>
      <c r="S63">
        <v>52.9</v>
      </c>
      <c r="T63">
        <v>47.1</v>
      </c>
      <c r="U63">
        <v>52.8</v>
      </c>
      <c r="V63">
        <v>57.6</v>
      </c>
      <c r="W63">
        <v>42.4</v>
      </c>
    </row>
    <row r="64" spans="2:23" x14ac:dyDescent="0.25">
      <c r="B64" t="s">
        <v>362</v>
      </c>
      <c r="C64" t="s">
        <v>234</v>
      </c>
      <c r="D64" s="13">
        <v>0.83333333333333337</v>
      </c>
      <c r="E64" t="s">
        <v>363</v>
      </c>
      <c r="F64" t="s">
        <v>364</v>
      </c>
      <c r="H64">
        <v>27.4</v>
      </c>
      <c r="I64">
        <v>26.1</v>
      </c>
      <c r="J64">
        <v>46.6</v>
      </c>
      <c r="K64">
        <v>53.4</v>
      </c>
      <c r="L64">
        <v>72.599999999999994</v>
      </c>
      <c r="M64">
        <v>73.900000000000006</v>
      </c>
      <c r="N64">
        <v>27.9</v>
      </c>
      <c r="O64">
        <v>39.200000000000003</v>
      </c>
      <c r="P64">
        <v>32.9</v>
      </c>
      <c r="Q64">
        <v>76.599999999999994</v>
      </c>
      <c r="R64">
        <v>86</v>
      </c>
      <c r="S64">
        <v>65.599999999999994</v>
      </c>
      <c r="T64">
        <v>34.4</v>
      </c>
      <c r="U64">
        <v>40.299999999999997</v>
      </c>
      <c r="V64">
        <v>66.599999999999994</v>
      </c>
      <c r="W64">
        <v>33.4</v>
      </c>
    </row>
    <row r="65" spans="2:23" x14ac:dyDescent="0.25">
      <c r="B65" t="s">
        <v>362</v>
      </c>
      <c r="C65" t="s">
        <v>234</v>
      </c>
      <c r="D65" s="13">
        <v>0.83333333333333337</v>
      </c>
      <c r="E65" t="s">
        <v>365</v>
      </c>
      <c r="F65" t="s">
        <v>366</v>
      </c>
      <c r="H65">
        <v>39.799999999999997</v>
      </c>
      <c r="I65">
        <v>25.9</v>
      </c>
      <c r="J65">
        <v>34.4</v>
      </c>
      <c r="K65">
        <v>65.599999999999994</v>
      </c>
      <c r="L65">
        <v>60.2</v>
      </c>
      <c r="M65">
        <v>74.099999999999994</v>
      </c>
      <c r="N65">
        <v>35.4</v>
      </c>
      <c r="O65">
        <v>40</v>
      </c>
      <c r="P65">
        <v>24.6</v>
      </c>
      <c r="Q65">
        <v>74.7</v>
      </c>
      <c r="R65">
        <v>87.2</v>
      </c>
      <c r="S65">
        <v>67.7</v>
      </c>
      <c r="T65">
        <v>32.299999999999997</v>
      </c>
      <c r="U65">
        <v>37.700000000000003</v>
      </c>
      <c r="V65">
        <v>69.3</v>
      </c>
      <c r="W65">
        <v>30.7</v>
      </c>
    </row>
    <row r="66" spans="2:23" x14ac:dyDescent="0.25">
      <c r="B66" t="s">
        <v>353</v>
      </c>
      <c r="C66" t="s">
        <v>234</v>
      </c>
      <c r="D66" s="13">
        <v>0.85416666666666663</v>
      </c>
      <c r="E66" t="s">
        <v>53</v>
      </c>
      <c r="F66" t="s">
        <v>54</v>
      </c>
      <c r="H66">
        <v>42.7</v>
      </c>
      <c r="I66">
        <v>31</v>
      </c>
      <c r="J66">
        <v>26.3</v>
      </c>
      <c r="K66">
        <v>73.7</v>
      </c>
      <c r="L66">
        <v>57.3</v>
      </c>
      <c r="M66">
        <v>69</v>
      </c>
      <c r="N66">
        <v>24.2</v>
      </c>
      <c r="O66">
        <v>52.7</v>
      </c>
      <c r="P66">
        <v>23</v>
      </c>
      <c r="Q66">
        <v>55.9</v>
      </c>
      <c r="R66">
        <v>66.099999999999994</v>
      </c>
      <c r="S66">
        <v>38</v>
      </c>
      <c r="T66">
        <v>62</v>
      </c>
      <c r="U66">
        <v>67.3</v>
      </c>
      <c r="V66">
        <v>45.1</v>
      </c>
      <c r="W66">
        <v>54.9</v>
      </c>
    </row>
    <row r="67" spans="2:23" x14ac:dyDescent="0.25">
      <c r="B67" t="s">
        <v>353</v>
      </c>
      <c r="C67" t="s">
        <v>234</v>
      </c>
      <c r="D67" s="13">
        <v>0.85416666666666663</v>
      </c>
      <c r="E67" t="s">
        <v>367</v>
      </c>
      <c r="F67" t="s">
        <v>51</v>
      </c>
      <c r="H67">
        <v>47.6</v>
      </c>
      <c r="I67">
        <v>28.9</v>
      </c>
      <c r="J67">
        <v>23.6</v>
      </c>
      <c r="K67">
        <v>76.400000000000006</v>
      </c>
      <c r="L67">
        <v>52.4</v>
      </c>
      <c r="M67">
        <v>71.099999999999994</v>
      </c>
      <c r="N67">
        <v>31.3</v>
      </c>
      <c r="O67">
        <v>49.6</v>
      </c>
      <c r="P67">
        <v>19.100000000000001</v>
      </c>
      <c r="Q67">
        <v>59.8</v>
      </c>
      <c r="R67">
        <v>70.8</v>
      </c>
      <c r="S67">
        <v>43.6</v>
      </c>
      <c r="T67">
        <v>56.4</v>
      </c>
      <c r="U67">
        <v>62.4</v>
      </c>
      <c r="V67">
        <v>48.7</v>
      </c>
      <c r="W67">
        <v>51.3</v>
      </c>
    </row>
    <row r="68" spans="2:23" x14ac:dyDescent="0.25">
      <c r="B68" t="s">
        <v>340</v>
      </c>
      <c r="C68" t="s">
        <v>234</v>
      </c>
      <c r="D68" s="13">
        <v>0.875</v>
      </c>
      <c r="E68" t="s">
        <v>368</v>
      </c>
      <c r="F68" t="s">
        <v>369</v>
      </c>
      <c r="H68">
        <v>39.6</v>
      </c>
      <c r="I68">
        <v>31.6</v>
      </c>
      <c r="J68">
        <v>28.8</v>
      </c>
      <c r="K68">
        <v>71.2</v>
      </c>
      <c r="L68">
        <v>60.4</v>
      </c>
      <c r="M68">
        <v>68.400000000000006</v>
      </c>
      <c r="N68">
        <v>25.7</v>
      </c>
      <c r="O68">
        <v>53</v>
      </c>
      <c r="P68">
        <v>21.3</v>
      </c>
      <c r="Q68">
        <v>55.4</v>
      </c>
      <c r="R68">
        <v>65.7</v>
      </c>
      <c r="S68">
        <v>37.6</v>
      </c>
      <c r="T68">
        <v>62.4</v>
      </c>
      <c r="U68">
        <v>67.5</v>
      </c>
      <c r="V68">
        <v>45.4</v>
      </c>
      <c r="W68">
        <v>54.6</v>
      </c>
    </row>
    <row r="69" spans="2:23" x14ac:dyDescent="0.25">
      <c r="B69" t="s">
        <v>362</v>
      </c>
      <c r="C69" t="s">
        <v>234</v>
      </c>
      <c r="D69" s="13">
        <v>0.875</v>
      </c>
      <c r="E69" t="s">
        <v>370</v>
      </c>
      <c r="F69" t="s">
        <v>109</v>
      </c>
      <c r="H69">
        <v>29.1</v>
      </c>
      <c r="I69">
        <v>27.5</v>
      </c>
      <c r="J69">
        <v>43.5</v>
      </c>
      <c r="K69">
        <v>56.5</v>
      </c>
      <c r="L69">
        <v>70.900000000000006</v>
      </c>
      <c r="M69">
        <v>72.5</v>
      </c>
      <c r="N69">
        <v>22.3</v>
      </c>
      <c r="O69">
        <v>44.3</v>
      </c>
      <c r="P69">
        <v>33.4</v>
      </c>
      <c r="Q69">
        <v>68.3</v>
      </c>
      <c r="R69">
        <v>81</v>
      </c>
      <c r="S69">
        <v>57.3</v>
      </c>
      <c r="T69">
        <v>42.7</v>
      </c>
      <c r="U69">
        <v>48.5</v>
      </c>
      <c r="V69">
        <v>60.8</v>
      </c>
      <c r="W69">
        <v>39.200000000000003</v>
      </c>
    </row>
    <row r="70" spans="2:23" x14ac:dyDescent="0.25">
      <c r="B70" t="s">
        <v>362</v>
      </c>
      <c r="C70" t="s">
        <v>234</v>
      </c>
      <c r="D70" s="13">
        <v>0.875</v>
      </c>
      <c r="E70" t="s">
        <v>371</v>
      </c>
      <c r="F70" t="s">
        <v>372</v>
      </c>
      <c r="H70">
        <v>46</v>
      </c>
      <c r="I70">
        <v>26.6</v>
      </c>
      <c r="J70">
        <v>27.3</v>
      </c>
      <c r="K70">
        <v>72.7</v>
      </c>
      <c r="L70">
        <v>54</v>
      </c>
      <c r="M70">
        <v>73.400000000000006</v>
      </c>
      <c r="N70">
        <v>34.700000000000003</v>
      </c>
      <c r="O70">
        <v>43.2</v>
      </c>
      <c r="P70">
        <v>22.1</v>
      </c>
      <c r="Q70">
        <v>69.5</v>
      </c>
      <c r="R70">
        <v>81.099999999999994</v>
      </c>
      <c r="S70">
        <v>57.6</v>
      </c>
      <c r="T70">
        <v>42.4</v>
      </c>
      <c r="U70">
        <v>48.4</v>
      </c>
      <c r="V70">
        <v>60.5</v>
      </c>
      <c r="W70">
        <v>39.5</v>
      </c>
    </row>
    <row r="71" spans="2:23" x14ac:dyDescent="0.25">
      <c r="B71" t="s">
        <v>344</v>
      </c>
      <c r="C71" t="s">
        <v>234</v>
      </c>
      <c r="D71" s="13">
        <v>0.89583333333333337</v>
      </c>
      <c r="E71" t="s">
        <v>373</v>
      </c>
      <c r="F71" t="s">
        <v>374</v>
      </c>
      <c r="H71">
        <v>47.3</v>
      </c>
      <c r="I71">
        <v>30.7</v>
      </c>
      <c r="J71">
        <v>22</v>
      </c>
      <c r="K71">
        <v>78</v>
      </c>
      <c r="L71">
        <v>52.7</v>
      </c>
      <c r="M71">
        <v>69.3</v>
      </c>
      <c r="N71">
        <v>28.6</v>
      </c>
      <c r="O71">
        <v>53</v>
      </c>
      <c r="P71">
        <v>18.399999999999999</v>
      </c>
      <c r="Q71">
        <v>55.1</v>
      </c>
      <c r="R71">
        <v>64.099999999999994</v>
      </c>
      <c r="S71">
        <v>35.9</v>
      </c>
      <c r="T71">
        <v>64.099999999999994</v>
      </c>
      <c r="U71">
        <v>69.7</v>
      </c>
      <c r="V71">
        <v>42.1</v>
      </c>
      <c r="W71">
        <v>57.9</v>
      </c>
    </row>
    <row r="72" spans="2:23" x14ac:dyDescent="0.25">
      <c r="B72" t="s">
        <v>375</v>
      </c>
      <c r="C72" t="s">
        <v>234</v>
      </c>
      <c r="D72" s="13">
        <v>0.91666666666666663</v>
      </c>
      <c r="E72" t="s">
        <v>376</v>
      </c>
      <c r="F72" t="s">
        <v>377</v>
      </c>
      <c r="H72">
        <v>45.6</v>
      </c>
      <c r="I72">
        <v>32.799999999999997</v>
      </c>
      <c r="J72">
        <v>21.6</v>
      </c>
      <c r="K72">
        <v>78.400000000000006</v>
      </c>
      <c r="L72">
        <v>54.4</v>
      </c>
      <c r="M72">
        <v>67.2</v>
      </c>
      <c r="N72">
        <v>30.8</v>
      </c>
      <c r="O72">
        <v>51.1</v>
      </c>
      <c r="P72">
        <v>18.100000000000001</v>
      </c>
      <c r="Q72">
        <v>57.5</v>
      </c>
      <c r="R72">
        <v>57.8</v>
      </c>
      <c r="S72">
        <v>29.6</v>
      </c>
      <c r="T72">
        <v>70.400000000000006</v>
      </c>
      <c r="U72">
        <v>75.5</v>
      </c>
      <c r="V72">
        <v>36.799999999999997</v>
      </c>
      <c r="W72">
        <v>63.2</v>
      </c>
    </row>
    <row r="73" spans="2:23" x14ac:dyDescent="0.25">
      <c r="B73" t="s">
        <v>337</v>
      </c>
      <c r="C73" t="s">
        <v>234</v>
      </c>
      <c r="D73" s="13">
        <v>0.91666666666666663</v>
      </c>
      <c r="E73" t="s">
        <v>378</v>
      </c>
      <c r="F73" t="s">
        <v>379</v>
      </c>
      <c r="H73">
        <v>42.8</v>
      </c>
      <c r="I73">
        <v>32</v>
      </c>
      <c r="J73">
        <v>25.2</v>
      </c>
      <c r="K73">
        <v>74.8</v>
      </c>
      <c r="L73">
        <v>57.2</v>
      </c>
      <c r="M73">
        <v>68</v>
      </c>
      <c r="N73">
        <v>26.4</v>
      </c>
      <c r="O73">
        <v>47.1</v>
      </c>
      <c r="P73">
        <v>26.5</v>
      </c>
      <c r="Q73">
        <v>64.3</v>
      </c>
      <c r="R73">
        <v>62.6</v>
      </c>
      <c r="S73">
        <v>34.200000000000003</v>
      </c>
      <c r="T73">
        <v>65.8</v>
      </c>
      <c r="U73">
        <v>70.900000000000006</v>
      </c>
      <c r="V73">
        <v>41.8</v>
      </c>
      <c r="W73">
        <v>58.2</v>
      </c>
    </row>
    <row r="74" spans="2:23" x14ac:dyDescent="0.25">
      <c r="B74" t="s">
        <v>380</v>
      </c>
      <c r="C74" t="s">
        <v>234</v>
      </c>
      <c r="D74" s="13">
        <v>0.91666666666666663</v>
      </c>
      <c r="E74" t="s">
        <v>381</v>
      </c>
      <c r="F74" t="s">
        <v>382</v>
      </c>
      <c r="H74">
        <v>35.299999999999997</v>
      </c>
      <c r="I74">
        <v>31.8</v>
      </c>
      <c r="J74">
        <v>32.799999999999997</v>
      </c>
      <c r="K74">
        <v>67.2</v>
      </c>
      <c r="L74">
        <v>64.7</v>
      </c>
      <c r="M74">
        <v>68.2</v>
      </c>
      <c r="N74">
        <v>12.5</v>
      </c>
      <c r="O74">
        <v>58.4</v>
      </c>
      <c r="P74">
        <v>29.1</v>
      </c>
      <c r="Q74">
        <v>47.1</v>
      </c>
      <c r="R74">
        <v>66.2</v>
      </c>
      <c r="S74">
        <v>38.1</v>
      </c>
      <c r="T74">
        <v>61.9</v>
      </c>
      <c r="U74">
        <v>66.900000000000006</v>
      </c>
      <c r="V74">
        <v>46.2</v>
      </c>
      <c r="W74">
        <v>53.8</v>
      </c>
    </row>
    <row r="75" spans="2:23" x14ac:dyDescent="0.25">
      <c r="B75" t="s">
        <v>380</v>
      </c>
      <c r="C75" t="s">
        <v>234</v>
      </c>
      <c r="D75" s="13">
        <v>0.91666666666666663</v>
      </c>
      <c r="E75" t="s">
        <v>383</v>
      </c>
      <c r="F75" t="s">
        <v>384</v>
      </c>
      <c r="H75">
        <v>45.3</v>
      </c>
      <c r="I75">
        <v>25.7</v>
      </c>
      <c r="J75">
        <v>29</v>
      </c>
      <c r="K75">
        <v>71</v>
      </c>
      <c r="L75">
        <v>54.7</v>
      </c>
      <c r="M75">
        <v>74.3</v>
      </c>
      <c r="N75">
        <v>36.299999999999997</v>
      </c>
      <c r="O75">
        <v>43.4</v>
      </c>
      <c r="P75">
        <v>20.3</v>
      </c>
      <c r="Q75">
        <v>68.7</v>
      </c>
      <c r="R75">
        <v>85.9</v>
      </c>
      <c r="S75">
        <v>65.400000000000006</v>
      </c>
      <c r="T75">
        <v>34.6</v>
      </c>
      <c r="U75">
        <v>40.4</v>
      </c>
      <c r="V75">
        <v>66.8</v>
      </c>
      <c r="W75">
        <v>33.200000000000003</v>
      </c>
    </row>
    <row r="76" spans="2:23" x14ac:dyDescent="0.25">
      <c r="B76" t="s">
        <v>385</v>
      </c>
      <c r="C76" t="s">
        <v>234</v>
      </c>
      <c r="D76" s="13">
        <v>0.91666666666666663</v>
      </c>
      <c r="E76" t="s">
        <v>386</v>
      </c>
      <c r="F76" t="s">
        <v>387</v>
      </c>
      <c r="H76">
        <v>64.099999999999994</v>
      </c>
      <c r="I76">
        <v>22.5</v>
      </c>
      <c r="J76">
        <v>13.5</v>
      </c>
      <c r="K76">
        <v>86.5</v>
      </c>
      <c r="L76">
        <v>35.9</v>
      </c>
      <c r="M76">
        <v>77.5</v>
      </c>
      <c r="N76">
        <v>52.3</v>
      </c>
      <c r="O76">
        <v>33.200000000000003</v>
      </c>
      <c r="P76">
        <v>14.5</v>
      </c>
      <c r="Q76">
        <v>80.400000000000006</v>
      </c>
      <c r="R76">
        <v>88.8</v>
      </c>
      <c r="S76">
        <v>70.900000000000006</v>
      </c>
      <c r="T76">
        <v>29.1</v>
      </c>
      <c r="U76">
        <v>37</v>
      </c>
      <c r="V76">
        <v>63.5</v>
      </c>
      <c r="W76">
        <v>36.5</v>
      </c>
    </row>
    <row r="77" spans="2:23" x14ac:dyDescent="0.25">
      <c r="B77" t="s">
        <v>388</v>
      </c>
      <c r="C77" t="s">
        <v>234</v>
      </c>
      <c r="D77" s="13">
        <v>0.9375</v>
      </c>
      <c r="E77" t="s">
        <v>172</v>
      </c>
      <c r="F77" t="s">
        <v>389</v>
      </c>
      <c r="H77">
        <v>38.700000000000003</v>
      </c>
      <c r="I77">
        <v>30.9</v>
      </c>
      <c r="J77">
        <v>30.4</v>
      </c>
      <c r="K77">
        <v>69.599999999999994</v>
      </c>
      <c r="L77">
        <v>61.3</v>
      </c>
      <c r="M77">
        <v>69.099999999999994</v>
      </c>
      <c r="N77">
        <v>23.1</v>
      </c>
      <c r="O77">
        <v>49.7</v>
      </c>
      <c r="P77">
        <v>27.2</v>
      </c>
      <c r="Q77">
        <v>60.4</v>
      </c>
      <c r="R77">
        <v>68.400000000000006</v>
      </c>
      <c r="S77">
        <v>40.6</v>
      </c>
      <c r="T77">
        <v>59.4</v>
      </c>
      <c r="U77">
        <v>64.599999999999994</v>
      </c>
      <c r="V77">
        <v>48.1</v>
      </c>
      <c r="W77">
        <v>51.9</v>
      </c>
    </row>
    <row r="78" spans="2:23" x14ac:dyDescent="0.25">
      <c r="B78" t="s">
        <v>390</v>
      </c>
      <c r="C78" t="s">
        <v>234</v>
      </c>
      <c r="D78" s="13">
        <v>0.95833333333333337</v>
      </c>
      <c r="E78" t="s">
        <v>391</v>
      </c>
      <c r="F78" t="s">
        <v>392</v>
      </c>
      <c r="H78">
        <v>49</v>
      </c>
      <c r="I78">
        <v>29.7</v>
      </c>
      <c r="J78">
        <v>21.3</v>
      </c>
      <c r="K78">
        <v>78.7</v>
      </c>
      <c r="L78">
        <v>51</v>
      </c>
      <c r="M78">
        <v>70.3</v>
      </c>
      <c r="N78">
        <v>40.200000000000003</v>
      </c>
      <c r="O78">
        <v>45.4</v>
      </c>
      <c r="P78">
        <v>14.4</v>
      </c>
      <c r="Q78">
        <v>64</v>
      </c>
      <c r="R78">
        <v>66.3</v>
      </c>
      <c r="S78">
        <v>38.299999999999997</v>
      </c>
      <c r="T78">
        <v>61.7</v>
      </c>
      <c r="U78">
        <v>67.599999999999994</v>
      </c>
      <c r="V78">
        <v>43.7</v>
      </c>
      <c r="W78">
        <v>56.3</v>
      </c>
    </row>
    <row r="79" spans="2:23" x14ac:dyDescent="0.25">
      <c r="B79" t="s">
        <v>393</v>
      </c>
      <c r="C79" t="s">
        <v>234</v>
      </c>
      <c r="D79" s="13">
        <v>0.95833333333333337</v>
      </c>
      <c r="E79" t="s">
        <v>394</v>
      </c>
      <c r="F79" t="s">
        <v>395</v>
      </c>
      <c r="H79">
        <v>39.799999999999997</v>
      </c>
      <c r="I79">
        <v>28.9</v>
      </c>
      <c r="J79">
        <v>31.3</v>
      </c>
      <c r="K79">
        <v>68.7</v>
      </c>
      <c r="L79">
        <v>60.2</v>
      </c>
      <c r="M79">
        <v>71.099999999999994</v>
      </c>
      <c r="N79">
        <v>18.899999999999999</v>
      </c>
      <c r="O79">
        <v>50</v>
      </c>
      <c r="P79">
        <v>31.1</v>
      </c>
      <c r="Q79">
        <v>59.5</v>
      </c>
      <c r="R79">
        <v>75.099999999999994</v>
      </c>
      <c r="S79">
        <v>48.9</v>
      </c>
      <c r="T79">
        <v>51.1</v>
      </c>
      <c r="U79">
        <v>56.7</v>
      </c>
      <c r="V79">
        <v>54.6</v>
      </c>
      <c r="W79">
        <v>45.4</v>
      </c>
    </row>
    <row r="80" spans="2:23" hidden="1" x14ac:dyDescent="0.25">
      <c r="B80" t="s">
        <v>380</v>
      </c>
      <c r="C80" t="s">
        <v>396</v>
      </c>
      <c r="D80" s="13">
        <v>6.9444444444444441E-3</v>
      </c>
      <c r="E80" t="s">
        <v>397</v>
      </c>
      <c r="F80" t="s">
        <v>398</v>
      </c>
      <c r="H80">
        <v>34.799999999999997</v>
      </c>
      <c r="I80">
        <v>27.1</v>
      </c>
      <c r="J80">
        <v>38.1</v>
      </c>
      <c r="K80">
        <v>61.9</v>
      </c>
      <c r="L80">
        <v>65.2</v>
      </c>
      <c r="M80">
        <v>72.900000000000006</v>
      </c>
      <c r="N80">
        <v>26.2</v>
      </c>
      <c r="O80">
        <v>41.1</v>
      </c>
      <c r="P80">
        <v>32.700000000000003</v>
      </c>
      <c r="Q80">
        <v>73.5</v>
      </c>
      <c r="R80">
        <v>82.5</v>
      </c>
      <c r="S80">
        <v>59.8</v>
      </c>
      <c r="T80">
        <v>40.200000000000003</v>
      </c>
      <c r="U80">
        <v>45.9</v>
      </c>
      <c r="V80">
        <v>63.2</v>
      </c>
      <c r="W80">
        <v>36.799999999999997</v>
      </c>
    </row>
    <row r="81" spans="2:23" hidden="1" x14ac:dyDescent="0.25">
      <c r="B81" t="s">
        <v>399</v>
      </c>
      <c r="C81" t="s">
        <v>396</v>
      </c>
      <c r="D81" s="13">
        <v>4.1666666666666664E-2</v>
      </c>
      <c r="E81" t="s">
        <v>400</v>
      </c>
      <c r="F81" t="s">
        <v>401</v>
      </c>
      <c r="H81">
        <v>49.4</v>
      </c>
      <c r="I81">
        <v>24.9</v>
      </c>
      <c r="J81">
        <v>25.7</v>
      </c>
      <c r="K81">
        <v>74.3</v>
      </c>
      <c r="L81">
        <v>50.6</v>
      </c>
      <c r="M81">
        <v>75.099999999999994</v>
      </c>
      <c r="N81">
        <v>36.799999999999997</v>
      </c>
      <c r="O81">
        <v>35.200000000000003</v>
      </c>
      <c r="P81">
        <v>28</v>
      </c>
      <c r="Q81">
        <v>82.5</v>
      </c>
      <c r="R81">
        <v>92.6</v>
      </c>
      <c r="S81">
        <v>78.5</v>
      </c>
      <c r="T81">
        <v>21.5</v>
      </c>
      <c r="U81">
        <v>26.6</v>
      </c>
      <c r="V81">
        <v>76.400000000000006</v>
      </c>
      <c r="W81">
        <v>23.6</v>
      </c>
    </row>
    <row r="82" spans="2:23" hidden="1" x14ac:dyDescent="0.25">
      <c r="B82" t="s">
        <v>402</v>
      </c>
      <c r="C82" t="s">
        <v>396</v>
      </c>
      <c r="D82" s="13">
        <v>8.3333333333333329E-2</v>
      </c>
      <c r="E82" t="s">
        <v>403</v>
      </c>
      <c r="F82" t="s">
        <v>63</v>
      </c>
      <c r="H82">
        <v>49.3</v>
      </c>
      <c r="I82">
        <v>24.8</v>
      </c>
      <c r="J82">
        <v>25.9</v>
      </c>
      <c r="K82">
        <v>74.099999999999994</v>
      </c>
      <c r="L82">
        <v>50.7</v>
      </c>
      <c r="M82">
        <v>75.2</v>
      </c>
      <c r="N82">
        <v>34.799999999999997</v>
      </c>
      <c r="O82">
        <v>38.9</v>
      </c>
      <c r="P82">
        <v>26.3</v>
      </c>
      <c r="Q82">
        <v>76.7</v>
      </c>
      <c r="R82">
        <v>89</v>
      </c>
      <c r="S82">
        <v>71.2</v>
      </c>
      <c r="T82">
        <v>28.8</v>
      </c>
      <c r="U82">
        <v>34.6</v>
      </c>
      <c r="V82">
        <v>70.5</v>
      </c>
      <c r="W82">
        <v>29.5</v>
      </c>
    </row>
    <row r="83" spans="2:23" hidden="1" x14ac:dyDescent="0.25">
      <c r="B83" t="s">
        <v>402</v>
      </c>
      <c r="C83" t="s">
        <v>396</v>
      </c>
      <c r="D83" s="13">
        <v>8.3333333333333329E-2</v>
      </c>
      <c r="E83" t="s">
        <v>61</v>
      </c>
      <c r="F83" t="s">
        <v>404</v>
      </c>
      <c r="H83">
        <v>42.4</v>
      </c>
      <c r="I83">
        <v>27.2</v>
      </c>
      <c r="J83">
        <v>30.4</v>
      </c>
      <c r="K83">
        <v>69.599999999999994</v>
      </c>
      <c r="L83">
        <v>57.6</v>
      </c>
      <c r="M83">
        <v>72.8</v>
      </c>
      <c r="N83">
        <v>40.700000000000003</v>
      </c>
      <c r="O83">
        <v>38.799999999999997</v>
      </c>
      <c r="P83">
        <v>20.5</v>
      </c>
      <c r="Q83">
        <v>75.3</v>
      </c>
      <c r="R83">
        <v>80.5</v>
      </c>
      <c r="S83">
        <v>56.6</v>
      </c>
      <c r="T83">
        <v>43.4</v>
      </c>
      <c r="U83">
        <v>49.1</v>
      </c>
      <c r="V83">
        <v>60.4</v>
      </c>
      <c r="W83">
        <v>39.6</v>
      </c>
    </row>
    <row r="84" spans="2:23" hidden="1" x14ac:dyDescent="0.25">
      <c r="B84" t="s">
        <v>402</v>
      </c>
      <c r="C84" t="s">
        <v>396</v>
      </c>
      <c r="D84" s="13">
        <v>8.3333333333333329E-2</v>
      </c>
      <c r="E84" t="s">
        <v>405</v>
      </c>
      <c r="F84" t="s">
        <v>66</v>
      </c>
      <c r="H84">
        <v>57.2</v>
      </c>
      <c r="I84">
        <v>24.3</v>
      </c>
      <c r="J84">
        <v>18.5</v>
      </c>
      <c r="K84">
        <v>81.5</v>
      </c>
      <c r="L84">
        <v>42.8</v>
      </c>
      <c r="M84">
        <v>75.7</v>
      </c>
      <c r="N84">
        <v>49.7</v>
      </c>
      <c r="O84">
        <v>36.700000000000003</v>
      </c>
      <c r="P84">
        <v>13.5</v>
      </c>
      <c r="Q84">
        <v>74.900000000000006</v>
      </c>
      <c r="R84">
        <v>82.7</v>
      </c>
      <c r="S84">
        <v>60.1</v>
      </c>
      <c r="T84">
        <v>39.9</v>
      </c>
      <c r="U84">
        <v>47.1</v>
      </c>
      <c r="V84">
        <v>58.7</v>
      </c>
      <c r="W84">
        <v>41.3</v>
      </c>
    </row>
    <row r="85" spans="2:23" hidden="1" x14ac:dyDescent="0.25">
      <c r="B85" t="s">
        <v>402</v>
      </c>
      <c r="C85" t="s">
        <v>396</v>
      </c>
      <c r="D85" s="13">
        <v>8.3333333333333329E-2</v>
      </c>
      <c r="E85" t="s">
        <v>80</v>
      </c>
      <c r="F85" t="s">
        <v>59</v>
      </c>
      <c r="H85">
        <v>57.7</v>
      </c>
      <c r="I85">
        <v>24</v>
      </c>
      <c r="J85">
        <v>18.3</v>
      </c>
      <c r="K85">
        <v>81.7</v>
      </c>
      <c r="L85">
        <v>42.3</v>
      </c>
      <c r="M85">
        <v>76</v>
      </c>
      <c r="N85">
        <v>46.4</v>
      </c>
      <c r="O85">
        <v>36.1</v>
      </c>
      <c r="P85">
        <v>17.5</v>
      </c>
      <c r="Q85">
        <v>77.900000000000006</v>
      </c>
      <c r="R85">
        <v>84.1</v>
      </c>
      <c r="S85">
        <v>62.5</v>
      </c>
      <c r="T85">
        <v>37.5</v>
      </c>
      <c r="U85">
        <v>44.7</v>
      </c>
      <c r="V85">
        <v>60.4</v>
      </c>
      <c r="W85">
        <v>39.6</v>
      </c>
    </row>
    <row r="86" spans="2:23" hidden="1" x14ac:dyDescent="0.25">
      <c r="B86" t="s">
        <v>402</v>
      </c>
      <c r="C86" t="s">
        <v>396</v>
      </c>
      <c r="D86" s="13">
        <v>8.3333333333333329E-2</v>
      </c>
      <c r="E86" t="s">
        <v>64</v>
      </c>
      <c r="F86" t="s">
        <v>60</v>
      </c>
      <c r="H86">
        <v>56.9</v>
      </c>
      <c r="I86">
        <v>25</v>
      </c>
      <c r="J86">
        <v>18</v>
      </c>
      <c r="K86">
        <v>82</v>
      </c>
      <c r="L86">
        <v>43.1</v>
      </c>
      <c r="M86">
        <v>75</v>
      </c>
      <c r="N86">
        <v>38.5</v>
      </c>
      <c r="O86">
        <v>44.1</v>
      </c>
      <c r="P86">
        <v>17.399999999999999</v>
      </c>
      <c r="Q86">
        <v>66.8</v>
      </c>
      <c r="R86">
        <v>78.599999999999994</v>
      </c>
      <c r="S86">
        <v>54</v>
      </c>
      <c r="T86">
        <v>46</v>
      </c>
      <c r="U86">
        <v>53.4</v>
      </c>
      <c r="V86">
        <v>53.6</v>
      </c>
      <c r="W86">
        <v>46.4</v>
      </c>
    </row>
    <row r="87" spans="2:23" hidden="1" x14ac:dyDescent="0.25">
      <c r="B87" t="s">
        <v>402</v>
      </c>
      <c r="C87" t="s">
        <v>396</v>
      </c>
      <c r="D87" s="13">
        <v>8.3333333333333329E-2</v>
      </c>
      <c r="E87" t="s">
        <v>65</v>
      </c>
      <c r="F87" t="s">
        <v>406</v>
      </c>
      <c r="H87">
        <v>59.3</v>
      </c>
      <c r="I87">
        <v>24.8</v>
      </c>
      <c r="J87">
        <v>15.9</v>
      </c>
      <c r="K87">
        <v>84.1</v>
      </c>
      <c r="L87">
        <v>40.700000000000003</v>
      </c>
      <c r="M87">
        <v>75.2</v>
      </c>
      <c r="N87">
        <v>42.2</v>
      </c>
      <c r="O87">
        <v>42.8</v>
      </c>
      <c r="P87">
        <v>15</v>
      </c>
      <c r="Q87">
        <v>67.599999999999994</v>
      </c>
      <c r="R87">
        <v>76.3</v>
      </c>
      <c r="S87">
        <v>50.8</v>
      </c>
      <c r="T87">
        <v>49.2</v>
      </c>
      <c r="U87">
        <v>57.1</v>
      </c>
      <c r="V87">
        <v>49.6</v>
      </c>
      <c r="W87">
        <v>50.4</v>
      </c>
    </row>
    <row r="88" spans="2:23" hidden="1" x14ac:dyDescent="0.25">
      <c r="B88" t="s">
        <v>402</v>
      </c>
      <c r="C88" t="s">
        <v>396</v>
      </c>
      <c r="D88" s="13">
        <v>8.3333333333333329E-2</v>
      </c>
      <c r="E88" t="s">
        <v>62</v>
      </c>
      <c r="F88" t="s">
        <v>82</v>
      </c>
      <c r="H88">
        <v>54.5</v>
      </c>
      <c r="I88">
        <v>24.7</v>
      </c>
      <c r="J88">
        <v>20.8</v>
      </c>
      <c r="K88">
        <v>79.2</v>
      </c>
      <c r="L88">
        <v>45.5</v>
      </c>
      <c r="M88">
        <v>75.3</v>
      </c>
      <c r="N88">
        <v>39.1</v>
      </c>
      <c r="O88">
        <v>39.9</v>
      </c>
      <c r="P88">
        <v>21</v>
      </c>
      <c r="Q88">
        <v>74</v>
      </c>
      <c r="R88">
        <v>83.7</v>
      </c>
      <c r="S88">
        <v>61.8</v>
      </c>
      <c r="T88">
        <v>38.200000000000003</v>
      </c>
      <c r="U88">
        <v>45</v>
      </c>
      <c r="V88">
        <v>61.2</v>
      </c>
      <c r="W88">
        <v>38.799999999999997</v>
      </c>
    </row>
    <row r="89" spans="2:23" hidden="1" x14ac:dyDescent="0.25">
      <c r="B89" t="s">
        <v>407</v>
      </c>
      <c r="C89" t="s">
        <v>396</v>
      </c>
      <c r="D89" s="13">
        <v>0.10416666666666667</v>
      </c>
      <c r="E89" t="s">
        <v>408</v>
      </c>
      <c r="F89" t="s">
        <v>409</v>
      </c>
      <c r="H89">
        <v>37.799999999999997</v>
      </c>
      <c r="I89">
        <v>27.4</v>
      </c>
      <c r="J89">
        <v>34.700000000000003</v>
      </c>
      <c r="K89">
        <v>65.3</v>
      </c>
      <c r="L89">
        <v>62.2</v>
      </c>
      <c r="M89">
        <v>72.599999999999994</v>
      </c>
      <c r="N89">
        <v>23.6</v>
      </c>
      <c r="O89">
        <v>41.9</v>
      </c>
      <c r="P89">
        <v>34.5</v>
      </c>
      <c r="Q89">
        <v>72.099999999999994</v>
      </c>
      <c r="R89">
        <v>81</v>
      </c>
      <c r="S89">
        <v>57.3</v>
      </c>
      <c r="T89">
        <v>42.7</v>
      </c>
      <c r="U89">
        <v>48.3</v>
      </c>
      <c r="V89">
        <v>61.4</v>
      </c>
      <c r="W89">
        <v>38.6</v>
      </c>
    </row>
    <row r="90" spans="2:23" hidden="1" x14ac:dyDescent="0.25">
      <c r="B90" t="s">
        <v>410</v>
      </c>
      <c r="C90" t="s">
        <v>396</v>
      </c>
      <c r="D90" s="13">
        <v>0.125</v>
      </c>
      <c r="E90" t="s">
        <v>411</v>
      </c>
      <c r="F90" t="s">
        <v>412</v>
      </c>
      <c r="H90">
        <v>59.4</v>
      </c>
      <c r="I90">
        <v>24</v>
      </c>
      <c r="J90">
        <v>16.600000000000001</v>
      </c>
      <c r="K90">
        <v>83.4</v>
      </c>
      <c r="L90">
        <v>40.6</v>
      </c>
      <c r="M90">
        <v>76</v>
      </c>
      <c r="N90">
        <v>47.4</v>
      </c>
      <c r="O90">
        <v>35</v>
      </c>
      <c r="P90">
        <v>17.600000000000001</v>
      </c>
      <c r="Q90">
        <v>79.5</v>
      </c>
      <c r="R90">
        <v>92.7</v>
      </c>
      <c r="S90">
        <v>78.7</v>
      </c>
      <c r="T90">
        <v>21.3</v>
      </c>
      <c r="U90">
        <v>27.4</v>
      </c>
      <c r="V90">
        <v>72.900000000000006</v>
      </c>
      <c r="W90">
        <v>27.1</v>
      </c>
    </row>
    <row r="91" spans="2:23" hidden="1" x14ac:dyDescent="0.25">
      <c r="B91" t="s">
        <v>413</v>
      </c>
      <c r="C91" t="s">
        <v>396</v>
      </c>
      <c r="D91" s="13">
        <v>0.125</v>
      </c>
      <c r="E91" t="s">
        <v>414</v>
      </c>
      <c r="F91" t="s">
        <v>415</v>
      </c>
      <c r="H91">
        <v>55.3</v>
      </c>
      <c r="I91">
        <v>24</v>
      </c>
      <c r="J91">
        <v>20.6</v>
      </c>
      <c r="K91">
        <v>79.400000000000006</v>
      </c>
      <c r="L91">
        <v>44.7</v>
      </c>
      <c r="M91">
        <v>76</v>
      </c>
      <c r="N91">
        <v>42.3</v>
      </c>
      <c r="O91">
        <v>34.799999999999997</v>
      </c>
      <c r="P91">
        <v>22.9</v>
      </c>
      <c r="Q91">
        <v>81.8</v>
      </c>
      <c r="R91">
        <v>89.6</v>
      </c>
      <c r="S91">
        <v>72.3</v>
      </c>
      <c r="T91">
        <v>27.7</v>
      </c>
      <c r="U91">
        <v>33.9</v>
      </c>
      <c r="V91">
        <v>69.5</v>
      </c>
      <c r="W91">
        <v>30.5</v>
      </c>
    </row>
    <row r="92" spans="2:23" hidden="1" x14ac:dyDescent="0.25">
      <c r="B92" t="s">
        <v>416</v>
      </c>
      <c r="C92" t="s">
        <v>396</v>
      </c>
      <c r="D92" s="13">
        <v>0.16666666666666666</v>
      </c>
      <c r="E92" t="s">
        <v>417</v>
      </c>
      <c r="F92" t="s">
        <v>418</v>
      </c>
      <c r="H92">
        <v>45.9</v>
      </c>
      <c r="I92">
        <v>25.1</v>
      </c>
      <c r="J92">
        <v>29</v>
      </c>
      <c r="K92">
        <v>71</v>
      </c>
      <c r="L92">
        <v>54.1</v>
      </c>
      <c r="M92">
        <v>74.900000000000006</v>
      </c>
      <c r="N92">
        <v>39.200000000000003</v>
      </c>
      <c r="O92">
        <v>37</v>
      </c>
      <c r="P92">
        <v>23.7</v>
      </c>
      <c r="Q92">
        <v>78.900000000000006</v>
      </c>
      <c r="R92">
        <v>89.7</v>
      </c>
      <c r="S92">
        <v>72.400000000000006</v>
      </c>
      <c r="T92">
        <v>27.6</v>
      </c>
      <c r="U92">
        <v>33.1</v>
      </c>
      <c r="V92">
        <v>72.2</v>
      </c>
      <c r="W92">
        <v>27.8</v>
      </c>
    </row>
    <row r="93" spans="2:23" hidden="1" x14ac:dyDescent="0.25">
      <c r="B93" t="s">
        <v>410</v>
      </c>
      <c r="C93" t="s">
        <v>396</v>
      </c>
      <c r="D93" s="13">
        <v>0.25</v>
      </c>
      <c r="E93" t="s">
        <v>419</v>
      </c>
      <c r="F93" t="s">
        <v>420</v>
      </c>
      <c r="H93">
        <v>44.9</v>
      </c>
      <c r="I93">
        <v>25.1</v>
      </c>
      <c r="J93">
        <v>30</v>
      </c>
      <c r="K93">
        <v>70</v>
      </c>
      <c r="L93">
        <v>55.1</v>
      </c>
      <c r="M93">
        <v>74.900000000000006</v>
      </c>
      <c r="N93">
        <v>35.299999999999997</v>
      </c>
      <c r="O93">
        <v>36.6</v>
      </c>
      <c r="P93">
        <v>28.2</v>
      </c>
      <c r="Q93">
        <v>80.400000000000006</v>
      </c>
      <c r="R93">
        <v>91.3</v>
      </c>
      <c r="S93">
        <v>75.599999999999994</v>
      </c>
      <c r="T93">
        <v>24.4</v>
      </c>
      <c r="U93">
        <v>29.5</v>
      </c>
      <c r="V93">
        <v>74.900000000000006</v>
      </c>
      <c r="W93">
        <v>25.1</v>
      </c>
    </row>
    <row r="94" spans="2:23" hidden="1" x14ac:dyDescent="0.25">
      <c r="B94" t="s">
        <v>239</v>
      </c>
      <c r="C94" t="s">
        <v>396</v>
      </c>
      <c r="D94" s="13">
        <v>0.25</v>
      </c>
      <c r="E94" t="s">
        <v>421</v>
      </c>
      <c r="F94" t="s">
        <v>422</v>
      </c>
      <c r="H94">
        <v>43.3</v>
      </c>
      <c r="I94">
        <v>26.6</v>
      </c>
      <c r="J94">
        <v>30.2</v>
      </c>
      <c r="K94">
        <v>69.8</v>
      </c>
      <c r="L94">
        <v>56.7</v>
      </c>
      <c r="M94">
        <v>73.400000000000006</v>
      </c>
      <c r="N94">
        <v>32.6</v>
      </c>
      <c r="O94">
        <v>42.8</v>
      </c>
      <c r="P94">
        <v>24.5</v>
      </c>
      <c r="Q94">
        <v>70.5</v>
      </c>
      <c r="R94">
        <v>82.7</v>
      </c>
      <c r="S94">
        <v>60</v>
      </c>
      <c r="T94">
        <v>40</v>
      </c>
      <c r="U94">
        <v>45.8</v>
      </c>
      <c r="V94">
        <v>62.9</v>
      </c>
      <c r="W94">
        <v>37.1</v>
      </c>
    </row>
    <row r="95" spans="2:23" hidden="1" x14ac:dyDescent="0.25">
      <c r="B95" t="s">
        <v>407</v>
      </c>
      <c r="C95" t="s">
        <v>396</v>
      </c>
      <c r="D95" s="13">
        <v>0.27083333333333331</v>
      </c>
      <c r="E95" t="s">
        <v>423</v>
      </c>
      <c r="F95" t="s">
        <v>424</v>
      </c>
      <c r="H95">
        <v>49.6</v>
      </c>
      <c r="I95">
        <v>24.9</v>
      </c>
      <c r="J95">
        <v>25.5</v>
      </c>
      <c r="K95">
        <v>74.5</v>
      </c>
      <c r="L95">
        <v>50.4</v>
      </c>
      <c r="M95">
        <v>75.099999999999994</v>
      </c>
      <c r="N95">
        <v>48.6</v>
      </c>
      <c r="O95">
        <v>34.6</v>
      </c>
      <c r="P95">
        <v>16.8</v>
      </c>
      <c r="Q95">
        <v>79.7</v>
      </c>
      <c r="R95">
        <v>88.2</v>
      </c>
      <c r="S95">
        <v>69.5</v>
      </c>
      <c r="T95">
        <v>30.5</v>
      </c>
      <c r="U95">
        <v>36.299999999999997</v>
      </c>
      <c r="V95">
        <v>69.099999999999994</v>
      </c>
      <c r="W95">
        <v>30.9</v>
      </c>
    </row>
    <row r="96" spans="2:23" hidden="1" x14ac:dyDescent="0.25">
      <c r="B96" t="s">
        <v>425</v>
      </c>
      <c r="C96" t="s">
        <v>396</v>
      </c>
      <c r="D96" s="13">
        <v>0.27083333333333331</v>
      </c>
      <c r="E96" t="s">
        <v>426</v>
      </c>
      <c r="F96" t="s">
        <v>427</v>
      </c>
      <c r="H96">
        <v>50.7</v>
      </c>
      <c r="I96">
        <v>24.6</v>
      </c>
      <c r="J96">
        <v>24.7</v>
      </c>
      <c r="K96">
        <v>75.3</v>
      </c>
      <c r="L96">
        <v>49.3</v>
      </c>
      <c r="M96">
        <v>75.400000000000006</v>
      </c>
      <c r="N96">
        <v>42.5</v>
      </c>
      <c r="O96">
        <v>35.1</v>
      </c>
      <c r="P96">
        <v>22.4</v>
      </c>
      <c r="Q96">
        <v>81.3</v>
      </c>
      <c r="R96">
        <v>91.1</v>
      </c>
      <c r="S96">
        <v>75.2</v>
      </c>
      <c r="T96">
        <v>24.8</v>
      </c>
      <c r="U96">
        <v>30.3</v>
      </c>
      <c r="V96">
        <v>73.400000000000006</v>
      </c>
      <c r="W96">
        <v>26.6</v>
      </c>
    </row>
    <row r="97" spans="2:23" hidden="1" x14ac:dyDescent="0.25">
      <c r="B97" t="s">
        <v>425</v>
      </c>
      <c r="C97" t="s">
        <v>396</v>
      </c>
      <c r="D97" s="13">
        <v>0.27083333333333331</v>
      </c>
      <c r="E97" t="s">
        <v>428</v>
      </c>
      <c r="F97" t="s">
        <v>429</v>
      </c>
      <c r="H97">
        <v>50.1</v>
      </c>
      <c r="I97">
        <v>24.7</v>
      </c>
      <c r="J97">
        <v>25.2</v>
      </c>
      <c r="K97">
        <v>74.8</v>
      </c>
      <c r="L97">
        <v>49.9</v>
      </c>
      <c r="M97">
        <v>75.3</v>
      </c>
      <c r="N97">
        <v>37.9</v>
      </c>
      <c r="O97">
        <v>35.4</v>
      </c>
      <c r="P97">
        <v>26.7</v>
      </c>
      <c r="Q97">
        <v>81.900000000000006</v>
      </c>
      <c r="R97">
        <v>89.8</v>
      </c>
      <c r="S97">
        <v>72.599999999999994</v>
      </c>
      <c r="T97">
        <v>27.4</v>
      </c>
      <c r="U97">
        <v>33.1</v>
      </c>
      <c r="V97">
        <v>71.400000000000006</v>
      </c>
      <c r="W97">
        <v>28.6</v>
      </c>
    </row>
    <row r="98" spans="2:23" hidden="1" x14ac:dyDescent="0.25">
      <c r="B98" t="s">
        <v>425</v>
      </c>
      <c r="C98" t="s">
        <v>396</v>
      </c>
      <c r="D98" s="13">
        <v>0.27083333333333331</v>
      </c>
      <c r="E98" t="s">
        <v>430</v>
      </c>
      <c r="F98" t="s">
        <v>431</v>
      </c>
      <c r="H98">
        <v>43.2</v>
      </c>
      <c r="I98">
        <v>25.3</v>
      </c>
      <c r="J98">
        <v>31.5</v>
      </c>
      <c r="K98">
        <v>68.5</v>
      </c>
      <c r="L98">
        <v>56.8</v>
      </c>
      <c r="M98">
        <v>74.7</v>
      </c>
      <c r="N98">
        <v>35.700000000000003</v>
      </c>
      <c r="O98">
        <v>37.700000000000003</v>
      </c>
      <c r="P98">
        <v>26.5</v>
      </c>
      <c r="Q98">
        <v>78.400000000000006</v>
      </c>
      <c r="R98">
        <v>89.9</v>
      </c>
      <c r="S98">
        <v>72.7</v>
      </c>
      <c r="T98">
        <v>27.3</v>
      </c>
      <c r="U98">
        <v>32.5</v>
      </c>
      <c r="V98">
        <v>72.900000000000006</v>
      </c>
      <c r="W98">
        <v>27.1</v>
      </c>
    </row>
    <row r="99" spans="2:23" hidden="1" x14ac:dyDescent="0.25">
      <c r="B99" t="s">
        <v>432</v>
      </c>
      <c r="C99" t="s">
        <v>396</v>
      </c>
      <c r="D99" s="13">
        <v>0.29166666666666669</v>
      </c>
      <c r="E99" t="s">
        <v>433</v>
      </c>
      <c r="F99" t="s">
        <v>434</v>
      </c>
      <c r="H99">
        <v>42.9</v>
      </c>
      <c r="I99">
        <v>27.5</v>
      </c>
      <c r="J99">
        <v>29.6</v>
      </c>
      <c r="K99">
        <v>70.400000000000006</v>
      </c>
      <c r="L99">
        <v>57.1</v>
      </c>
      <c r="M99">
        <v>72.5</v>
      </c>
      <c r="N99">
        <v>26.4</v>
      </c>
      <c r="O99">
        <v>41.2</v>
      </c>
      <c r="P99">
        <v>32.4</v>
      </c>
      <c r="Q99">
        <v>73.400000000000006</v>
      </c>
      <c r="R99">
        <v>78.900000000000006</v>
      </c>
      <c r="S99">
        <v>54.3</v>
      </c>
      <c r="T99">
        <v>45.7</v>
      </c>
      <c r="U99">
        <v>51.5</v>
      </c>
      <c r="V99">
        <v>58.5</v>
      </c>
      <c r="W99">
        <v>41.5</v>
      </c>
    </row>
    <row r="100" spans="2:23" hidden="1" x14ac:dyDescent="0.25">
      <c r="B100" t="s">
        <v>246</v>
      </c>
      <c r="C100" t="s">
        <v>396</v>
      </c>
      <c r="D100" s="13">
        <v>0.29166666666666669</v>
      </c>
      <c r="E100" t="s">
        <v>435</v>
      </c>
      <c r="F100" t="s">
        <v>436</v>
      </c>
      <c r="H100">
        <v>23.1</v>
      </c>
      <c r="I100">
        <v>32.799999999999997</v>
      </c>
      <c r="J100">
        <v>44.1</v>
      </c>
      <c r="K100">
        <v>55.9</v>
      </c>
      <c r="L100">
        <v>76.900000000000006</v>
      </c>
      <c r="M100">
        <v>67.2</v>
      </c>
      <c r="N100">
        <v>21.8</v>
      </c>
      <c r="O100">
        <v>49.2</v>
      </c>
      <c r="P100">
        <v>28.9</v>
      </c>
      <c r="Q100">
        <v>61</v>
      </c>
      <c r="R100">
        <v>62.4</v>
      </c>
      <c r="S100">
        <v>34</v>
      </c>
      <c r="T100">
        <v>66</v>
      </c>
      <c r="U100">
        <v>71.2</v>
      </c>
      <c r="V100">
        <v>41.2</v>
      </c>
      <c r="W100">
        <v>58.8</v>
      </c>
    </row>
    <row r="101" spans="2:23" hidden="1" x14ac:dyDescent="0.25">
      <c r="B101" t="s">
        <v>300</v>
      </c>
      <c r="C101" t="s">
        <v>396</v>
      </c>
      <c r="D101" s="13">
        <v>0.30208333333333331</v>
      </c>
      <c r="E101" t="s">
        <v>437</v>
      </c>
      <c r="F101" t="s">
        <v>438</v>
      </c>
      <c r="H101">
        <v>24</v>
      </c>
      <c r="I101">
        <v>30.4</v>
      </c>
      <c r="J101">
        <v>45.6</v>
      </c>
      <c r="K101">
        <v>54.4</v>
      </c>
      <c r="L101">
        <v>76</v>
      </c>
      <c r="M101">
        <v>69.599999999999994</v>
      </c>
      <c r="N101">
        <v>21.8</v>
      </c>
      <c r="O101">
        <v>46.7</v>
      </c>
      <c r="P101">
        <v>31.5</v>
      </c>
      <c r="Q101">
        <v>64.7</v>
      </c>
      <c r="R101">
        <v>69.900000000000006</v>
      </c>
      <c r="S101">
        <v>42.5</v>
      </c>
      <c r="T101">
        <v>57.5</v>
      </c>
      <c r="U101">
        <v>63.3</v>
      </c>
      <c r="V101">
        <v>48.1</v>
      </c>
      <c r="W101">
        <v>51.9</v>
      </c>
    </row>
    <row r="102" spans="2:23" hidden="1" x14ac:dyDescent="0.25">
      <c r="B102" t="s">
        <v>439</v>
      </c>
      <c r="C102" t="s">
        <v>396</v>
      </c>
      <c r="D102" s="13">
        <v>0.3125</v>
      </c>
      <c r="E102" t="s">
        <v>440</v>
      </c>
      <c r="F102" t="s">
        <v>44</v>
      </c>
      <c r="H102">
        <v>45.3</v>
      </c>
      <c r="I102">
        <v>28.5</v>
      </c>
      <c r="J102">
        <v>26.2</v>
      </c>
      <c r="K102">
        <v>73.8</v>
      </c>
      <c r="L102">
        <v>54.7</v>
      </c>
      <c r="M102">
        <v>71.5</v>
      </c>
      <c r="N102">
        <v>29</v>
      </c>
      <c r="O102">
        <v>47.7</v>
      </c>
      <c r="P102">
        <v>23.3</v>
      </c>
      <c r="Q102">
        <v>63.2</v>
      </c>
      <c r="R102">
        <v>74</v>
      </c>
      <c r="S102">
        <v>47.6</v>
      </c>
      <c r="T102">
        <v>52.4</v>
      </c>
      <c r="U102">
        <v>58.3</v>
      </c>
      <c r="V102">
        <v>52.6</v>
      </c>
      <c r="W102">
        <v>47.4</v>
      </c>
    </row>
    <row r="103" spans="2:23" hidden="1" x14ac:dyDescent="0.25">
      <c r="B103" t="s">
        <v>439</v>
      </c>
      <c r="C103" t="s">
        <v>396</v>
      </c>
      <c r="D103" s="13">
        <v>0.3125</v>
      </c>
      <c r="E103" t="s">
        <v>36</v>
      </c>
      <c r="F103" t="s">
        <v>441</v>
      </c>
      <c r="H103">
        <v>45.5</v>
      </c>
      <c r="I103">
        <v>28.3</v>
      </c>
      <c r="J103">
        <v>26.2</v>
      </c>
      <c r="K103">
        <v>73.8</v>
      </c>
      <c r="L103">
        <v>54.5</v>
      </c>
      <c r="M103">
        <v>71.7</v>
      </c>
      <c r="N103">
        <v>31.4</v>
      </c>
      <c r="O103">
        <v>44.9</v>
      </c>
      <c r="P103">
        <v>23.8</v>
      </c>
      <c r="Q103">
        <v>67.400000000000006</v>
      </c>
      <c r="R103">
        <v>74.599999999999994</v>
      </c>
      <c r="S103">
        <v>48.3</v>
      </c>
      <c r="T103">
        <v>51.7</v>
      </c>
      <c r="U103">
        <v>57.6</v>
      </c>
      <c r="V103">
        <v>53.1</v>
      </c>
      <c r="W103">
        <v>46.9</v>
      </c>
    </row>
    <row r="104" spans="2:23" hidden="1" x14ac:dyDescent="0.25">
      <c r="B104" t="s">
        <v>233</v>
      </c>
      <c r="C104" t="s">
        <v>396</v>
      </c>
      <c r="D104" s="13">
        <v>0.3125</v>
      </c>
      <c r="E104" t="s">
        <v>442</v>
      </c>
      <c r="F104" t="s">
        <v>443</v>
      </c>
      <c r="H104">
        <v>36.200000000000003</v>
      </c>
      <c r="I104">
        <v>30.9</v>
      </c>
      <c r="J104">
        <v>32.799999999999997</v>
      </c>
      <c r="K104">
        <v>67.2</v>
      </c>
      <c r="L104">
        <v>63.8</v>
      </c>
      <c r="M104">
        <v>69.099999999999994</v>
      </c>
      <c r="N104">
        <v>26.9</v>
      </c>
      <c r="O104">
        <v>49.3</v>
      </c>
      <c r="P104">
        <v>23.8</v>
      </c>
      <c r="Q104">
        <v>60.9</v>
      </c>
      <c r="R104">
        <v>69</v>
      </c>
      <c r="S104">
        <v>41.3</v>
      </c>
      <c r="T104">
        <v>58.7</v>
      </c>
      <c r="U104">
        <v>63.8</v>
      </c>
      <c r="V104">
        <v>48.8</v>
      </c>
      <c r="W104">
        <v>51.2</v>
      </c>
    </row>
    <row r="105" spans="2:23" hidden="1" x14ac:dyDescent="0.25">
      <c r="B105" t="s">
        <v>233</v>
      </c>
      <c r="C105" t="s">
        <v>396</v>
      </c>
      <c r="D105" s="13">
        <v>0.3125</v>
      </c>
      <c r="E105" t="s">
        <v>444</v>
      </c>
      <c r="F105" t="s">
        <v>445</v>
      </c>
      <c r="H105">
        <v>44</v>
      </c>
      <c r="I105">
        <v>29.1</v>
      </c>
      <c r="J105">
        <v>26.8</v>
      </c>
      <c r="K105">
        <v>73.2</v>
      </c>
      <c r="L105">
        <v>56</v>
      </c>
      <c r="M105">
        <v>70.900000000000006</v>
      </c>
      <c r="N105">
        <v>26.2</v>
      </c>
      <c r="O105">
        <v>48.4</v>
      </c>
      <c r="P105">
        <v>25.4</v>
      </c>
      <c r="Q105">
        <v>62.3</v>
      </c>
      <c r="R105">
        <v>72.2</v>
      </c>
      <c r="S105">
        <v>45.2</v>
      </c>
      <c r="T105">
        <v>54.8</v>
      </c>
      <c r="U105">
        <v>60.5</v>
      </c>
      <c r="V105">
        <v>50.9</v>
      </c>
      <c r="W105">
        <v>49.1</v>
      </c>
    </row>
    <row r="106" spans="2:23" hidden="1" x14ac:dyDescent="0.25">
      <c r="B106" t="s">
        <v>233</v>
      </c>
      <c r="C106" t="s">
        <v>396</v>
      </c>
      <c r="D106" s="13">
        <v>0.3125</v>
      </c>
      <c r="E106" t="s">
        <v>446</v>
      </c>
      <c r="F106" t="s">
        <v>447</v>
      </c>
      <c r="H106">
        <v>53</v>
      </c>
      <c r="I106">
        <v>26.5</v>
      </c>
      <c r="J106">
        <v>20.5</v>
      </c>
      <c r="K106">
        <v>79.5</v>
      </c>
      <c r="L106">
        <v>47</v>
      </c>
      <c r="M106">
        <v>73.5</v>
      </c>
      <c r="N106">
        <v>37.1</v>
      </c>
      <c r="O106">
        <v>43.6</v>
      </c>
      <c r="P106">
        <v>19.3</v>
      </c>
      <c r="Q106">
        <v>68.099999999999994</v>
      </c>
      <c r="R106">
        <v>76.2</v>
      </c>
      <c r="S106">
        <v>50.5</v>
      </c>
      <c r="T106">
        <v>49.5</v>
      </c>
      <c r="U106">
        <v>56.3</v>
      </c>
      <c r="V106">
        <v>52.5</v>
      </c>
      <c r="W106">
        <v>47.5</v>
      </c>
    </row>
    <row r="107" spans="2:23" hidden="1" x14ac:dyDescent="0.25">
      <c r="B107" t="s">
        <v>233</v>
      </c>
      <c r="C107" t="s">
        <v>396</v>
      </c>
      <c r="D107" s="13">
        <v>0.3125</v>
      </c>
      <c r="E107" t="s">
        <v>448</v>
      </c>
      <c r="F107" t="s">
        <v>449</v>
      </c>
      <c r="H107">
        <v>36.9</v>
      </c>
      <c r="I107">
        <v>29</v>
      </c>
      <c r="J107">
        <v>34.1</v>
      </c>
      <c r="K107">
        <v>65.900000000000006</v>
      </c>
      <c r="L107">
        <v>63.1</v>
      </c>
      <c r="M107">
        <v>71</v>
      </c>
      <c r="N107">
        <v>31.5</v>
      </c>
      <c r="O107">
        <v>47.5</v>
      </c>
      <c r="P107">
        <v>21.1</v>
      </c>
      <c r="Q107">
        <v>63.1</v>
      </c>
      <c r="R107">
        <v>75.400000000000006</v>
      </c>
      <c r="S107">
        <v>49.4</v>
      </c>
      <c r="T107">
        <v>50.6</v>
      </c>
      <c r="U107">
        <v>56.1</v>
      </c>
      <c r="V107">
        <v>55.2</v>
      </c>
      <c r="W107">
        <v>44.8</v>
      </c>
    </row>
    <row r="108" spans="2:23" hidden="1" x14ac:dyDescent="0.25">
      <c r="B108" t="s">
        <v>450</v>
      </c>
      <c r="C108" t="s">
        <v>396</v>
      </c>
      <c r="D108" s="13">
        <v>0.33333333333333331</v>
      </c>
      <c r="E108" t="s">
        <v>451</v>
      </c>
      <c r="F108" t="s">
        <v>452</v>
      </c>
      <c r="H108">
        <v>31.6</v>
      </c>
      <c r="I108">
        <v>29.1</v>
      </c>
      <c r="J108">
        <v>39.4</v>
      </c>
      <c r="K108">
        <v>60.6</v>
      </c>
      <c r="L108">
        <v>68.400000000000006</v>
      </c>
      <c r="M108">
        <v>70.900000000000006</v>
      </c>
      <c r="N108">
        <v>18.5</v>
      </c>
      <c r="O108">
        <v>46.1</v>
      </c>
      <c r="P108">
        <v>35.5</v>
      </c>
      <c r="Q108">
        <v>65</v>
      </c>
      <c r="R108">
        <v>75.7</v>
      </c>
      <c r="S108">
        <v>49.7</v>
      </c>
      <c r="T108">
        <v>50.3</v>
      </c>
      <c r="U108">
        <v>55.8</v>
      </c>
      <c r="V108">
        <v>55.3</v>
      </c>
      <c r="W108">
        <v>44.7</v>
      </c>
    </row>
    <row r="109" spans="2:23" hidden="1" x14ac:dyDescent="0.25">
      <c r="B109" t="s">
        <v>450</v>
      </c>
      <c r="C109" t="s">
        <v>396</v>
      </c>
      <c r="D109" s="13">
        <v>0.33333333333333331</v>
      </c>
      <c r="E109" t="s">
        <v>453</v>
      </c>
      <c r="F109" t="s">
        <v>454</v>
      </c>
      <c r="H109">
        <v>45.7</v>
      </c>
      <c r="I109">
        <v>29.6</v>
      </c>
      <c r="J109">
        <v>24.7</v>
      </c>
      <c r="K109">
        <v>75.3</v>
      </c>
      <c r="L109">
        <v>54.3</v>
      </c>
      <c r="M109">
        <v>70.400000000000006</v>
      </c>
      <c r="N109">
        <v>28.8</v>
      </c>
      <c r="O109">
        <v>48.6</v>
      </c>
      <c r="P109">
        <v>22.7</v>
      </c>
      <c r="Q109">
        <v>61.8</v>
      </c>
      <c r="R109">
        <v>69.400000000000006</v>
      </c>
      <c r="S109">
        <v>41.8</v>
      </c>
      <c r="T109">
        <v>58.2</v>
      </c>
      <c r="U109">
        <v>63.9</v>
      </c>
      <c r="V109">
        <v>47.7</v>
      </c>
      <c r="W109">
        <v>52.3</v>
      </c>
    </row>
    <row r="110" spans="2:23" hidden="1" x14ac:dyDescent="0.25">
      <c r="B110" t="s">
        <v>239</v>
      </c>
      <c r="C110" t="s">
        <v>396</v>
      </c>
      <c r="D110" s="13">
        <v>0.33333333333333331</v>
      </c>
      <c r="E110" t="s">
        <v>455</v>
      </c>
      <c r="F110" t="s">
        <v>456</v>
      </c>
      <c r="H110">
        <v>44</v>
      </c>
      <c r="I110">
        <v>28.7</v>
      </c>
      <c r="J110">
        <v>27.4</v>
      </c>
      <c r="K110">
        <v>72.599999999999994</v>
      </c>
      <c r="L110">
        <v>56</v>
      </c>
      <c r="M110">
        <v>71.3</v>
      </c>
      <c r="N110">
        <v>28.9</v>
      </c>
      <c r="O110">
        <v>50.9</v>
      </c>
      <c r="P110">
        <v>20.2</v>
      </c>
      <c r="Q110">
        <v>58.2</v>
      </c>
      <c r="R110">
        <v>74.099999999999994</v>
      </c>
      <c r="S110">
        <v>47.6</v>
      </c>
      <c r="T110">
        <v>52.4</v>
      </c>
      <c r="U110">
        <v>58.2</v>
      </c>
      <c r="V110">
        <v>52.9</v>
      </c>
      <c r="W110">
        <v>47.1</v>
      </c>
    </row>
    <row r="111" spans="2:23" hidden="1" x14ac:dyDescent="0.25">
      <c r="B111" t="s">
        <v>239</v>
      </c>
      <c r="C111" t="s">
        <v>396</v>
      </c>
      <c r="D111" s="13">
        <v>0.33333333333333331</v>
      </c>
      <c r="E111" t="s">
        <v>457</v>
      </c>
      <c r="F111" t="s">
        <v>458</v>
      </c>
      <c r="H111">
        <v>41.8</v>
      </c>
      <c r="I111">
        <v>25.6</v>
      </c>
      <c r="J111">
        <v>32.6</v>
      </c>
      <c r="K111">
        <v>67.400000000000006</v>
      </c>
      <c r="L111">
        <v>58.2</v>
      </c>
      <c r="M111">
        <v>74.400000000000006</v>
      </c>
      <c r="N111">
        <v>31.1</v>
      </c>
      <c r="O111">
        <v>39.200000000000003</v>
      </c>
      <c r="P111">
        <v>29.8</v>
      </c>
      <c r="Q111">
        <v>76.599999999999994</v>
      </c>
      <c r="R111">
        <v>87.9</v>
      </c>
      <c r="S111">
        <v>68.900000000000006</v>
      </c>
      <c r="T111">
        <v>31.1</v>
      </c>
      <c r="U111">
        <v>36.6</v>
      </c>
      <c r="V111">
        <v>70</v>
      </c>
      <c r="W111">
        <v>30</v>
      </c>
    </row>
    <row r="112" spans="2:23" hidden="1" x14ac:dyDescent="0.25">
      <c r="B112" t="s">
        <v>459</v>
      </c>
      <c r="C112" t="s">
        <v>396</v>
      </c>
      <c r="D112" s="13">
        <v>0.33333333333333331</v>
      </c>
      <c r="E112" t="s">
        <v>460</v>
      </c>
      <c r="F112" t="s">
        <v>461</v>
      </c>
      <c r="H112">
        <v>41.5</v>
      </c>
      <c r="I112">
        <v>29.7</v>
      </c>
      <c r="J112">
        <v>28.9</v>
      </c>
      <c r="K112">
        <v>71.099999999999994</v>
      </c>
      <c r="L112">
        <v>58.5</v>
      </c>
      <c r="M112">
        <v>70.3</v>
      </c>
      <c r="N112">
        <v>29.2</v>
      </c>
      <c r="O112">
        <v>45.5</v>
      </c>
      <c r="P112">
        <v>25.4</v>
      </c>
      <c r="Q112">
        <v>66.7</v>
      </c>
      <c r="R112">
        <v>71.599999999999994</v>
      </c>
      <c r="S112">
        <v>44.5</v>
      </c>
      <c r="T112">
        <v>55.5</v>
      </c>
      <c r="U112">
        <v>61</v>
      </c>
      <c r="V112">
        <v>50.8</v>
      </c>
      <c r="W112">
        <v>49.2</v>
      </c>
    </row>
    <row r="113" spans="2:23" hidden="1" x14ac:dyDescent="0.25">
      <c r="B113" t="s">
        <v>462</v>
      </c>
      <c r="C113" t="s">
        <v>396</v>
      </c>
      <c r="D113" s="13">
        <v>0.33333333333333331</v>
      </c>
      <c r="E113" t="s">
        <v>463</v>
      </c>
      <c r="F113" t="s">
        <v>464</v>
      </c>
      <c r="H113">
        <v>32.9</v>
      </c>
      <c r="I113">
        <v>29.3</v>
      </c>
      <c r="J113">
        <v>37.799999999999997</v>
      </c>
      <c r="K113">
        <v>62.2</v>
      </c>
      <c r="L113">
        <v>67.099999999999994</v>
      </c>
      <c r="M113">
        <v>70.7</v>
      </c>
      <c r="N113">
        <v>21</v>
      </c>
      <c r="O113">
        <v>38.700000000000003</v>
      </c>
      <c r="P113">
        <v>40.299999999999997</v>
      </c>
      <c r="Q113">
        <v>76.3</v>
      </c>
      <c r="R113">
        <v>74.900000000000006</v>
      </c>
      <c r="S113">
        <v>48.7</v>
      </c>
      <c r="T113">
        <v>51.3</v>
      </c>
      <c r="U113">
        <v>56.8</v>
      </c>
      <c r="V113">
        <v>54.7</v>
      </c>
      <c r="W113">
        <v>45.3</v>
      </c>
    </row>
    <row r="114" spans="2:23" hidden="1" x14ac:dyDescent="0.25">
      <c r="B114" t="s">
        <v>465</v>
      </c>
      <c r="C114" t="s">
        <v>396</v>
      </c>
      <c r="D114" s="13">
        <v>0.33333333333333331</v>
      </c>
      <c r="E114" t="s">
        <v>466</v>
      </c>
      <c r="F114" t="s">
        <v>467</v>
      </c>
      <c r="H114">
        <v>41.5</v>
      </c>
      <c r="I114">
        <v>29.6</v>
      </c>
      <c r="J114">
        <v>28.9</v>
      </c>
      <c r="K114">
        <v>71.099999999999994</v>
      </c>
      <c r="L114">
        <v>58.5</v>
      </c>
      <c r="M114">
        <v>70.400000000000006</v>
      </c>
      <c r="N114">
        <v>28</v>
      </c>
      <c r="O114">
        <v>46.4</v>
      </c>
      <c r="P114">
        <v>25.7</v>
      </c>
      <c r="Q114">
        <v>65.3</v>
      </c>
      <c r="R114">
        <v>71.900000000000006</v>
      </c>
      <c r="S114">
        <v>44.8</v>
      </c>
      <c r="T114">
        <v>55.2</v>
      </c>
      <c r="U114">
        <v>60.7</v>
      </c>
      <c r="V114">
        <v>51.1</v>
      </c>
      <c r="W114">
        <v>48.9</v>
      </c>
    </row>
    <row r="115" spans="2:23" hidden="1" x14ac:dyDescent="0.25">
      <c r="B115" t="s">
        <v>465</v>
      </c>
      <c r="C115" t="s">
        <v>396</v>
      </c>
      <c r="D115" s="13">
        <v>0.33333333333333331</v>
      </c>
      <c r="E115" t="s">
        <v>468</v>
      </c>
      <c r="F115" t="s">
        <v>469</v>
      </c>
      <c r="H115">
        <v>51</v>
      </c>
      <c r="I115">
        <v>26</v>
      </c>
      <c r="J115">
        <v>23</v>
      </c>
      <c r="K115">
        <v>77</v>
      </c>
      <c r="L115">
        <v>49</v>
      </c>
      <c r="M115">
        <v>74</v>
      </c>
      <c r="N115">
        <v>40.1</v>
      </c>
      <c r="O115">
        <v>42.5</v>
      </c>
      <c r="P115">
        <v>17.3</v>
      </c>
      <c r="Q115">
        <v>69</v>
      </c>
      <c r="R115">
        <v>80.400000000000006</v>
      </c>
      <c r="S115">
        <v>56.5</v>
      </c>
      <c r="T115">
        <v>43.5</v>
      </c>
      <c r="U115">
        <v>50</v>
      </c>
      <c r="V115">
        <v>58.3</v>
      </c>
      <c r="W115">
        <v>41.7</v>
      </c>
    </row>
    <row r="116" spans="2:23" hidden="1" x14ac:dyDescent="0.25">
      <c r="B116" t="s">
        <v>470</v>
      </c>
      <c r="C116" t="s">
        <v>396</v>
      </c>
      <c r="D116" s="13">
        <v>0.33333333333333331</v>
      </c>
      <c r="E116" t="s">
        <v>471</v>
      </c>
      <c r="F116" t="s">
        <v>472</v>
      </c>
      <c r="H116">
        <v>55.1</v>
      </c>
      <c r="I116">
        <v>25.3</v>
      </c>
      <c r="J116">
        <v>19.600000000000001</v>
      </c>
      <c r="K116">
        <v>80.400000000000006</v>
      </c>
      <c r="L116">
        <v>44.9</v>
      </c>
      <c r="M116">
        <v>74.7</v>
      </c>
      <c r="N116">
        <v>42.1</v>
      </c>
      <c r="O116">
        <v>39.700000000000003</v>
      </c>
      <c r="P116">
        <v>18.2</v>
      </c>
      <c r="Q116">
        <v>73.3</v>
      </c>
      <c r="R116">
        <v>79.5</v>
      </c>
      <c r="S116">
        <v>55.3</v>
      </c>
      <c r="T116">
        <v>44.7</v>
      </c>
      <c r="U116">
        <v>51.8</v>
      </c>
      <c r="V116">
        <v>55.6</v>
      </c>
      <c r="W116">
        <v>44.4</v>
      </c>
    </row>
    <row r="117" spans="2:23" hidden="1" x14ac:dyDescent="0.25">
      <c r="B117" t="s">
        <v>283</v>
      </c>
      <c r="C117" t="s">
        <v>396</v>
      </c>
      <c r="D117" s="13">
        <v>0.33333333333333331</v>
      </c>
      <c r="E117" t="s">
        <v>473</v>
      </c>
      <c r="F117" t="s">
        <v>474</v>
      </c>
      <c r="H117">
        <v>37.200000000000003</v>
      </c>
      <c r="I117">
        <v>28.9</v>
      </c>
      <c r="J117">
        <v>33.9</v>
      </c>
      <c r="K117">
        <v>66.099999999999994</v>
      </c>
      <c r="L117">
        <v>62.8</v>
      </c>
      <c r="M117">
        <v>71.099999999999994</v>
      </c>
      <c r="N117">
        <v>26.9</v>
      </c>
      <c r="O117">
        <v>46.2</v>
      </c>
      <c r="P117">
        <v>26.9</v>
      </c>
      <c r="Q117">
        <v>65.7</v>
      </c>
      <c r="R117">
        <v>75.8</v>
      </c>
      <c r="S117">
        <v>49.9</v>
      </c>
      <c r="T117">
        <v>50.1</v>
      </c>
      <c r="U117">
        <v>55.6</v>
      </c>
      <c r="V117">
        <v>55.6</v>
      </c>
      <c r="W117">
        <v>44.4</v>
      </c>
    </row>
    <row r="118" spans="2:23" hidden="1" x14ac:dyDescent="0.25">
      <c r="B118" t="s">
        <v>283</v>
      </c>
      <c r="C118" t="s">
        <v>396</v>
      </c>
      <c r="D118" s="13">
        <v>0.33333333333333331</v>
      </c>
      <c r="E118" t="s">
        <v>475</v>
      </c>
      <c r="F118" t="s">
        <v>180</v>
      </c>
      <c r="H118">
        <v>37.6</v>
      </c>
      <c r="I118">
        <v>26.3</v>
      </c>
      <c r="J118">
        <v>36.1</v>
      </c>
      <c r="K118">
        <v>63.9</v>
      </c>
      <c r="L118">
        <v>62.4</v>
      </c>
      <c r="M118">
        <v>73.7</v>
      </c>
      <c r="N118">
        <v>32</v>
      </c>
      <c r="O118">
        <v>37.9</v>
      </c>
      <c r="P118">
        <v>30.1</v>
      </c>
      <c r="Q118">
        <v>78.5</v>
      </c>
      <c r="R118">
        <v>85.4</v>
      </c>
      <c r="S118">
        <v>64.599999999999994</v>
      </c>
      <c r="T118">
        <v>35.4</v>
      </c>
      <c r="U118">
        <v>40.9</v>
      </c>
      <c r="V118">
        <v>66.900000000000006</v>
      </c>
      <c r="W118">
        <v>33.1</v>
      </c>
    </row>
    <row r="119" spans="2:23" hidden="1" x14ac:dyDescent="0.25">
      <c r="B119" t="s">
        <v>459</v>
      </c>
      <c r="C119" t="s">
        <v>396</v>
      </c>
      <c r="D119" s="13">
        <v>0.35416666666666669</v>
      </c>
      <c r="E119" t="s">
        <v>476</v>
      </c>
      <c r="F119" t="s">
        <v>477</v>
      </c>
      <c r="H119">
        <v>26.5</v>
      </c>
      <c r="I119">
        <v>27.8</v>
      </c>
      <c r="J119">
        <v>45.7</v>
      </c>
      <c r="K119">
        <v>54.3</v>
      </c>
      <c r="L119">
        <v>73.5</v>
      </c>
      <c r="M119">
        <v>72.2</v>
      </c>
      <c r="N119">
        <v>18.2</v>
      </c>
      <c r="O119">
        <v>40.799999999999997</v>
      </c>
      <c r="P119">
        <v>40.9</v>
      </c>
      <c r="Q119">
        <v>72.400000000000006</v>
      </c>
      <c r="R119">
        <v>79.2</v>
      </c>
      <c r="S119">
        <v>54.6</v>
      </c>
      <c r="T119">
        <v>45.4</v>
      </c>
      <c r="U119">
        <v>51.4</v>
      </c>
      <c r="V119">
        <v>58.2</v>
      </c>
      <c r="W119">
        <v>41.8</v>
      </c>
    </row>
    <row r="120" spans="2:23" hidden="1" x14ac:dyDescent="0.25">
      <c r="B120" t="s">
        <v>459</v>
      </c>
      <c r="C120" t="s">
        <v>396</v>
      </c>
      <c r="D120" s="13">
        <v>0.35416666666666669</v>
      </c>
      <c r="E120" t="s">
        <v>478</v>
      </c>
      <c r="F120" t="s">
        <v>479</v>
      </c>
      <c r="H120">
        <v>34.4</v>
      </c>
      <c r="I120">
        <v>29.8</v>
      </c>
      <c r="J120">
        <v>35.9</v>
      </c>
      <c r="K120">
        <v>64.099999999999994</v>
      </c>
      <c r="L120">
        <v>65.599999999999994</v>
      </c>
      <c r="M120">
        <v>70.2</v>
      </c>
      <c r="N120">
        <v>25.9</v>
      </c>
      <c r="O120">
        <v>46</v>
      </c>
      <c r="P120">
        <v>28.1</v>
      </c>
      <c r="Q120">
        <v>66</v>
      </c>
      <c r="R120">
        <v>73.2</v>
      </c>
      <c r="S120">
        <v>46.5</v>
      </c>
      <c r="T120">
        <v>53.5</v>
      </c>
      <c r="U120">
        <v>58.9</v>
      </c>
      <c r="V120">
        <v>53</v>
      </c>
      <c r="W120">
        <v>47</v>
      </c>
    </row>
    <row r="121" spans="2:23" hidden="1" x14ac:dyDescent="0.25">
      <c r="B121" t="s">
        <v>459</v>
      </c>
      <c r="C121" t="s">
        <v>396</v>
      </c>
      <c r="D121" s="13">
        <v>0.35416666666666669</v>
      </c>
      <c r="E121" t="s">
        <v>480</v>
      </c>
      <c r="F121" t="s">
        <v>481</v>
      </c>
      <c r="H121">
        <v>33.1</v>
      </c>
      <c r="I121">
        <v>30.9</v>
      </c>
      <c r="J121">
        <v>36</v>
      </c>
      <c r="K121">
        <v>64</v>
      </c>
      <c r="L121">
        <v>66.900000000000006</v>
      </c>
      <c r="M121">
        <v>69.099999999999994</v>
      </c>
      <c r="N121">
        <v>35.299999999999997</v>
      </c>
      <c r="O121">
        <v>42.5</v>
      </c>
      <c r="P121">
        <v>22.2</v>
      </c>
      <c r="Q121">
        <v>70.599999999999994</v>
      </c>
      <c r="R121">
        <v>69.400000000000006</v>
      </c>
      <c r="S121">
        <v>41.8</v>
      </c>
      <c r="T121">
        <v>58.2</v>
      </c>
      <c r="U121">
        <v>63.4</v>
      </c>
      <c r="V121">
        <v>49.2</v>
      </c>
      <c r="W121">
        <v>50.8</v>
      </c>
    </row>
    <row r="122" spans="2:23" hidden="1" x14ac:dyDescent="0.25">
      <c r="B122" t="s">
        <v>482</v>
      </c>
      <c r="C122" t="s">
        <v>396</v>
      </c>
      <c r="D122" s="13">
        <v>0.35416666666666669</v>
      </c>
      <c r="E122" t="s">
        <v>483</v>
      </c>
      <c r="F122" t="s">
        <v>484</v>
      </c>
      <c r="H122">
        <v>42.1</v>
      </c>
      <c r="I122">
        <v>25.7</v>
      </c>
      <c r="J122">
        <v>32.1</v>
      </c>
      <c r="K122">
        <v>67.900000000000006</v>
      </c>
      <c r="L122">
        <v>57.9</v>
      </c>
      <c r="M122">
        <v>74.3</v>
      </c>
      <c r="N122">
        <v>30.1</v>
      </c>
      <c r="O122">
        <v>37.4</v>
      </c>
      <c r="P122">
        <v>32.5</v>
      </c>
      <c r="Q122">
        <v>79.3</v>
      </c>
      <c r="R122">
        <v>87.2</v>
      </c>
      <c r="S122">
        <v>67.7</v>
      </c>
      <c r="T122">
        <v>32.299999999999997</v>
      </c>
      <c r="U122">
        <v>37.700000000000003</v>
      </c>
      <c r="V122">
        <v>69.099999999999994</v>
      </c>
      <c r="W122">
        <v>30.9</v>
      </c>
    </row>
    <row r="123" spans="2:23" hidden="1" x14ac:dyDescent="0.25">
      <c r="B123" t="s">
        <v>239</v>
      </c>
      <c r="C123" t="s">
        <v>396</v>
      </c>
      <c r="D123" s="13">
        <v>0.3576388888888889</v>
      </c>
      <c r="E123" t="s">
        <v>485</v>
      </c>
      <c r="F123" t="s">
        <v>486</v>
      </c>
      <c r="H123">
        <v>57.3</v>
      </c>
      <c r="I123">
        <v>24.1</v>
      </c>
      <c r="J123">
        <v>18.600000000000001</v>
      </c>
      <c r="K123">
        <v>81.400000000000006</v>
      </c>
      <c r="L123">
        <v>42.7</v>
      </c>
      <c r="M123">
        <v>75.900000000000006</v>
      </c>
      <c r="N123">
        <v>48.9</v>
      </c>
      <c r="O123">
        <v>38.1</v>
      </c>
      <c r="P123">
        <v>13</v>
      </c>
      <c r="Q123">
        <v>72.7</v>
      </c>
      <c r="R123">
        <v>84.3</v>
      </c>
      <c r="S123">
        <v>62.8</v>
      </c>
      <c r="T123">
        <v>37.200000000000003</v>
      </c>
      <c r="U123">
        <v>44.4</v>
      </c>
      <c r="V123">
        <v>60.8</v>
      </c>
      <c r="W123">
        <v>39.200000000000003</v>
      </c>
    </row>
    <row r="124" spans="2:23" hidden="1" x14ac:dyDescent="0.25">
      <c r="B124" t="s">
        <v>273</v>
      </c>
      <c r="C124" t="s">
        <v>396</v>
      </c>
      <c r="D124" s="13">
        <v>0.375</v>
      </c>
      <c r="E124" t="s">
        <v>487</v>
      </c>
      <c r="F124" t="s">
        <v>488</v>
      </c>
      <c r="H124">
        <v>46.6</v>
      </c>
      <c r="I124">
        <v>27.4</v>
      </c>
      <c r="J124">
        <v>26</v>
      </c>
      <c r="K124">
        <v>74</v>
      </c>
      <c r="L124">
        <v>53.4</v>
      </c>
      <c r="M124">
        <v>72.599999999999994</v>
      </c>
      <c r="N124">
        <v>44.5</v>
      </c>
      <c r="O124">
        <v>38.799999999999997</v>
      </c>
      <c r="P124">
        <v>16.8</v>
      </c>
      <c r="Q124">
        <v>73.900000000000006</v>
      </c>
      <c r="R124">
        <v>77.3</v>
      </c>
      <c r="S124">
        <v>52</v>
      </c>
      <c r="T124">
        <v>48</v>
      </c>
      <c r="U124">
        <v>54.1</v>
      </c>
      <c r="V124">
        <v>55.9</v>
      </c>
      <c r="W124">
        <v>44.1</v>
      </c>
    </row>
    <row r="125" spans="2:23" hidden="1" x14ac:dyDescent="0.25">
      <c r="B125" t="s">
        <v>273</v>
      </c>
      <c r="C125" t="s">
        <v>396</v>
      </c>
      <c r="D125" s="13">
        <v>0.375</v>
      </c>
      <c r="E125" t="s">
        <v>489</v>
      </c>
      <c r="F125" t="s">
        <v>490</v>
      </c>
      <c r="H125">
        <v>58</v>
      </c>
      <c r="I125">
        <v>23.8</v>
      </c>
      <c r="J125">
        <v>18.2</v>
      </c>
      <c r="K125">
        <v>81.8</v>
      </c>
      <c r="L125">
        <v>42</v>
      </c>
      <c r="M125">
        <v>76.2</v>
      </c>
      <c r="N125">
        <v>47.7</v>
      </c>
      <c r="O125">
        <v>38.299999999999997</v>
      </c>
      <c r="P125">
        <v>14.1</v>
      </c>
      <c r="Q125">
        <v>73.2</v>
      </c>
      <c r="R125">
        <v>85.4</v>
      </c>
      <c r="S125">
        <v>64.7</v>
      </c>
      <c r="T125">
        <v>35.299999999999997</v>
      </c>
      <c r="U125">
        <v>42.5</v>
      </c>
      <c r="V125">
        <v>62.1</v>
      </c>
      <c r="W125">
        <v>37.9</v>
      </c>
    </row>
    <row r="126" spans="2:23" hidden="1" x14ac:dyDescent="0.25">
      <c r="B126" t="s">
        <v>273</v>
      </c>
      <c r="C126" t="s">
        <v>396</v>
      </c>
      <c r="D126" s="13">
        <v>0.375</v>
      </c>
      <c r="E126" t="s">
        <v>491</v>
      </c>
      <c r="F126" t="s">
        <v>492</v>
      </c>
      <c r="H126">
        <v>50.6</v>
      </c>
      <c r="I126">
        <v>26.6</v>
      </c>
      <c r="J126">
        <v>22.9</v>
      </c>
      <c r="K126">
        <v>77.099999999999994</v>
      </c>
      <c r="L126">
        <v>49.4</v>
      </c>
      <c r="M126">
        <v>73.400000000000006</v>
      </c>
      <c r="N126">
        <v>31.2</v>
      </c>
      <c r="O126">
        <v>41.7</v>
      </c>
      <c r="P126">
        <v>27.1</v>
      </c>
      <c r="Q126">
        <v>72.5</v>
      </c>
      <c r="R126">
        <v>78.099999999999994</v>
      </c>
      <c r="S126">
        <v>53.1</v>
      </c>
      <c r="T126">
        <v>46.9</v>
      </c>
      <c r="U126">
        <v>53.4</v>
      </c>
      <c r="V126">
        <v>55.6</v>
      </c>
      <c r="W126">
        <v>44.4</v>
      </c>
    </row>
    <row r="127" spans="2:23" hidden="1" x14ac:dyDescent="0.25">
      <c r="B127" t="s">
        <v>276</v>
      </c>
      <c r="C127" t="s">
        <v>396</v>
      </c>
      <c r="D127" s="13">
        <v>0.375</v>
      </c>
      <c r="E127" t="s">
        <v>493</v>
      </c>
      <c r="F127" t="s">
        <v>494</v>
      </c>
      <c r="H127">
        <v>24.7</v>
      </c>
      <c r="I127">
        <v>30.2</v>
      </c>
      <c r="J127">
        <v>45.2</v>
      </c>
      <c r="K127">
        <v>54.8</v>
      </c>
      <c r="L127">
        <v>75.3</v>
      </c>
      <c r="M127">
        <v>69.8</v>
      </c>
      <c r="N127">
        <v>17.399999999999999</v>
      </c>
      <c r="O127">
        <v>52.1</v>
      </c>
      <c r="P127">
        <v>30.5</v>
      </c>
      <c r="Q127">
        <v>56.4</v>
      </c>
      <c r="R127">
        <v>70.900000000000006</v>
      </c>
      <c r="S127">
        <v>43.6</v>
      </c>
      <c r="T127">
        <v>56.4</v>
      </c>
      <c r="U127">
        <v>62.2</v>
      </c>
      <c r="V127">
        <v>49.2</v>
      </c>
      <c r="W127">
        <v>50.8</v>
      </c>
    </row>
    <row r="128" spans="2:23" hidden="1" x14ac:dyDescent="0.25">
      <c r="B128" t="s">
        <v>276</v>
      </c>
      <c r="C128" t="s">
        <v>396</v>
      </c>
      <c r="D128" s="13">
        <v>0.375</v>
      </c>
      <c r="E128" t="s">
        <v>495</v>
      </c>
      <c r="F128" t="s">
        <v>496</v>
      </c>
      <c r="H128">
        <v>76.599999999999994</v>
      </c>
      <c r="I128">
        <v>19.3</v>
      </c>
      <c r="J128">
        <v>4.0999999999999996</v>
      </c>
      <c r="K128">
        <v>95.9</v>
      </c>
      <c r="L128">
        <v>23.4</v>
      </c>
      <c r="M128">
        <v>80.7</v>
      </c>
      <c r="N128">
        <v>69.099999999999994</v>
      </c>
      <c r="O128">
        <v>27.6</v>
      </c>
      <c r="P128">
        <v>3.3</v>
      </c>
      <c r="Q128">
        <v>77.099999999999994</v>
      </c>
      <c r="R128">
        <v>88.1</v>
      </c>
      <c r="S128">
        <v>70.099999999999994</v>
      </c>
      <c r="T128">
        <v>29.9</v>
      </c>
      <c r="U128">
        <v>42.6</v>
      </c>
      <c r="V128">
        <v>46.9</v>
      </c>
      <c r="W128">
        <v>53.1</v>
      </c>
    </row>
    <row r="129" spans="2:23" hidden="1" x14ac:dyDescent="0.25">
      <c r="B129" t="s">
        <v>497</v>
      </c>
      <c r="C129" t="s">
        <v>396</v>
      </c>
      <c r="D129" s="13">
        <v>0.375</v>
      </c>
      <c r="E129" t="s">
        <v>498</v>
      </c>
      <c r="F129" t="s">
        <v>499</v>
      </c>
      <c r="H129">
        <v>60</v>
      </c>
      <c r="I129">
        <v>24.4</v>
      </c>
      <c r="J129">
        <v>15.6</v>
      </c>
      <c r="K129">
        <v>84.4</v>
      </c>
      <c r="L129">
        <v>40</v>
      </c>
      <c r="M129">
        <v>75.599999999999994</v>
      </c>
      <c r="N129">
        <v>37.9</v>
      </c>
      <c r="O129">
        <v>39.1</v>
      </c>
      <c r="P129">
        <v>22.9</v>
      </c>
      <c r="Q129">
        <v>75.599999999999994</v>
      </c>
      <c r="R129">
        <v>93.6</v>
      </c>
      <c r="S129">
        <v>80.7</v>
      </c>
      <c r="T129">
        <v>19.3</v>
      </c>
      <c r="U129">
        <v>25.3</v>
      </c>
      <c r="V129">
        <v>74.2</v>
      </c>
      <c r="W129">
        <v>25.8</v>
      </c>
    </row>
    <row r="130" spans="2:23" hidden="1" x14ac:dyDescent="0.25">
      <c r="B130" t="s">
        <v>239</v>
      </c>
      <c r="C130" t="s">
        <v>396</v>
      </c>
      <c r="D130" s="13">
        <v>0.375</v>
      </c>
      <c r="E130" t="s">
        <v>500</v>
      </c>
      <c r="F130" t="s">
        <v>501</v>
      </c>
      <c r="H130">
        <v>44.5</v>
      </c>
      <c r="I130">
        <v>29</v>
      </c>
      <c r="J130">
        <v>26.5</v>
      </c>
      <c r="K130">
        <v>73.5</v>
      </c>
      <c r="L130">
        <v>55.5</v>
      </c>
      <c r="M130">
        <v>71</v>
      </c>
      <c r="N130">
        <v>39</v>
      </c>
      <c r="O130">
        <v>45.5</v>
      </c>
      <c r="P130">
        <v>15.5</v>
      </c>
      <c r="Q130">
        <v>64.2</v>
      </c>
      <c r="R130">
        <v>72.5</v>
      </c>
      <c r="S130">
        <v>45.5</v>
      </c>
      <c r="T130">
        <v>54.5</v>
      </c>
      <c r="U130">
        <v>60.2</v>
      </c>
      <c r="V130">
        <v>51.1</v>
      </c>
      <c r="W130">
        <v>48.9</v>
      </c>
    </row>
    <row r="131" spans="2:23" hidden="1" x14ac:dyDescent="0.25">
      <c r="B131" t="s">
        <v>459</v>
      </c>
      <c r="C131" t="s">
        <v>396</v>
      </c>
      <c r="D131" s="13">
        <v>0.375</v>
      </c>
      <c r="E131" t="s">
        <v>502</v>
      </c>
      <c r="F131" t="s">
        <v>503</v>
      </c>
      <c r="H131">
        <v>48.2</v>
      </c>
      <c r="I131">
        <v>28.5</v>
      </c>
      <c r="J131">
        <v>23.3</v>
      </c>
      <c r="K131">
        <v>76.7</v>
      </c>
      <c r="L131">
        <v>51.8</v>
      </c>
      <c r="M131">
        <v>71.5</v>
      </c>
      <c r="N131">
        <v>32.799999999999997</v>
      </c>
      <c r="O131">
        <v>47</v>
      </c>
      <c r="P131">
        <v>20.2</v>
      </c>
      <c r="Q131">
        <v>63.6</v>
      </c>
      <c r="R131">
        <v>71.8</v>
      </c>
      <c r="S131">
        <v>44.8</v>
      </c>
      <c r="T131">
        <v>55.2</v>
      </c>
      <c r="U131">
        <v>61.3</v>
      </c>
      <c r="V131">
        <v>49.5</v>
      </c>
      <c r="W131">
        <v>50.5</v>
      </c>
    </row>
    <row r="132" spans="2:23" hidden="1" x14ac:dyDescent="0.25">
      <c r="B132" t="s">
        <v>462</v>
      </c>
      <c r="C132" t="s">
        <v>396</v>
      </c>
      <c r="D132" s="13">
        <v>0.375</v>
      </c>
      <c r="E132" t="s">
        <v>504</v>
      </c>
      <c r="F132" t="s">
        <v>505</v>
      </c>
      <c r="H132">
        <v>61.9</v>
      </c>
      <c r="I132">
        <v>23.5</v>
      </c>
      <c r="J132">
        <v>14.6</v>
      </c>
      <c r="K132">
        <v>85.4</v>
      </c>
      <c r="L132">
        <v>38.1</v>
      </c>
      <c r="M132">
        <v>76.5</v>
      </c>
      <c r="N132">
        <v>43</v>
      </c>
      <c r="O132">
        <v>46.5</v>
      </c>
      <c r="P132">
        <v>10.5</v>
      </c>
      <c r="Q132">
        <v>60.7</v>
      </c>
      <c r="R132">
        <v>80</v>
      </c>
      <c r="S132">
        <v>56.1</v>
      </c>
      <c r="T132">
        <v>43.9</v>
      </c>
      <c r="U132">
        <v>52.2</v>
      </c>
      <c r="V132">
        <v>52.6</v>
      </c>
      <c r="W132">
        <v>47.4</v>
      </c>
    </row>
    <row r="133" spans="2:23" hidden="1" x14ac:dyDescent="0.25">
      <c r="B133" t="s">
        <v>506</v>
      </c>
      <c r="C133" t="s">
        <v>396</v>
      </c>
      <c r="D133" s="13">
        <v>0.375</v>
      </c>
      <c r="E133" t="s">
        <v>507</v>
      </c>
      <c r="F133" t="s">
        <v>508</v>
      </c>
      <c r="H133">
        <v>28</v>
      </c>
      <c r="I133">
        <v>30.6</v>
      </c>
      <c r="J133">
        <v>41.4</v>
      </c>
      <c r="K133">
        <v>58.6</v>
      </c>
      <c r="L133">
        <v>72</v>
      </c>
      <c r="M133">
        <v>69.400000000000006</v>
      </c>
      <c r="N133">
        <v>18.600000000000001</v>
      </c>
      <c r="O133">
        <v>51.5</v>
      </c>
      <c r="P133">
        <v>29.9</v>
      </c>
      <c r="Q133">
        <v>57.4</v>
      </c>
      <c r="R133">
        <v>70.3</v>
      </c>
      <c r="S133">
        <v>42.8</v>
      </c>
      <c r="T133">
        <v>57.2</v>
      </c>
      <c r="U133">
        <v>62.6</v>
      </c>
      <c r="V133">
        <v>49.4</v>
      </c>
      <c r="W133">
        <v>50.6</v>
      </c>
    </row>
    <row r="134" spans="2:23" hidden="1" x14ac:dyDescent="0.25">
      <c r="B134" t="s">
        <v>246</v>
      </c>
      <c r="C134" t="s">
        <v>396</v>
      </c>
      <c r="D134" s="13">
        <v>0.375</v>
      </c>
      <c r="E134" t="s">
        <v>509</v>
      </c>
      <c r="F134" t="s">
        <v>510</v>
      </c>
      <c r="H134">
        <v>32</v>
      </c>
      <c r="I134">
        <v>28.1</v>
      </c>
      <c r="J134">
        <v>39.9</v>
      </c>
      <c r="K134">
        <v>60.1</v>
      </c>
      <c r="L134">
        <v>68</v>
      </c>
      <c r="M134">
        <v>71.900000000000006</v>
      </c>
      <c r="N134">
        <v>30.3</v>
      </c>
      <c r="O134">
        <v>41.6</v>
      </c>
      <c r="P134">
        <v>28.1</v>
      </c>
      <c r="Q134">
        <v>72.7</v>
      </c>
      <c r="R134">
        <v>78.900000000000006</v>
      </c>
      <c r="S134">
        <v>54.2</v>
      </c>
      <c r="T134">
        <v>45.8</v>
      </c>
      <c r="U134">
        <v>51.4</v>
      </c>
      <c r="V134">
        <v>58.8</v>
      </c>
      <c r="W134">
        <v>41.2</v>
      </c>
    </row>
    <row r="135" spans="2:23" hidden="1" x14ac:dyDescent="0.25">
      <c r="B135" t="s">
        <v>511</v>
      </c>
      <c r="C135" t="s">
        <v>396</v>
      </c>
      <c r="D135" s="13">
        <v>0.375</v>
      </c>
      <c r="E135" t="s">
        <v>512</v>
      </c>
      <c r="F135" t="s">
        <v>513</v>
      </c>
      <c r="H135">
        <v>33</v>
      </c>
      <c r="I135">
        <v>25.5</v>
      </c>
      <c r="J135">
        <v>41.5</v>
      </c>
      <c r="K135">
        <v>58.5</v>
      </c>
      <c r="L135">
        <v>67</v>
      </c>
      <c r="M135">
        <v>74.5</v>
      </c>
      <c r="N135">
        <v>24.8</v>
      </c>
      <c r="O135">
        <v>38.4</v>
      </c>
      <c r="P135">
        <v>36.799999999999997</v>
      </c>
      <c r="Q135">
        <v>77.599999999999994</v>
      </c>
      <c r="R135">
        <v>90.3</v>
      </c>
      <c r="S135">
        <v>73.599999999999994</v>
      </c>
      <c r="T135">
        <v>26.4</v>
      </c>
      <c r="U135">
        <v>31.5</v>
      </c>
      <c r="V135">
        <v>73.7</v>
      </c>
      <c r="W135">
        <v>26.3</v>
      </c>
    </row>
    <row r="136" spans="2:23" hidden="1" x14ac:dyDescent="0.25">
      <c r="B136" t="s">
        <v>256</v>
      </c>
      <c r="C136" t="s">
        <v>396</v>
      </c>
      <c r="D136" s="13">
        <v>0.375</v>
      </c>
      <c r="E136" t="s">
        <v>514</v>
      </c>
      <c r="F136" t="s">
        <v>515</v>
      </c>
      <c r="H136">
        <v>19.899999999999999</v>
      </c>
      <c r="I136">
        <v>28.9</v>
      </c>
      <c r="J136">
        <v>51.2</v>
      </c>
      <c r="K136">
        <v>48.8</v>
      </c>
      <c r="L136">
        <v>80.099999999999994</v>
      </c>
      <c r="M136">
        <v>71.099999999999994</v>
      </c>
      <c r="N136">
        <v>9.3000000000000007</v>
      </c>
      <c r="O136">
        <v>42.6</v>
      </c>
      <c r="P136">
        <v>48.1</v>
      </c>
      <c r="Q136">
        <v>65.7</v>
      </c>
      <c r="R136">
        <v>72.5</v>
      </c>
      <c r="S136">
        <v>45.7</v>
      </c>
      <c r="T136">
        <v>54.3</v>
      </c>
      <c r="U136">
        <v>60.9</v>
      </c>
      <c r="V136">
        <v>48.8</v>
      </c>
      <c r="W136">
        <v>51.2</v>
      </c>
    </row>
    <row r="137" spans="2:23" hidden="1" x14ac:dyDescent="0.25">
      <c r="B137" t="s">
        <v>288</v>
      </c>
      <c r="C137" t="s">
        <v>396</v>
      </c>
      <c r="D137" s="13">
        <v>0.40625</v>
      </c>
      <c r="E137" t="s">
        <v>516</v>
      </c>
      <c r="F137" t="s">
        <v>517</v>
      </c>
      <c r="H137">
        <v>43.3</v>
      </c>
      <c r="I137">
        <v>25.3</v>
      </c>
      <c r="J137">
        <v>31.4</v>
      </c>
      <c r="K137">
        <v>68.599999999999994</v>
      </c>
      <c r="L137">
        <v>56.7</v>
      </c>
      <c r="M137">
        <v>74.7</v>
      </c>
      <c r="N137">
        <v>38.1</v>
      </c>
      <c r="O137">
        <v>33.6</v>
      </c>
      <c r="P137">
        <v>28.3</v>
      </c>
      <c r="Q137">
        <v>84.8</v>
      </c>
      <c r="R137">
        <v>89.7</v>
      </c>
      <c r="S137">
        <v>72.3</v>
      </c>
      <c r="T137">
        <v>27.7</v>
      </c>
      <c r="U137">
        <v>33</v>
      </c>
      <c r="V137">
        <v>72.5</v>
      </c>
      <c r="W137">
        <v>27.5</v>
      </c>
    </row>
    <row r="138" spans="2:23" hidden="1" x14ac:dyDescent="0.25">
      <c r="B138" t="s">
        <v>300</v>
      </c>
      <c r="C138" t="s">
        <v>396</v>
      </c>
      <c r="D138" s="13">
        <v>0.40625</v>
      </c>
      <c r="E138" t="s">
        <v>518</v>
      </c>
      <c r="F138" t="s">
        <v>519</v>
      </c>
      <c r="H138">
        <v>57.5</v>
      </c>
      <c r="I138">
        <v>23.9</v>
      </c>
      <c r="J138">
        <v>18.600000000000001</v>
      </c>
      <c r="K138">
        <v>81.400000000000006</v>
      </c>
      <c r="L138">
        <v>42.5</v>
      </c>
      <c r="M138">
        <v>76.099999999999994</v>
      </c>
      <c r="N138">
        <v>26.1</v>
      </c>
      <c r="O138">
        <v>45.8</v>
      </c>
      <c r="P138">
        <v>28.1</v>
      </c>
      <c r="Q138">
        <v>66.2</v>
      </c>
      <c r="R138">
        <v>85.3</v>
      </c>
      <c r="S138">
        <v>64.5</v>
      </c>
      <c r="T138">
        <v>35.5</v>
      </c>
      <c r="U138">
        <v>42.6</v>
      </c>
      <c r="V138">
        <v>62.2</v>
      </c>
      <c r="W138">
        <v>37.799999999999997</v>
      </c>
    </row>
    <row r="139" spans="2:23" hidden="1" x14ac:dyDescent="0.25">
      <c r="B139" t="s">
        <v>250</v>
      </c>
      <c r="C139" t="s">
        <v>396</v>
      </c>
      <c r="D139" s="13">
        <v>0.41666666666666669</v>
      </c>
      <c r="E139" t="s">
        <v>193</v>
      </c>
      <c r="F139" t="s">
        <v>174</v>
      </c>
      <c r="H139">
        <v>64</v>
      </c>
      <c r="I139">
        <v>22.8</v>
      </c>
      <c r="J139">
        <v>13.2</v>
      </c>
      <c r="K139">
        <v>86.8</v>
      </c>
      <c r="L139">
        <v>36</v>
      </c>
      <c r="M139">
        <v>77.2</v>
      </c>
      <c r="N139">
        <v>41</v>
      </c>
      <c r="O139">
        <v>39.4</v>
      </c>
      <c r="P139">
        <v>19.600000000000001</v>
      </c>
      <c r="Q139">
        <v>74.2</v>
      </c>
      <c r="R139">
        <v>80.7</v>
      </c>
      <c r="S139">
        <v>57.3</v>
      </c>
      <c r="T139">
        <v>42.7</v>
      </c>
      <c r="U139">
        <v>51.5</v>
      </c>
      <c r="V139">
        <v>52.1</v>
      </c>
      <c r="W139">
        <v>47.9</v>
      </c>
    </row>
    <row r="140" spans="2:23" hidden="1" x14ac:dyDescent="0.25">
      <c r="B140" t="s">
        <v>450</v>
      </c>
      <c r="C140" t="s">
        <v>396</v>
      </c>
      <c r="D140" s="13">
        <v>0.41666666666666669</v>
      </c>
      <c r="E140" t="s">
        <v>520</v>
      </c>
      <c r="F140" t="s">
        <v>521</v>
      </c>
      <c r="H140">
        <v>50.3</v>
      </c>
      <c r="I140">
        <v>27.9</v>
      </c>
      <c r="J140">
        <v>21.7</v>
      </c>
      <c r="K140">
        <v>78.3</v>
      </c>
      <c r="L140">
        <v>49.7</v>
      </c>
      <c r="M140">
        <v>72.099999999999994</v>
      </c>
      <c r="N140">
        <v>40.1</v>
      </c>
      <c r="O140">
        <v>46.8</v>
      </c>
      <c r="P140">
        <v>13.2</v>
      </c>
      <c r="Q140">
        <v>61.6</v>
      </c>
      <c r="R140">
        <v>72.3</v>
      </c>
      <c r="S140">
        <v>45.4</v>
      </c>
      <c r="T140">
        <v>54.6</v>
      </c>
      <c r="U140">
        <v>61</v>
      </c>
      <c r="V140">
        <v>49.2</v>
      </c>
      <c r="W140">
        <v>50.8</v>
      </c>
    </row>
    <row r="141" spans="2:23" hidden="1" x14ac:dyDescent="0.25">
      <c r="B141" t="s">
        <v>259</v>
      </c>
      <c r="C141" t="s">
        <v>396</v>
      </c>
      <c r="D141" s="13">
        <v>0.41666666666666669</v>
      </c>
      <c r="E141" t="s">
        <v>522</v>
      </c>
      <c r="F141" t="s">
        <v>91</v>
      </c>
      <c r="H141">
        <v>26.5</v>
      </c>
      <c r="I141">
        <v>30.2</v>
      </c>
      <c r="J141">
        <v>43.4</v>
      </c>
      <c r="K141">
        <v>56.6</v>
      </c>
      <c r="L141">
        <v>73.5</v>
      </c>
      <c r="M141">
        <v>69.8</v>
      </c>
      <c r="N141">
        <v>26.5</v>
      </c>
      <c r="O141">
        <v>46.3</v>
      </c>
      <c r="P141">
        <v>27.2</v>
      </c>
      <c r="Q141">
        <v>65.599999999999994</v>
      </c>
      <c r="R141">
        <v>71.400000000000006</v>
      </c>
      <c r="S141">
        <v>44.3</v>
      </c>
      <c r="T141">
        <v>55.7</v>
      </c>
      <c r="U141">
        <v>61.4</v>
      </c>
      <c r="V141">
        <v>50.2</v>
      </c>
      <c r="W141">
        <v>49.8</v>
      </c>
    </row>
    <row r="142" spans="2:23" hidden="1" x14ac:dyDescent="0.25">
      <c r="B142" t="s">
        <v>523</v>
      </c>
      <c r="C142" t="s">
        <v>396</v>
      </c>
      <c r="D142" s="13">
        <v>0.41666666666666669</v>
      </c>
      <c r="E142" t="s">
        <v>524</v>
      </c>
      <c r="F142" t="s">
        <v>525</v>
      </c>
      <c r="H142">
        <v>46.5</v>
      </c>
      <c r="I142">
        <v>28.2</v>
      </c>
      <c r="J142">
        <v>25.3</v>
      </c>
      <c r="K142">
        <v>74.7</v>
      </c>
      <c r="L142">
        <v>53.5</v>
      </c>
      <c r="M142">
        <v>71.8</v>
      </c>
      <c r="N142">
        <v>33.200000000000003</v>
      </c>
      <c r="O142">
        <v>41</v>
      </c>
      <c r="P142">
        <v>25.8</v>
      </c>
      <c r="Q142">
        <v>73.3</v>
      </c>
      <c r="R142">
        <v>74.099999999999994</v>
      </c>
      <c r="S142">
        <v>47.7</v>
      </c>
      <c r="T142">
        <v>52.3</v>
      </c>
      <c r="U142">
        <v>58.2</v>
      </c>
      <c r="V142">
        <v>52.4</v>
      </c>
      <c r="W142">
        <v>47.6</v>
      </c>
    </row>
    <row r="143" spans="2:23" hidden="1" x14ac:dyDescent="0.25">
      <c r="B143" t="s">
        <v>523</v>
      </c>
      <c r="C143" t="s">
        <v>396</v>
      </c>
      <c r="D143" s="13">
        <v>0.41666666666666669</v>
      </c>
      <c r="E143" t="s">
        <v>526</v>
      </c>
      <c r="F143" t="s">
        <v>527</v>
      </c>
      <c r="H143">
        <v>32</v>
      </c>
      <c r="I143">
        <v>30.4</v>
      </c>
      <c r="J143">
        <v>37.6</v>
      </c>
      <c r="K143">
        <v>62.4</v>
      </c>
      <c r="L143">
        <v>68</v>
      </c>
      <c r="M143">
        <v>69.599999999999994</v>
      </c>
      <c r="N143">
        <v>21.8</v>
      </c>
      <c r="O143">
        <v>45.3</v>
      </c>
      <c r="P143">
        <v>32.9</v>
      </c>
      <c r="Q143">
        <v>66.7</v>
      </c>
      <c r="R143">
        <v>71.2</v>
      </c>
      <c r="S143">
        <v>43.9</v>
      </c>
      <c r="T143">
        <v>56.1</v>
      </c>
      <c r="U143">
        <v>61.4</v>
      </c>
      <c r="V143">
        <v>50.8</v>
      </c>
      <c r="W143">
        <v>49.2</v>
      </c>
    </row>
    <row r="144" spans="2:23" hidden="1" x14ac:dyDescent="0.25">
      <c r="B144" t="s">
        <v>523</v>
      </c>
      <c r="C144" t="s">
        <v>396</v>
      </c>
      <c r="D144" s="13">
        <v>0.41666666666666669</v>
      </c>
      <c r="E144" t="s">
        <v>528</v>
      </c>
      <c r="F144" t="s">
        <v>529</v>
      </c>
      <c r="H144">
        <v>61.7</v>
      </c>
      <c r="I144">
        <v>23.9</v>
      </c>
      <c r="J144">
        <v>14.4</v>
      </c>
      <c r="K144">
        <v>85.6</v>
      </c>
      <c r="L144">
        <v>38.299999999999997</v>
      </c>
      <c r="M144">
        <v>76.099999999999994</v>
      </c>
      <c r="N144">
        <v>38.6</v>
      </c>
      <c r="O144">
        <v>44.5</v>
      </c>
      <c r="P144">
        <v>16.899999999999999</v>
      </c>
      <c r="Q144">
        <v>66.099999999999994</v>
      </c>
      <c r="R144">
        <v>77.599999999999994</v>
      </c>
      <c r="S144">
        <v>52.7</v>
      </c>
      <c r="T144">
        <v>47.3</v>
      </c>
      <c r="U144">
        <v>55.7</v>
      </c>
      <c r="V144">
        <v>49.7</v>
      </c>
      <c r="W144">
        <v>50.3</v>
      </c>
    </row>
    <row r="145" spans="2:23" hidden="1" x14ac:dyDescent="0.25">
      <c r="B145" t="s">
        <v>255</v>
      </c>
      <c r="C145" t="s">
        <v>396</v>
      </c>
      <c r="D145" s="13">
        <v>0.41666666666666669</v>
      </c>
      <c r="E145" t="s">
        <v>530</v>
      </c>
      <c r="F145" t="s">
        <v>531</v>
      </c>
      <c r="H145">
        <v>21.3</v>
      </c>
      <c r="I145">
        <v>31.3</v>
      </c>
      <c r="J145">
        <v>47.4</v>
      </c>
      <c r="K145">
        <v>52.6</v>
      </c>
      <c r="L145">
        <v>78.7</v>
      </c>
      <c r="M145">
        <v>68.7</v>
      </c>
      <c r="N145">
        <v>22.1</v>
      </c>
      <c r="O145">
        <v>44.5</v>
      </c>
      <c r="P145">
        <v>33.4</v>
      </c>
      <c r="Q145">
        <v>67.900000000000006</v>
      </c>
      <c r="R145">
        <v>66</v>
      </c>
      <c r="S145">
        <v>38</v>
      </c>
      <c r="T145">
        <v>62</v>
      </c>
      <c r="U145">
        <v>67.900000000000006</v>
      </c>
      <c r="V145">
        <v>43.6</v>
      </c>
      <c r="W145">
        <v>56.4</v>
      </c>
    </row>
    <row r="146" spans="2:23" hidden="1" x14ac:dyDescent="0.25">
      <c r="B146" t="s">
        <v>249</v>
      </c>
      <c r="C146" t="s">
        <v>396</v>
      </c>
      <c r="D146" s="13">
        <v>0.41666666666666669</v>
      </c>
      <c r="E146" t="s">
        <v>127</v>
      </c>
      <c r="F146" t="s">
        <v>166</v>
      </c>
      <c r="H146">
        <v>44.3</v>
      </c>
      <c r="I146">
        <v>29</v>
      </c>
      <c r="J146">
        <v>26.7</v>
      </c>
      <c r="K146">
        <v>73.3</v>
      </c>
      <c r="L146">
        <v>55.7</v>
      </c>
      <c r="M146">
        <v>71</v>
      </c>
      <c r="N146">
        <v>25.9</v>
      </c>
      <c r="O146">
        <v>56.9</v>
      </c>
      <c r="P146">
        <v>17.2</v>
      </c>
      <c r="Q146">
        <v>49.7</v>
      </c>
      <c r="R146">
        <v>72.599999999999994</v>
      </c>
      <c r="S146">
        <v>45.7</v>
      </c>
      <c r="T146">
        <v>54.3</v>
      </c>
      <c r="U146">
        <v>60</v>
      </c>
      <c r="V146">
        <v>51.3</v>
      </c>
      <c r="W146">
        <v>48.7</v>
      </c>
    </row>
    <row r="147" spans="2:23" hidden="1" x14ac:dyDescent="0.25">
      <c r="B147" t="s">
        <v>532</v>
      </c>
      <c r="C147" t="s">
        <v>396</v>
      </c>
      <c r="D147" s="13">
        <v>0.41666666666666669</v>
      </c>
      <c r="E147" t="s">
        <v>533</v>
      </c>
      <c r="F147" t="s">
        <v>534</v>
      </c>
      <c r="H147">
        <v>52.5</v>
      </c>
      <c r="I147">
        <v>24.9</v>
      </c>
      <c r="J147">
        <v>22.6</v>
      </c>
      <c r="K147">
        <v>77.400000000000006</v>
      </c>
      <c r="L147">
        <v>47.5</v>
      </c>
      <c r="M147">
        <v>75.099999999999994</v>
      </c>
      <c r="N147">
        <v>39.4</v>
      </c>
      <c r="O147">
        <v>36.200000000000003</v>
      </c>
      <c r="P147">
        <v>24.4</v>
      </c>
      <c r="Q147">
        <v>80.2</v>
      </c>
      <c r="R147">
        <v>84.6</v>
      </c>
      <c r="S147">
        <v>63.1</v>
      </c>
      <c r="T147">
        <v>36.9</v>
      </c>
      <c r="U147">
        <v>43.3</v>
      </c>
      <c r="V147">
        <v>63.1</v>
      </c>
      <c r="W147">
        <v>36.9</v>
      </c>
    </row>
    <row r="148" spans="2:23" hidden="1" x14ac:dyDescent="0.25">
      <c r="B148" t="s">
        <v>532</v>
      </c>
      <c r="C148" t="s">
        <v>396</v>
      </c>
      <c r="D148" s="13">
        <v>0.41666666666666669</v>
      </c>
      <c r="E148" t="s">
        <v>535</v>
      </c>
      <c r="F148" t="s">
        <v>536</v>
      </c>
      <c r="H148">
        <v>55.1</v>
      </c>
      <c r="I148">
        <v>26.4</v>
      </c>
      <c r="J148">
        <v>18.5</v>
      </c>
      <c r="K148">
        <v>81.5</v>
      </c>
      <c r="L148">
        <v>44.9</v>
      </c>
      <c r="M148">
        <v>73.599999999999994</v>
      </c>
      <c r="N148">
        <v>39.9</v>
      </c>
      <c r="O148">
        <v>46.7</v>
      </c>
      <c r="P148">
        <v>13.4</v>
      </c>
      <c r="Q148">
        <v>61.8</v>
      </c>
      <c r="R148">
        <v>74.2</v>
      </c>
      <c r="S148">
        <v>47.9</v>
      </c>
      <c r="T148">
        <v>52.1</v>
      </c>
      <c r="U148">
        <v>59.2</v>
      </c>
      <c r="V148">
        <v>49.4</v>
      </c>
      <c r="W148">
        <v>50.6</v>
      </c>
    </row>
    <row r="149" spans="2:23" hidden="1" x14ac:dyDescent="0.25">
      <c r="B149" t="s">
        <v>465</v>
      </c>
      <c r="C149" t="s">
        <v>396</v>
      </c>
      <c r="D149" s="13">
        <v>0.41666666666666669</v>
      </c>
      <c r="E149" t="s">
        <v>537</v>
      </c>
      <c r="F149" t="s">
        <v>538</v>
      </c>
      <c r="H149">
        <v>53.9</v>
      </c>
      <c r="I149">
        <v>24.3</v>
      </c>
      <c r="J149">
        <v>21.8</v>
      </c>
      <c r="K149">
        <v>78.2</v>
      </c>
      <c r="L149">
        <v>46.1</v>
      </c>
      <c r="M149">
        <v>75.7</v>
      </c>
      <c r="N149">
        <v>44.5</v>
      </c>
      <c r="O149">
        <v>35.700000000000003</v>
      </c>
      <c r="P149">
        <v>19.8</v>
      </c>
      <c r="Q149">
        <v>79.5</v>
      </c>
      <c r="R149">
        <v>87.9</v>
      </c>
      <c r="S149">
        <v>69.099999999999994</v>
      </c>
      <c r="T149">
        <v>30.9</v>
      </c>
      <c r="U149">
        <v>37.200000000000003</v>
      </c>
      <c r="V149">
        <v>67.400000000000006</v>
      </c>
      <c r="W149">
        <v>32.6</v>
      </c>
    </row>
    <row r="150" spans="2:23" hidden="1" x14ac:dyDescent="0.25">
      <c r="B150" t="s">
        <v>268</v>
      </c>
      <c r="C150" t="s">
        <v>396</v>
      </c>
      <c r="D150" s="13">
        <v>0.4375</v>
      </c>
      <c r="E150" t="s">
        <v>539</v>
      </c>
      <c r="F150" t="s">
        <v>540</v>
      </c>
      <c r="H150">
        <v>46.7</v>
      </c>
      <c r="I150">
        <v>25.9</v>
      </c>
      <c r="J150">
        <v>27.4</v>
      </c>
      <c r="K150">
        <v>72.599999999999994</v>
      </c>
      <c r="L150">
        <v>53.3</v>
      </c>
      <c r="M150">
        <v>74.099999999999994</v>
      </c>
      <c r="N150">
        <v>33.5</v>
      </c>
      <c r="O150">
        <v>45.6</v>
      </c>
      <c r="P150">
        <v>20.9</v>
      </c>
      <c r="Q150">
        <v>65.7</v>
      </c>
      <c r="R150">
        <v>84.1</v>
      </c>
      <c r="S150">
        <v>62.3</v>
      </c>
      <c r="T150">
        <v>37.700000000000003</v>
      </c>
      <c r="U150">
        <v>43.6</v>
      </c>
      <c r="V150">
        <v>64.099999999999994</v>
      </c>
      <c r="W150">
        <v>35.9</v>
      </c>
    </row>
    <row r="151" spans="2:23" hidden="1" x14ac:dyDescent="0.25">
      <c r="B151" t="s">
        <v>268</v>
      </c>
      <c r="C151" t="s">
        <v>396</v>
      </c>
      <c r="D151" s="13">
        <v>0.4375</v>
      </c>
      <c r="E151" t="s">
        <v>541</v>
      </c>
      <c r="F151" t="s">
        <v>542</v>
      </c>
      <c r="H151">
        <v>64.8</v>
      </c>
      <c r="I151">
        <v>23.2</v>
      </c>
      <c r="J151">
        <v>11.9</v>
      </c>
      <c r="K151">
        <v>88.1</v>
      </c>
      <c r="L151">
        <v>35.200000000000003</v>
      </c>
      <c r="M151">
        <v>76.8</v>
      </c>
      <c r="N151">
        <v>38.1</v>
      </c>
      <c r="O151">
        <v>47</v>
      </c>
      <c r="P151">
        <v>14.9</v>
      </c>
      <c r="Q151">
        <v>62</v>
      </c>
      <c r="R151">
        <v>75.2</v>
      </c>
      <c r="S151">
        <v>49.4</v>
      </c>
      <c r="T151">
        <v>50.6</v>
      </c>
      <c r="U151">
        <v>59.8</v>
      </c>
      <c r="V151">
        <v>44.6</v>
      </c>
      <c r="W151">
        <v>55.4</v>
      </c>
    </row>
    <row r="152" spans="2:23" hidden="1" x14ac:dyDescent="0.25">
      <c r="B152" t="s">
        <v>268</v>
      </c>
      <c r="C152" t="s">
        <v>396</v>
      </c>
      <c r="D152" s="13">
        <v>0.4375</v>
      </c>
      <c r="E152" t="s">
        <v>543</v>
      </c>
      <c r="F152" t="s">
        <v>544</v>
      </c>
      <c r="H152">
        <v>30.7</v>
      </c>
      <c r="I152">
        <v>30</v>
      </c>
      <c r="J152">
        <v>39.200000000000003</v>
      </c>
      <c r="K152">
        <v>60.8</v>
      </c>
      <c r="L152">
        <v>69.3</v>
      </c>
      <c r="M152">
        <v>70</v>
      </c>
      <c r="N152">
        <v>33.5</v>
      </c>
      <c r="O152">
        <v>38.299999999999997</v>
      </c>
      <c r="P152">
        <v>28.2</v>
      </c>
      <c r="Q152">
        <v>77.8</v>
      </c>
      <c r="R152">
        <v>72.5</v>
      </c>
      <c r="S152">
        <v>45.5</v>
      </c>
      <c r="T152">
        <v>54.5</v>
      </c>
      <c r="U152">
        <v>59.9</v>
      </c>
      <c r="V152">
        <v>52</v>
      </c>
      <c r="W152">
        <v>48</v>
      </c>
    </row>
    <row r="153" spans="2:23" hidden="1" x14ac:dyDescent="0.25">
      <c r="B153" t="s">
        <v>276</v>
      </c>
      <c r="C153" t="s">
        <v>396</v>
      </c>
      <c r="D153" s="13">
        <v>0.45833333333333331</v>
      </c>
      <c r="E153" t="s">
        <v>545</v>
      </c>
      <c r="F153" t="s">
        <v>546</v>
      </c>
      <c r="H153">
        <v>43.5</v>
      </c>
      <c r="I153">
        <v>26.5</v>
      </c>
      <c r="J153">
        <v>30</v>
      </c>
      <c r="K153">
        <v>70</v>
      </c>
      <c r="L153">
        <v>56.5</v>
      </c>
      <c r="M153">
        <v>73.5</v>
      </c>
      <c r="N153">
        <v>20.6</v>
      </c>
      <c r="O153">
        <v>41.6</v>
      </c>
      <c r="P153">
        <v>37.9</v>
      </c>
      <c r="Q153">
        <v>72</v>
      </c>
      <c r="R153">
        <v>82.8</v>
      </c>
      <c r="S153">
        <v>60.3</v>
      </c>
      <c r="T153">
        <v>39.700000000000003</v>
      </c>
      <c r="U153">
        <v>45.5</v>
      </c>
      <c r="V153">
        <v>63.1</v>
      </c>
      <c r="W153">
        <v>36.9</v>
      </c>
    </row>
    <row r="154" spans="2:23" hidden="1" x14ac:dyDescent="0.25">
      <c r="B154" t="s">
        <v>497</v>
      </c>
      <c r="C154" t="s">
        <v>396</v>
      </c>
      <c r="D154" s="13">
        <v>0.45833333333333331</v>
      </c>
      <c r="E154" t="s">
        <v>547</v>
      </c>
      <c r="F154" t="s">
        <v>548</v>
      </c>
      <c r="H154">
        <v>23.6</v>
      </c>
      <c r="I154">
        <v>27</v>
      </c>
      <c r="J154">
        <v>49.4</v>
      </c>
      <c r="K154">
        <v>50.6</v>
      </c>
      <c r="L154">
        <v>76.400000000000006</v>
      </c>
      <c r="M154">
        <v>73</v>
      </c>
      <c r="N154">
        <v>13.4</v>
      </c>
      <c r="O154">
        <v>39.799999999999997</v>
      </c>
      <c r="P154">
        <v>46.8</v>
      </c>
      <c r="Q154">
        <v>71.8</v>
      </c>
      <c r="R154">
        <v>81.099999999999994</v>
      </c>
      <c r="S154">
        <v>57.5</v>
      </c>
      <c r="T154">
        <v>42.5</v>
      </c>
      <c r="U154">
        <v>48.8</v>
      </c>
      <c r="V154">
        <v>59.4</v>
      </c>
      <c r="W154">
        <v>40.6</v>
      </c>
    </row>
    <row r="155" spans="2:23" hidden="1" x14ac:dyDescent="0.25">
      <c r="B155" t="s">
        <v>482</v>
      </c>
      <c r="C155" t="s">
        <v>396</v>
      </c>
      <c r="D155" s="13">
        <v>0.45833333333333331</v>
      </c>
      <c r="E155" t="s">
        <v>549</v>
      </c>
      <c r="F155" t="s">
        <v>550</v>
      </c>
      <c r="H155">
        <v>44.4</v>
      </c>
      <c r="I155">
        <v>27.2</v>
      </c>
      <c r="J155">
        <v>28.4</v>
      </c>
      <c r="K155">
        <v>71.599999999999994</v>
      </c>
      <c r="L155">
        <v>55.6</v>
      </c>
      <c r="M155">
        <v>72.8</v>
      </c>
      <c r="N155">
        <v>35</v>
      </c>
      <c r="O155">
        <v>41.9</v>
      </c>
      <c r="P155">
        <v>23.1</v>
      </c>
      <c r="Q155">
        <v>71.599999999999994</v>
      </c>
      <c r="R155">
        <v>79.7</v>
      </c>
      <c r="S155">
        <v>55.4</v>
      </c>
      <c r="T155">
        <v>44.6</v>
      </c>
      <c r="U155">
        <v>50.5</v>
      </c>
      <c r="V155">
        <v>59.1</v>
      </c>
      <c r="W155">
        <v>40.9</v>
      </c>
    </row>
    <row r="156" spans="2:23" hidden="1" x14ac:dyDescent="0.25">
      <c r="B156" t="s">
        <v>259</v>
      </c>
      <c r="C156" t="s">
        <v>396</v>
      </c>
      <c r="D156" s="13">
        <v>0.45833333333333331</v>
      </c>
      <c r="E156" t="s">
        <v>551</v>
      </c>
      <c r="F156" t="s">
        <v>92</v>
      </c>
      <c r="H156">
        <v>33.1</v>
      </c>
      <c r="I156">
        <v>30.2</v>
      </c>
      <c r="J156">
        <v>36.700000000000003</v>
      </c>
      <c r="K156">
        <v>63.3</v>
      </c>
      <c r="L156">
        <v>66.900000000000006</v>
      </c>
      <c r="M156">
        <v>69.8</v>
      </c>
      <c r="N156">
        <v>28.4</v>
      </c>
      <c r="O156">
        <v>47.8</v>
      </c>
      <c r="P156">
        <v>23.8</v>
      </c>
      <c r="Q156">
        <v>63.1</v>
      </c>
      <c r="R156">
        <v>71.900000000000006</v>
      </c>
      <c r="S156">
        <v>44.7</v>
      </c>
      <c r="T156">
        <v>55.3</v>
      </c>
      <c r="U156">
        <v>60.6</v>
      </c>
      <c r="V156">
        <v>51.6</v>
      </c>
      <c r="W156">
        <v>48.4</v>
      </c>
    </row>
    <row r="157" spans="2:23" hidden="1" x14ac:dyDescent="0.25">
      <c r="B157" t="s">
        <v>327</v>
      </c>
      <c r="C157" t="s">
        <v>396</v>
      </c>
      <c r="D157" s="13">
        <v>0.45833333333333331</v>
      </c>
      <c r="E157" t="s">
        <v>552</v>
      </c>
      <c r="F157" t="s">
        <v>553</v>
      </c>
      <c r="H157">
        <v>61.5</v>
      </c>
      <c r="I157">
        <v>23.8</v>
      </c>
      <c r="J157">
        <v>14.6</v>
      </c>
      <c r="K157">
        <v>85.4</v>
      </c>
      <c r="L157">
        <v>38.5</v>
      </c>
      <c r="M157">
        <v>76.2</v>
      </c>
      <c r="N157">
        <v>58.6</v>
      </c>
      <c r="O157">
        <v>28.1</v>
      </c>
      <c r="P157">
        <v>13.3</v>
      </c>
      <c r="Q157">
        <v>86.4</v>
      </c>
      <c r="R157">
        <v>92.8</v>
      </c>
      <c r="S157">
        <v>79</v>
      </c>
      <c r="T157">
        <v>21</v>
      </c>
      <c r="U157">
        <v>27.5</v>
      </c>
      <c r="V157">
        <v>71.8</v>
      </c>
      <c r="W157">
        <v>28.2</v>
      </c>
    </row>
    <row r="158" spans="2:23" hidden="1" x14ac:dyDescent="0.25">
      <c r="B158" t="s">
        <v>327</v>
      </c>
      <c r="C158" t="s">
        <v>396</v>
      </c>
      <c r="D158" s="13">
        <v>0.45833333333333331</v>
      </c>
      <c r="E158" t="s">
        <v>554</v>
      </c>
      <c r="F158" t="s">
        <v>555</v>
      </c>
      <c r="H158">
        <v>34.6</v>
      </c>
      <c r="I158">
        <v>26.8</v>
      </c>
      <c r="J158">
        <v>38.6</v>
      </c>
      <c r="K158">
        <v>61.4</v>
      </c>
      <c r="L158">
        <v>65.400000000000006</v>
      </c>
      <c r="M158">
        <v>73.2</v>
      </c>
      <c r="N158">
        <v>24.5</v>
      </c>
      <c r="O158">
        <v>37.5</v>
      </c>
      <c r="P158">
        <v>38</v>
      </c>
      <c r="Q158">
        <v>78.7</v>
      </c>
      <c r="R158">
        <v>83.6</v>
      </c>
      <c r="S158">
        <v>61.6</v>
      </c>
      <c r="T158">
        <v>38.4</v>
      </c>
      <c r="U158">
        <v>44</v>
      </c>
      <c r="V158">
        <v>64.599999999999994</v>
      </c>
      <c r="W158">
        <v>35.4</v>
      </c>
    </row>
    <row r="159" spans="2:23" hidden="1" x14ac:dyDescent="0.25">
      <c r="B159" t="s">
        <v>327</v>
      </c>
      <c r="C159" t="s">
        <v>396</v>
      </c>
      <c r="D159" s="13">
        <v>0.45833333333333331</v>
      </c>
      <c r="E159" t="s">
        <v>556</v>
      </c>
      <c r="F159" t="s">
        <v>557</v>
      </c>
      <c r="H159">
        <v>39</v>
      </c>
      <c r="I159">
        <v>27.4</v>
      </c>
      <c r="J159">
        <v>33.5</v>
      </c>
      <c r="K159">
        <v>66.5</v>
      </c>
      <c r="L159">
        <v>61</v>
      </c>
      <c r="M159">
        <v>72.599999999999994</v>
      </c>
      <c r="N159">
        <v>28.9</v>
      </c>
      <c r="O159">
        <v>41.6</v>
      </c>
      <c r="P159">
        <v>29.5</v>
      </c>
      <c r="Q159">
        <v>72.7</v>
      </c>
      <c r="R159">
        <v>80.8</v>
      </c>
      <c r="S159">
        <v>57</v>
      </c>
      <c r="T159">
        <v>43</v>
      </c>
      <c r="U159">
        <v>48.6</v>
      </c>
      <c r="V159">
        <v>61</v>
      </c>
      <c r="W159">
        <v>39</v>
      </c>
    </row>
    <row r="160" spans="2:23" hidden="1" x14ac:dyDescent="0.25">
      <c r="B160" t="s">
        <v>291</v>
      </c>
      <c r="C160" t="s">
        <v>396</v>
      </c>
      <c r="D160" s="13">
        <v>0.45833333333333331</v>
      </c>
      <c r="E160" t="s">
        <v>558</v>
      </c>
      <c r="F160" t="s">
        <v>559</v>
      </c>
      <c r="H160">
        <v>42.7</v>
      </c>
      <c r="I160">
        <v>25.3</v>
      </c>
      <c r="J160">
        <v>32</v>
      </c>
      <c r="K160">
        <v>68</v>
      </c>
      <c r="L160">
        <v>57.3</v>
      </c>
      <c r="M160">
        <v>74.7</v>
      </c>
      <c r="N160">
        <v>34.6</v>
      </c>
      <c r="O160">
        <v>35.6</v>
      </c>
      <c r="P160">
        <v>29.8</v>
      </c>
      <c r="Q160">
        <v>82.1</v>
      </c>
      <c r="R160">
        <v>90.1</v>
      </c>
      <c r="S160">
        <v>73.2</v>
      </c>
      <c r="T160">
        <v>26.8</v>
      </c>
      <c r="U160">
        <v>32</v>
      </c>
      <c r="V160">
        <v>73.3</v>
      </c>
      <c r="W160">
        <v>26.7</v>
      </c>
    </row>
    <row r="161" spans="2:23" hidden="1" x14ac:dyDescent="0.25">
      <c r="B161" t="s">
        <v>291</v>
      </c>
      <c r="C161" t="s">
        <v>396</v>
      </c>
      <c r="D161" s="13">
        <v>0.45833333333333331</v>
      </c>
      <c r="E161" t="s">
        <v>560</v>
      </c>
      <c r="F161" t="s">
        <v>561</v>
      </c>
      <c r="H161">
        <v>57.3</v>
      </c>
      <c r="I161">
        <v>24.3</v>
      </c>
      <c r="J161">
        <v>18.399999999999999</v>
      </c>
      <c r="K161">
        <v>81.599999999999994</v>
      </c>
      <c r="L161">
        <v>42.7</v>
      </c>
      <c r="M161">
        <v>75.7</v>
      </c>
      <c r="N161">
        <v>48.9</v>
      </c>
      <c r="O161">
        <v>31.7</v>
      </c>
      <c r="P161">
        <v>19.399999999999999</v>
      </c>
      <c r="Q161">
        <v>85</v>
      </c>
      <c r="R161">
        <v>92.8</v>
      </c>
      <c r="S161">
        <v>78.900000000000006</v>
      </c>
      <c r="T161">
        <v>21.1</v>
      </c>
      <c r="U161">
        <v>27</v>
      </c>
      <c r="V161">
        <v>74</v>
      </c>
      <c r="W161">
        <v>26</v>
      </c>
    </row>
    <row r="162" spans="2:23" hidden="1" x14ac:dyDescent="0.25">
      <c r="B162" t="s">
        <v>291</v>
      </c>
      <c r="C162" t="s">
        <v>396</v>
      </c>
      <c r="D162" s="13">
        <v>0.45833333333333331</v>
      </c>
      <c r="E162" t="s">
        <v>562</v>
      </c>
      <c r="F162" t="s">
        <v>563</v>
      </c>
      <c r="H162">
        <v>32.200000000000003</v>
      </c>
      <c r="I162">
        <v>26.1</v>
      </c>
      <c r="J162">
        <v>41.7</v>
      </c>
      <c r="K162">
        <v>58.3</v>
      </c>
      <c r="L162">
        <v>67.8</v>
      </c>
      <c r="M162">
        <v>73.900000000000006</v>
      </c>
      <c r="N162">
        <v>31.8</v>
      </c>
      <c r="O162">
        <v>40.4</v>
      </c>
      <c r="P162">
        <v>27.8</v>
      </c>
      <c r="Q162">
        <v>74.5</v>
      </c>
      <c r="R162">
        <v>86.9</v>
      </c>
      <c r="S162">
        <v>67.099999999999994</v>
      </c>
      <c r="T162">
        <v>32.9</v>
      </c>
      <c r="U162">
        <v>38.4</v>
      </c>
      <c r="V162">
        <v>68.7</v>
      </c>
      <c r="W162">
        <v>31.3</v>
      </c>
    </row>
    <row r="163" spans="2:23" hidden="1" x14ac:dyDescent="0.25">
      <c r="B163" t="s">
        <v>506</v>
      </c>
      <c r="C163" t="s">
        <v>396</v>
      </c>
      <c r="D163" s="13">
        <v>0.45833333333333331</v>
      </c>
      <c r="E163" t="s">
        <v>564</v>
      </c>
      <c r="F163" t="s">
        <v>565</v>
      </c>
      <c r="H163">
        <v>47.2</v>
      </c>
      <c r="I163">
        <v>26.1</v>
      </c>
      <c r="J163">
        <v>26.7</v>
      </c>
      <c r="K163">
        <v>73.3</v>
      </c>
      <c r="L163">
        <v>52.8</v>
      </c>
      <c r="M163">
        <v>73.900000000000006</v>
      </c>
      <c r="N163">
        <v>35.6</v>
      </c>
      <c r="O163">
        <v>38.4</v>
      </c>
      <c r="P163">
        <v>26</v>
      </c>
      <c r="Q163">
        <v>77.3</v>
      </c>
      <c r="R163">
        <v>82.8</v>
      </c>
      <c r="S163">
        <v>60.2</v>
      </c>
      <c r="T163">
        <v>39.799999999999997</v>
      </c>
      <c r="U163">
        <v>45.8</v>
      </c>
      <c r="V163">
        <v>62.3</v>
      </c>
      <c r="W163">
        <v>37.700000000000003</v>
      </c>
    </row>
    <row r="164" spans="2:23" hidden="1" x14ac:dyDescent="0.25">
      <c r="B164" t="s">
        <v>432</v>
      </c>
      <c r="C164" t="s">
        <v>396</v>
      </c>
      <c r="D164" s="13">
        <v>0.45833333333333331</v>
      </c>
      <c r="E164" t="s">
        <v>90</v>
      </c>
      <c r="F164" t="s">
        <v>566</v>
      </c>
      <c r="H164">
        <v>65</v>
      </c>
      <c r="I164">
        <v>22.4</v>
      </c>
      <c r="J164">
        <v>12.6</v>
      </c>
      <c r="K164">
        <v>87.4</v>
      </c>
      <c r="L164">
        <v>35</v>
      </c>
      <c r="M164">
        <v>77.599999999999994</v>
      </c>
      <c r="N164">
        <v>49.7</v>
      </c>
      <c r="O164">
        <v>32.5</v>
      </c>
      <c r="P164">
        <v>17.8</v>
      </c>
      <c r="Q164">
        <v>83</v>
      </c>
      <c r="R164">
        <v>89.9</v>
      </c>
      <c r="S164">
        <v>73</v>
      </c>
      <c r="T164">
        <v>27</v>
      </c>
      <c r="U164">
        <v>34.9</v>
      </c>
      <c r="V164">
        <v>64.5</v>
      </c>
      <c r="W164">
        <v>35.5</v>
      </c>
    </row>
    <row r="165" spans="2:23" hidden="1" x14ac:dyDescent="0.25">
      <c r="B165" t="s">
        <v>432</v>
      </c>
      <c r="C165" t="s">
        <v>396</v>
      </c>
      <c r="D165" s="13">
        <v>0.45833333333333331</v>
      </c>
      <c r="E165" t="s">
        <v>567</v>
      </c>
      <c r="F165" t="s">
        <v>163</v>
      </c>
      <c r="H165">
        <v>45.9</v>
      </c>
      <c r="I165">
        <v>26.1</v>
      </c>
      <c r="J165">
        <v>28</v>
      </c>
      <c r="K165">
        <v>72</v>
      </c>
      <c r="L165">
        <v>54.1</v>
      </c>
      <c r="M165">
        <v>73.900000000000006</v>
      </c>
      <c r="N165">
        <v>36.4</v>
      </c>
      <c r="O165">
        <v>39.4</v>
      </c>
      <c r="P165">
        <v>24.2</v>
      </c>
      <c r="Q165">
        <v>75.400000000000006</v>
      </c>
      <c r="R165">
        <v>83.4</v>
      </c>
      <c r="S165">
        <v>61.2</v>
      </c>
      <c r="T165">
        <v>38.799999999999997</v>
      </c>
      <c r="U165">
        <v>44.7</v>
      </c>
      <c r="V165">
        <v>63.4</v>
      </c>
      <c r="W165">
        <v>36.6</v>
      </c>
    </row>
    <row r="166" spans="2:23" hidden="1" x14ac:dyDescent="0.25">
      <c r="B166" t="s">
        <v>246</v>
      </c>
      <c r="C166" t="s">
        <v>396</v>
      </c>
      <c r="D166" s="13">
        <v>0.45833333333333331</v>
      </c>
      <c r="E166" t="s">
        <v>568</v>
      </c>
      <c r="F166" t="s">
        <v>569</v>
      </c>
      <c r="H166">
        <v>27.6</v>
      </c>
      <c r="I166">
        <v>27.6</v>
      </c>
      <c r="J166">
        <v>44.9</v>
      </c>
      <c r="K166">
        <v>55.1</v>
      </c>
      <c r="L166">
        <v>72.400000000000006</v>
      </c>
      <c r="M166">
        <v>72.400000000000006</v>
      </c>
      <c r="N166">
        <v>21.8</v>
      </c>
      <c r="O166">
        <v>43.2</v>
      </c>
      <c r="P166">
        <v>35</v>
      </c>
      <c r="Q166">
        <v>69.8</v>
      </c>
      <c r="R166">
        <v>80.3</v>
      </c>
      <c r="S166">
        <v>56.3</v>
      </c>
      <c r="T166">
        <v>43.7</v>
      </c>
      <c r="U166">
        <v>49.7</v>
      </c>
      <c r="V166">
        <v>59.6</v>
      </c>
      <c r="W166">
        <v>40.4</v>
      </c>
    </row>
    <row r="167" spans="2:23" hidden="1" x14ac:dyDescent="0.25">
      <c r="B167" t="s">
        <v>246</v>
      </c>
      <c r="C167" t="s">
        <v>396</v>
      </c>
      <c r="D167" s="13">
        <v>0.45833333333333331</v>
      </c>
      <c r="E167" t="s">
        <v>570</v>
      </c>
      <c r="F167" t="s">
        <v>571</v>
      </c>
      <c r="H167">
        <v>39.799999999999997</v>
      </c>
      <c r="I167">
        <v>28.4</v>
      </c>
      <c r="J167">
        <v>31.8</v>
      </c>
      <c r="K167">
        <v>68.2</v>
      </c>
      <c r="L167">
        <v>60.2</v>
      </c>
      <c r="M167">
        <v>71.599999999999994</v>
      </c>
      <c r="N167">
        <v>29.9</v>
      </c>
      <c r="O167">
        <v>43.2</v>
      </c>
      <c r="P167">
        <v>26.9</v>
      </c>
      <c r="Q167">
        <v>70.2</v>
      </c>
      <c r="R167">
        <v>76.900000000000006</v>
      </c>
      <c r="S167">
        <v>51.4</v>
      </c>
      <c r="T167">
        <v>48.6</v>
      </c>
      <c r="U167">
        <v>54.2</v>
      </c>
      <c r="V167">
        <v>56.6</v>
      </c>
      <c r="W167">
        <v>43.4</v>
      </c>
    </row>
    <row r="168" spans="2:23" hidden="1" x14ac:dyDescent="0.25">
      <c r="B168" t="s">
        <v>572</v>
      </c>
      <c r="C168" t="s">
        <v>396</v>
      </c>
      <c r="D168" s="13">
        <v>0.45833333333333331</v>
      </c>
      <c r="E168" t="s">
        <v>573</v>
      </c>
      <c r="F168" t="s">
        <v>138</v>
      </c>
      <c r="H168">
        <v>54.8</v>
      </c>
      <c r="I168">
        <v>25.9</v>
      </c>
      <c r="J168">
        <v>19.3</v>
      </c>
      <c r="K168">
        <v>80.7</v>
      </c>
      <c r="L168">
        <v>45.2</v>
      </c>
      <c r="M168">
        <v>74.099999999999994</v>
      </c>
      <c r="N168">
        <v>47.2</v>
      </c>
      <c r="O168">
        <v>40.299999999999997</v>
      </c>
      <c r="P168">
        <v>12.5</v>
      </c>
      <c r="Q168">
        <v>69.599999999999994</v>
      </c>
      <c r="R168">
        <v>76.8</v>
      </c>
      <c r="S168">
        <v>51.4</v>
      </c>
      <c r="T168">
        <v>48.6</v>
      </c>
      <c r="U168">
        <v>55.6</v>
      </c>
      <c r="V168">
        <v>52.5</v>
      </c>
      <c r="W168">
        <v>47.5</v>
      </c>
    </row>
    <row r="169" spans="2:23" hidden="1" x14ac:dyDescent="0.25">
      <c r="B169" t="s">
        <v>574</v>
      </c>
      <c r="C169" t="s">
        <v>396</v>
      </c>
      <c r="D169" s="13">
        <v>0.45833333333333331</v>
      </c>
      <c r="E169" t="s">
        <v>575</v>
      </c>
      <c r="F169" t="s">
        <v>576</v>
      </c>
      <c r="H169">
        <v>39.6</v>
      </c>
      <c r="I169">
        <v>25.9</v>
      </c>
      <c r="J169">
        <v>34.4</v>
      </c>
      <c r="K169">
        <v>65.599999999999994</v>
      </c>
      <c r="L169">
        <v>60.4</v>
      </c>
      <c r="M169">
        <v>74.099999999999994</v>
      </c>
      <c r="N169">
        <v>34.200000000000003</v>
      </c>
      <c r="O169">
        <v>36.4</v>
      </c>
      <c r="P169">
        <v>29.4</v>
      </c>
      <c r="Q169">
        <v>80.8</v>
      </c>
      <c r="R169">
        <v>87</v>
      </c>
      <c r="S169">
        <v>67.2</v>
      </c>
      <c r="T169">
        <v>32.799999999999997</v>
      </c>
      <c r="U169">
        <v>38.200000000000003</v>
      </c>
      <c r="V169">
        <v>68.900000000000006</v>
      </c>
      <c r="W169">
        <v>31.1</v>
      </c>
    </row>
    <row r="170" spans="2:23" hidden="1" x14ac:dyDescent="0.25">
      <c r="B170" t="s">
        <v>249</v>
      </c>
      <c r="C170" t="s">
        <v>396</v>
      </c>
      <c r="D170" s="13">
        <v>0.45833333333333331</v>
      </c>
      <c r="E170" t="s">
        <v>132</v>
      </c>
      <c r="F170" t="s">
        <v>128</v>
      </c>
      <c r="H170">
        <v>16.600000000000001</v>
      </c>
      <c r="I170">
        <v>32.4</v>
      </c>
      <c r="J170">
        <v>51</v>
      </c>
      <c r="K170">
        <v>49</v>
      </c>
      <c r="L170">
        <v>83.4</v>
      </c>
      <c r="M170">
        <v>67.599999999999994</v>
      </c>
      <c r="N170">
        <v>16.2</v>
      </c>
      <c r="O170">
        <v>58.3</v>
      </c>
      <c r="P170">
        <v>25.6</v>
      </c>
      <c r="Q170">
        <v>48</v>
      </c>
      <c r="R170">
        <v>59.9</v>
      </c>
      <c r="S170">
        <v>31.7</v>
      </c>
      <c r="T170">
        <v>68.3</v>
      </c>
      <c r="U170">
        <v>74.400000000000006</v>
      </c>
      <c r="V170">
        <v>36.1</v>
      </c>
      <c r="W170">
        <v>63.9</v>
      </c>
    </row>
    <row r="171" spans="2:23" hidden="1" x14ac:dyDescent="0.25">
      <c r="B171" t="s">
        <v>249</v>
      </c>
      <c r="C171" t="s">
        <v>396</v>
      </c>
      <c r="D171" s="13">
        <v>0.45833333333333331</v>
      </c>
      <c r="E171" t="s">
        <v>198</v>
      </c>
      <c r="F171" t="s">
        <v>122</v>
      </c>
      <c r="H171">
        <v>33.799999999999997</v>
      </c>
      <c r="I171">
        <v>31.3</v>
      </c>
      <c r="J171">
        <v>34.9</v>
      </c>
      <c r="K171">
        <v>65.099999999999994</v>
      </c>
      <c r="L171">
        <v>66.2</v>
      </c>
      <c r="M171">
        <v>68.7</v>
      </c>
      <c r="N171">
        <v>44.4</v>
      </c>
      <c r="O171">
        <v>48</v>
      </c>
      <c r="P171">
        <v>7.7</v>
      </c>
      <c r="Q171">
        <v>57.3</v>
      </c>
      <c r="R171">
        <v>68.3</v>
      </c>
      <c r="S171">
        <v>40.4</v>
      </c>
      <c r="T171">
        <v>59.6</v>
      </c>
      <c r="U171">
        <v>64.599999999999994</v>
      </c>
      <c r="V171">
        <v>48.1</v>
      </c>
      <c r="W171">
        <v>51.9</v>
      </c>
    </row>
    <row r="172" spans="2:23" hidden="1" x14ac:dyDescent="0.25">
      <c r="B172" t="s">
        <v>470</v>
      </c>
      <c r="C172" t="s">
        <v>396</v>
      </c>
      <c r="D172" s="13">
        <v>0.45833333333333331</v>
      </c>
      <c r="E172" t="s">
        <v>177</v>
      </c>
      <c r="F172" t="s">
        <v>577</v>
      </c>
      <c r="H172">
        <v>38.4</v>
      </c>
      <c r="I172">
        <v>26</v>
      </c>
      <c r="J172">
        <v>35.700000000000003</v>
      </c>
      <c r="K172">
        <v>64.3</v>
      </c>
      <c r="L172">
        <v>61.6</v>
      </c>
      <c r="M172">
        <v>74</v>
      </c>
      <c r="N172">
        <v>30.9</v>
      </c>
      <c r="O172">
        <v>38.299999999999997</v>
      </c>
      <c r="P172">
        <v>30.8</v>
      </c>
      <c r="Q172">
        <v>77.900000000000006</v>
      </c>
      <c r="R172">
        <v>87</v>
      </c>
      <c r="S172">
        <v>67.3</v>
      </c>
      <c r="T172">
        <v>32.700000000000003</v>
      </c>
      <c r="U172">
        <v>38.1</v>
      </c>
      <c r="V172">
        <v>69</v>
      </c>
      <c r="W172">
        <v>31</v>
      </c>
    </row>
    <row r="173" spans="2:23" hidden="1" x14ac:dyDescent="0.25">
      <c r="B173" t="s">
        <v>470</v>
      </c>
      <c r="C173" t="s">
        <v>396</v>
      </c>
      <c r="D173" s="13">
        <v>0.45833333333333331</v>
      </c>
      <c r="E173" t="s">
        <v>578</v>
      </c>
      <c r="F173" t="s">
        <v>579</v>
      </c>
      <c r="H173">
        <v>28.5</v>
      </c>
      <c r="I173">
        <v>28.5</v>
      </c>
      <c r="J173">
        <v>43</v>
      </c>
      <c r="K173">
        <v>57</v>
      </c>
      <c r="L173">
        <v>71.5</v>
      </c>
      <c r="M173">
        <v>71.5</v>
      </c>
      <c r="N173">
        <v>16.8</v>
      </c>
      <c r="O173">
        <v>44</v>
      </c>
      <c r="P173">
        <v>39.1</v>
      </c>
      <c r="Q173">
        <v>67.400000000000006</v>
      </c>
      <c r="R173">
        <v>77.3</v>
      </c>
      <c r="S173">
        <v>52</v>
      </c>
      <c r="T173">
        <v>48</v>
      </c>
      <c r="U173">
        <v>53.8</v>
      </c>
      <c r="V173">
        <v>56.6</v>
      </c>
      <c r="W173">
        <v>43.4</v>
      </c>
    </row>
    <row r="174" spans="2:23" hidden="1" x14ac:dyDescent="0.25">
      <c r="B174" t="s">
        <v>470</v>
      </c>
      <c r="C174" t="s">
        <v>396</v>
      </c>
      <c r="D174" s="13">
        <v>0.45833333333333331</v>
      </c>
      <c r="E174" t="s">
        <v>580</v>
      </c>
      <c r="F174" t="s">
        <v>189</v>
      </c>
      <c r="H174">
        <v>34.799999999999997</v>
      </c>
      <c r="I174">
        <v>25.8</v>
      </c>
      <c r="J174">
        <v>39.4</v>
      </c>
      <c r="K174">
        <v>60.6</v>
      </c>
      <c r="L174">
        <v>65.2</v>
      </c>
      <c r="M174">
        <v>74.2</v>
      </c>
      <c r="N174">
        <v>28.9</v>
      </c>
      <c r="O174">
        <v>39.299999999999997</v>
      </c>
      <c r="P174">
        <v>31.9</v>
      </c>
      <c r="Q174">
        <v>76.5</v>
      </c>
      <c r="R174">
        <v>88.5</v>
      </c>
      <c r="S174">
        <v>70.099999999999994</v>
      </c>
      <c r="T174">
        <v>29.9</v>
      </c>
      <c r="U174">
        <v>35.200000000000003</v>
      </c>
      <c r="V174">
        <v>71.099999999999994</v>
      </c>
      <c r="W174">
        <v>28.9</v>
      </c>
    </row>
    <row r="175" spans="2:23" hidden="1" x14ac:dyDescent="0.25">
      <c r="B175" t="s">
        <v>283</v>
      </c>
      <c r="C175" t="s">
        <v>396</v>
      </c>
      <c r="D175" s="13">
        <v>0.45833333333333331</v>
      </c>
      <c r="E175" t="s">
        <v>581</v>
      </c>
      <c r="F175" t="s">
        <v>582</v>
      </c>
      <c r="H175">
        <v>51.2</v>
      </c>
      <c r="I175">
        <v>26.1</v>
      </c>
      <c r="J175">
        <v>22.7</v>
      </c>
      <c r="K175">
        <v>77.3</v>
      </c>
      <c r="L175">
        <v>48.8</v>
      </c>
      <c r="M175">
        <v>73.900000000000006</v>
      </c>
      <c r="N175">
        <v>36</v>
      </c>
      <c r="O175">
        <v>45.8</v>
      </c>
      <c r="P175">
        <v>18.2</v>
      </c>
      <c r="Q175">
        <v>64.8</v>
      </c>
      <c r="R175">
        <v>79.599999999999994</v>
      </c>
      <c r="S175">
        <v>55.4</v>
      </c>
      <c r="T175">
        <v>44.6</v>
      </c>
      <c r="U175">
        <v>51.1</v>
      </c>
      <c r="V175">
        <v>57.3</v>
      </c>
      <c r="W175">
        <v>42.7</v>
      </c>
    </row>
    <row r="176" spans="2:23" hidden="1" x14ac:dyDescent="0.25">
      <c r="B176" t="s">
        <v>283</v>
      </c>
      <c r="C176" t="s">
        <v>396</v>
      </c>
      <c r="D176" s="13">
        <v>0.45833333333333331</v>
      </c>
      <c r="E176" t="s">
        <v>191</v>
      </c>
      <c r="F176" t="s">
        <v>583</v>
      </c>
      <c r="H176">
        <v>31.1</v>
      </c>
      <c r="I176">
        <v>27.8</v>
      </c>
      <c r="J176">
        <v>41.1</v>
      </c>
      <c r="K176">
        <v>58.9</v>
      </c>
      <c r="L176">
        <v>68.900000000000006</v>
      </c>
      <c r="M176">
        <v>72.2</v>
      </c>
      <c r="N176">
        <v>25.7</v>
      </c>
      <c r="O176">
        <v>42.3</v>
      </c>
      <c r="P176">
        <v>32</v>
      </c>
      <c r="Q176">
        <v>71.599999999999994</v>
      </c>
      <c r="R176">
        <v>80.099999999999994</v>
      </c>
      <c r="S176">
        <v>56</v>
      </c>
      <c r="T176">
        <v>44</v>
      </c>
      <c r="U176">
        <v>49.7</v>
      </c>
      <c r="V176">
        <v>60</v>
      </c>
      <c r="W176">
        <v>40</v>
      </c>
    </row>
    <row r="177" spans="2:23" hidden="1" x14ac:dyDescent="0.25">
      <c r="B177" t="s">
        <v>283</v>
      </c>
      <c r="C177" t="s">
        <v>396</v>
      </c>
      <c r="D177" s="13">
        <v>0.45833333333333331</v>
      </c>
      <c r="E177" t="s">
        <v>584</v>
      </c>
      <c r="F177" t="s">
        <v>179</v>
      </c>
      <c r="H177">
        <v>49.1</v>
      </c>
      <c r="I177">
        <v>27.1</v>
      </c>
      <c r="J177">
        <v>23.7</v>
      </c>
      <c r="K177">
        <v>76.3</v>
      </c>
      <c r="L177">
        <v>50.9</v>
      </c>
      <c r="M177">
        <v>72.900000000000006</v>
      </c>
      <c r="N177">
        <v>43</v>
      </c>
      <c r="O177">
        <v>41.1</v>
      </c>
      <c r="P177">
        <v>15.9</v>
      </c>
      <c r="Q177">
        <v>70.3</v>
      </c>
      <c r="R177">
        <v>76.7</v>
      </c>
      <c r="S177">
        <v>51.2</v>
      </c>
      <c r="T177">
        <v>48.8</v>
      </c>
      <c r="U177">
        <v>55.1</v>
      </c>
      <c r="V177">
        <v>54.5</v>
      </c>
      <c r="W177">
        <v>45.5</v>
      </c>
    </row>
    <row r="178" spans="2:23" hidden="1" x14ac:dyDescent="0.25">
      <c r="B178" t="s">
        <v>350</v>
      </c>
      <c r="C178" t="s">
        <v>396</v>
      </c>
      <c r="D178" s="13">
        <v>0.45833333333333331</v>
      </c>
      <c r="E178" t="s">
        <v>585</v>
      </c>
      <c r="F178" t="s">
        <v>586</v>
      </c>
      <c r="H178">
        <v>46.6</v>
      </c>
      <c r="I178">
        <v>29.6</v>
      </c>
      <c r="J178">
        <v>23.8</v>
      </c>
      <c r="K178">
        <v>76.2</v>
      </c>
      <c r="L178">
        <v>53.4</v>
      </c>
      <c r="M178">
        <v>70.400000000000006</v>
      </c>
      <c r="N178">
        <v>38.200000000000003</v>
      </c>
      <c r="O178">
        <v>41.5</v>
      </c>
      <c r="P178">
        <v>20.3</v>
      </c>
      <c r="Q178">
        <v>71.400000000000006</v>
      </c>
      <c r="R178">
        <v>68.8</v>
      </c>
      <c r="S178">
        <v>41.1</v>
      </c>
      <c r="T178">
        <v>58.9</v>
      </c>
      <c r="U178">
        <v>64.7</v>
      </c>
      <c r="V178">
        <v>46.9</v>
      </c>
      <c r="W178">
        <v>53.1</v>
      </c>
    </row>
    <row r="179" spans="2:23" hidden="1" x14ac:dyDescent="0.25">
      <c r="B179" t="s">
        <v>263</v>
      </c>
      <c r="C179" t="s">
        <v>396</v>
      </c>
      <c r="D179" s="13">
        <v>0.47916666666666669</v>
      </c>
      <c r="E179" t="s">
        <v>587</v>
      </c>
      <c r="F179" t="s">
        <v>588</v>
      </c>
      <c r="H179">
        <v>56.8</v>
      </c>
      <c r="I179">
        <v>27.3</v>
      </c>
      <c r="J179">
        <v>15.9</v>
      </c>
      <c r="K179">
        <v>84.1</v>
      </c>
      <c r="L179">
        <v>43.2</v>
      </c>
      <c r="M179">
        <v>72.7</v>
      </c>
      <c r="N179">
        <v>37.799999999999997</v>
      </c>
      <c r="O179">
        <v>38.700000000000003</v>
      </c>
      <c r="P179">
        <v>23.5</v>
      </c>
      <c r="Q179">
        <v>76.3</v>
      </c>
      <c r="R179">
        <v>67.400000000000006</v>
      </c>
      <c r="S179">
        <v>39.6</v>
      </c>
      <c r="T179">
        <v>60.4</v>
      </c>
      <c r="U179">
        <v>67.7</v>
      </c>
      <c r="V179">
        <v>41.2</v>
      </c>
      <c r="W179">
        <v>58.8</v>
      </c>
    </row>
    <row r="180" spans="2:23" hidden="1" x14ac:dyDescent="0.25">
      <c r="B180" t="s">
        <v>263</v>
      </c>
      <c r="C180" t="s">
        <v>396</v>
      </c>
      <c r="D180" s="13">
        <v>0.47916666666666669</v>
      </c>
      <c r="E180" t="s">
        <v>589</v>
      </c>
      <c r="F180" t="s">
        <v>590</v>
      </c>
      <c r="H180">
        <v>59.7</v>
      </c>
      <c r="I180">
        <v>23.7</v>
      </c>
      <c r="J180">
        <v>16.600000000000001</v>
      </c>
      <c r="K180">
        <v>83.4</v>
      </c>
      <c r="L180">
        <v>40.299999999999997</v>
      </c>
      <c r="M180">
        <v>76.3</v>
      </c>
      <c r="N180">
        <v>34.200000000000003</v>
      </c>
      <c r="O180">
        <v>43.1</v>
      </c>
      <c r="P180">
        <v>22.7</v>
      </c>
      <c r="Q180">
        <v>69.8</v>
      </c>
      <c r="R180">
        <v>82.8</v>
      </c>
      <c r="S180">
        <v>60.5</v>
      </c>
      <c r="T180">
        <v>39.5</v>
      </c>
      <c r="U180">
        <v>47.2</v>
      </c>
      <c r="V180">
        <v>57.6</v>
      </c>
      <c r="W180">
        <v>42.4</v>
      </c>
    </row>
    <row r="181" spans="2:23" hidden="1" x14ac:dyDescent="0.25">
      <c r="B181" t="s">
        <v>263</v>
      </c>
      <c r="C181" t="s">
        <v>396</v>
      </c>
      <c r="D181" s="13">
        <v>0.47916666666666669</v>
      </c>
      <c r="E181" t="s">
        <v>591</v>
      </c>
      <c r="F181" t="s">
        <v>592</v>
      </c>
      <c r="H181">
        <v>58.9</v>
      </c>
      <c r="I181">
        <v>25.1</v>
      </c>
      <c r="J181">
        <v>16</v>
      </c>
      <c r="K181">
        <v>84</v>
      </c>
      <c r="L181">
        <v>41.1</v>
      </c>
      <c r="M181">
        <v>74.900000000000006</v>
      </c>
      <c r="N181">
        <v>27.2</v>
      </c>
      <c r="O181">
        <v>50.4</v>
      </c>
      <c r="P181">
        <v>22.4</v>
      </c>
      <c r="Q181">
        <v>59.2</v>
      </c>
      <c r="R181">
        <v>75.2</v>
      </c>
      <c r="S181">
        <v>49.4</v>
      </c>
      <c r="T181">
        <v>50.6</v>
      </c>
      <c r="U181">
        <v>58.5</v>
      </c>
      <c r="V181">
        <v>48.6</v>
      </c>
      <c r="W181">
        <v>51.4</v>
      </c>
    </row>
    <row r="182" spans="2:23" hidden="1" x14ac:dyDescent="0.25">
      <c r="B182" t="s">
        <v>256</v>
      </c>
      <c r="C182" t="s">
        <v>396</v>
      </c>
      <c r="D182" s="13">
        <v>0.47916666666666669</v>
      </c>
      <c r="E182" t="s">
        <v>593</v>
      </c>
      <c r="F182" t="s">
        <v>594</v>
      </c>
      <c r="H182">
        <v>58.8</v>
      </c>
      <c r="I182">
        <v>24.4</v>
      </c>
      <c r="J182">
        <v>16.899999999999999</v>
      </c>
      <c r="K182">
        <v>83.1</v>
      </c>
      <c r="L182">
        <v>41.2</v>
      </c>
      <c r="M182">
        <v>75.599999999999994</v>
      </c>
      <c r="N182">
        <v>41</v>
      </c>
      <c r="O182">
        <v>41</v>
      </c>
      <c r="P182">
        <v>18.100000000000001</v>
      </c>
      <c r="Q182">
        <v>71.400000000000006</v>
      </c>
      <c r="R182">
        <v>79.900000000000006</v>
      </c>
      <c r="S182">
        <v>55.9</v>
      </c>
      <c r="T182">
        <v>44.1</v>
      </c>
      <c r="U182">
        <v>51.8</v>
      </c>
      <c r="V182">
        <v>54.3</v>
      </c>
      <c r="W182">
        <v>45.7</v>
      </c>
    </row>
    <row r="183" spans="2:23" hidden="1" x14ac:dyDescent="0.25">
      <c r="B183" t="s">
        <v>261</v>
      </c>
      <c r="C183" t="s">
        <v>396</v>
      </c>
      <c r="D183" s="13">
        <v>0.5</v>
      </c>
      <c r="E183" t="s">
        <v>595</v>
      </c>
      <c r="F183" t="s">
        <v>596</v>
      </c>
      <c r="H183">
        <v>70.2</v>
      </c>
      <c r="I183">
        <v>21.2</v>
      </c>
      <c r="J183">
        <v>8.6</v>
      </c>
      <c r="K183">
        <v>91.4</v>
      </c>
      <c r="L183">
        <v>29.8</v>
      </c>
      <c r="M183">
        <v>78.8</v>
      </c>
      <c r="N183">
        <v>55.4</v>
      </c>
      <c r="O183">
        <v>40.200000000000003</v>
      </c>
      <c r="P183">
        <v>4.4000000000000004</v>
      </c>
      <c r="Q183">
        <v>64</v>
      </c>
      <c r="R183">
        <v>75.099999999999994</v>
      </c>
      <c r="S183">
        <v>49.5</v>
      </c>
      <c r="T183">
        <v>50.5</v>
      </c>
      <c r="U183">
        <v>61.4</v>
      </c>
      <c r="V183">
        <v>39.799999999999997</v>
      </c>
      <c r="W183">
        <v>60.2</v>
      </c>
    </row>
    <row r="184" spans="2:23" hidden="1" x14ac:dyDescent="0.25">
      <c r="B184" t="s">
        <v>261</v>
      </c>
      <c r="C184" t="s">
        <v>396</v>
      </c>
      <c r="D184" s="13">
        <v>0.5</v>
      </c>
      <c r="E184" t="s">
        <v>165</v>
      </c>
      <c r="F184" t="s">
        <v>597</v>
      </c>
      <c r="H184">
        <v>42.9</v>
      </c>
      <c r="I184">
        <v>27.1</v>
      </c>
      <c r="J184">
        <v>30</v>
      </c>
      <c r="K184">
        <v>70</v>
      </c>
      <c r="L184">
        <v>57.1</v>
      </c>
      <c r="M184">
        <v>72.900000000000006</v>
      </c>
      <c r="N184">
        <v>18.100000000000001</v>
      </c>
      <c r="O184">
        <v>53.6</v>
      </c>
      <c r="P184">
        <v>28.2</v>
      </c>
      <c r="Q184">
        <v>54.4</v>
      </c>
      <c r="R184">
        <v>80.599999999999994</v>
      </c>
      <c r="S184">
        <v>56.9</v>
      </c>
      <c r="T184">
        <v>43.1</v>
      </c>
      <c r="U184">
        <v>48.9</v>
      </c>
      <c r="V184">
        <v>60.5</v>
      </c>
      <c r="W184">
        <v>39.5</v>
      </c>
    </row>
    <row r="185" spans="2:23" hidden="1" x14ac:dyDescent="0.25">
      <c r="B185" t="s">
        <v>450</v>
      </c>
      <c r="C185" t="s">
        <v>396</v>
      </c>
      <c r="D185" s="13">
        <v>0.5</v>
      </c>
      <c r="E185" t="s">
        <v>598</v>
      </c>
      <c r="F185" t="s">
        <v>599</v>
      </c>
      <c r="H185">
        <v>35.4</v>
      </c>
      <c r="I185">
        <v>30.7</v>
      </c>
      <c r="J185">
        <v>33.9</v>
      </c>
      <c r="K185">
        <v>66.099999999999994</v>
      </c>
      <c r="L185">
        <v>64.599999999999994</v>
      </c>
      <c r="M185">
        <v>69.3</v>
      </c>
      <c r="N185">
        <v>37.4</v>
      </c>
      <c r="O185">
        <v>44.2</v>
      </c>
      <c r="P185">
        <v>18.399999999999999</v>
      </c>
      <c r="Q185">
        <v>67</v>
      </c>
      <c r="R185">
        <v>69.900000000000006</v>
      </c>
      <c r="S185">
        <v>42.3</v>
      </c>
      <c r="T185">
        <v>57.7</v>
      </c>
      <c r="U185">
        <v>62.8</v>
      </c>
      <c r="V185">
        <v>49.7</v>
      </c>
      <c r="W185">
        <v>50.3</v>
      </c>
    </row>
    <row r="186" spans="2:23" hidden="1" x14ac:dyDescent="0.25">
      <c r="B186" t="s">
        <v>450</v>
      </c>
      <c r="C186" t="s">
        <v>396</v>
      </c>
      <c r="D186" s="13">
        <v>0.5</v>
      </c>
      <c r="E186" t="s">
        <v>600</v>
      </c>
      <c r="F186" t="s">
        <v>601</v>
      </c>
      <c r="H186">
        <v>61.8</v>
      </c>
      <c r="I186">
        <v>24</v>
      </c>
      <c r="J186">
        <v>14.2</v>
      </c>
      <c r="K186">
        <v>85.8</v>
      </c>
      <c r="L186">
        <v>38.200000000000003</v>
      </c>
      <c r="M186">
        <v>76</v>
      </c>
      <c r="N186">
        <v>36.5</v>
      </c>
      <c r="O186">
        <v>50</v>
      </c>
      <c r="P186">
        <v>13.5</v>
      </c>
      <c r="Q186">
        <v>57.6</v>
      </c>
      <c r="R186">
        <v>76.5</v>
      </c>
      <c r="S186">
        <v>51.2</v>
      </c>
      <c r="T186">
        <v>48.8</v>
      </c>
      <c r="U186">
        <v>57.2</v>
      </c>
      <c r="V186">
        <v>48.4</v>
      </c>
      <c r="W186">
        <v>51.6</v>
      </c>
    </row>
    <row r="187" spans="2:23" hidden="1" x14ac:dyDescent="0.25">
      <c r="B187" t="s">
        <v>288</v>
      </c>
      <c r="C187" t="s">
        <v>396</v>
      </c>
      <c r="D187" s="13">
        <v>0.5</v>
      </c>
      <c r="E187" t="s">
        <v>602</v>
      </c>
      <c r="F187" t="s">
        <v>603</v>
      </c>
      <c r="H187">
        <v>39.799999999999997</v>
      </c>
      <c r="I187">
        <v>27</v>
      </c>
      <c r="J187">
        <v>33.200000000000003</v>
      </c>
      <c r="K187">
        <v>66.8</v>
      </c>
      <c r="L187">
        <v>60.2</v>
      </c>
      <c r="M187">
        <v>73</v>
      </c>
      <c r="N187">
        <v>37.5</v>
      </c>
      <c r="O187">
        <v>39.9</v>
      </c>
      <c r="P187">
        <v>22.6</v>
      </c>
      <c r="Q187">
        <v>74.400000000000006</v>
      </c>
      <c r="R187">
        <v>82.3</v>
      </c>
      <c r="S187">
        <v>59.3</v>
      </c>
      <c r="T187">
        <v>40.700000000000003</v>
      </c>
      <c r="U187">
        <v>46.3</v>
      </c>
      <c r="V187">
        <v>62.8</v>
      </c>
      <c r="W187">
        <v>37.200000000000003</v>
      </c>
    </row>
    <row r="188" spans="2:23" hidden="1" x14ac:dyDescent="0.25">
      <c r="B188" t="s">
        <v>246</v>
      </c>
      <c r="C188" t="s">
        <v>396</v>
      </c>
      <c r="D188" s="13">
        <v>0.5</v>
      </c>
      <c r="E188" t="s">
        <v>604</v>
      </c>
      <c r="F188" t="s">
        <v>605</v>
      </c>
      <c r="H188">
        <v>48.4</v>
      </c>
      <c r="I188">
        <v>26</v>
      </c>
      <c r="J188">
        <v>25.6</v>
      </c>
      <c r="K188">
        <v>74.400000000000006</v>
      </c>
      <c r="L188">
        <v>51.6</v>
      </c>
      <c r="M188">
        <v>74</v>
      </c>
      <c r="N188">
        <v>38.5</v>
      </c>
      <c r="O188">
        <v>39.799999999999997</v>
      </c>
      <c r="P188">
        <v>21.7</v>
      </c>
      <c r="Q188">
        <v>74.3</v>
      </c>
      <c r="R188">
        <v>82.5</v>
      </c>
      <c r="S188">
        <v>59.7</v>
      </c>
      <c r="T188">
        <v>40.299999999999997</v>
      </c>
      <c r="U188">
        <v>46.4</v>
      </c>
      <c r="V188">
        <v>61.6</v>
      </c>
      <c r="W188">
        <v>38.4</v>
      </c>
    </row>
    <row r="189" spans="2:23" hidden="1" x14ac:dyDescent="0.25">
      <c r="B189" t="s">
        <v>606</v>
      </c>
      <c r="C189" t="s">
        <v>396</v>
      </c>
      <c r="D189" s="13">
        <v>0.5</v>
      </c>
      <c r="E189" t="s">
        <v>607</v>
      </c>
      <c r="F189" t="s">
        <v>608</v>
      </c>
      <c r="H189">
        <v>50.3</v>
      </c>
      <c r="I189">
        <v>26.2</v>
      </c>
      <c r="J189">
        <v>23.5</v>
      </c>
      <c r="K189">
        <v>76.5</v>
      </c>
      <c r="L189">
        <v>49.7</v>
      </c>
      <c r="M189">
        <v>73.8</v>
      </c>
      <c r="N189">
        <v>39.799999999999997</v>
      </c>
      <c r="O189">
        <v>41.8</v>
      </c>
      <c r="P189">
        <v>18.399999999999999</v>
      </c>
      <c r="Q189">
        <v>70.3</v>
      </c>
      <c r="R189">
        <v>80</v>
      </c>
      <c r="S189">
        <v>55.9</v>
      </c>
      <c r="T189">
        <v>44.1</v>
      </c>
      <c r="U189">
        <v>50.5</v>
      </c>
      <c r="V189">
        <v>58</v>
      </c>
      <c r="W189">
        <v>42</v>
      </c>
    </row>
    <row r="190" spans="2:23" hidden="1" x14ac:dyDescent="0.25">
      <c r="B190" t="s">
        <v>609</v>
      </c>
      <c r="C190" t="s">
        <v>396</v>
      </c>
      <c r="D190" s="13">
        <v>0.5</v>
      </c>
      <c r="E190" t="s">
        <v>610</v>
      </c>
      <c r="F190" t="s">
        <v>611</v>
      </c>
      <c r="H190">
        <v>38</v>
      </c>
      <c r="I190">
        <v>30.6</v>
      </c>
      <c r="J190">
        <v>31.4</v>
      </c>
      <c r="K190">
        <v>68.599999999999994</v>
      </c>
      <c r="L190">
        <v>62</v>
      </c>
      <c r="M190">
        <v>69.400000000000006</v>
      </c>
      <c r="N190">
        <v>19.399999999999999</v>
      </c>
      <c r="O190">
        <v>66.2</v>
      </c>
      <c r="P190">
        <v>14.4</v>
      </c>
      <c r="Q190">
        <v>37.700000000000003</v>
      </c>
      <c r="R190">
        <v>69.599999999999994</v>
      </c>
      <c r="S190">
        <v>42</v>
      </c>
      <c r="T190">
        <v>58</v>
      </c>
      <c r="U190">
        <v>63.2</v>
      </c>
      <c r="V190">
        <v>49.2</v>
      </c>
      <c r="W190">
        <v>50.8</v>
      </c>
    </row>
    <row r="191" spans="2:23" hidden="1" x14ac:dyDescent="0.25">
      <c r="B191" t="s">
        <v>609</v>
      </c>
      <c r="C191" t="s">
        <v>396</v>
      </c>
      <c r="D191" s="13">
        <v>0.5</v>
      </c>
      <c r="E191" t="s">
        <v>612</v>
      </c>
      <c r="F191" t="s">
        <v>613</v>
      </c>
      <c r="H191">
        <v>32.9</v>
      </c>
      <c r="I191">
        <v>32.700000000000003</v>
      </c>
      <c r="J191">
        <v>34.299999999999997</v>
      </c>
      <c r="K191">
        <v>65.7</v>
      </c>
      <c r="L191">
        <v>67.099999999999994</v>
      </c>
      <c r="M191">
        <v>67.3</v>
      </c>
      <c r="N191">
        <v>11.9</v>
      </c>
      <c r="O191">
        <v>55.9</v>
      </c>
      <c r="P191">
        <v>32.1</v>
      </c>
      <c r="Q191">
        <v>50.1</v>
      </c>
      <c r="R191">
        <v>63.7</v>
      </c>
      <c r="S191">
        <v>35.4</v>
      </c>
      <c r="T191">
        <v>64.599999999999994</v>
      </c>
      <c r="U191">
        <v>69.3</v>
      </c>
      <c r="V191">
        <v>44</v>
      </c>
      <c r="W191">
        <v>56</v>
      </c>
    </row>
    <row r="192" spans="2:23" hidden="1" x14ac:dyDescent="0.25">
      <c r="B192" t="s">
        <v>609</v>
      </c>
      <c r="C192" t="s">
        <v>396</v>
      </c>
      <c r="D192" s="13">
        <v>0.5</v>
      </c>
      <c r="E192" t="s">
        <v>614</v>
      </c>
      <c r="F192" t="s">
        <v>615</v>
      </c>
      <c r="H192">
        <v>39.1</v>
      </c>
      <c r="I192">
        <v>29.3</v>
      </c>
      <c r="J192">
        <v>31.6</v>
      </c>
      <c r="K192">
        <v>68.400000000000006</v>
      </c>
      <c r="L192">
        <v>60.9</v>
      </c>
      <c r="M192">
        <v>70.7</v>
      </c>
      <c r="N192">
        <v>17.2</v>
      </c>
      <c r="O192">
        <v>50.5</v>
      </c>
      <c r="P192">
        <v>32.299999999999997</v>
      </c>
      <c r="Q192">
        <v>58.5</v>
      </c>
      <c r="R192">
        <v>73.900000000000006</v>
      </c>
      <c r="S192">
        <v>47.4</v>
      </c>
      <c r="T192">
        <v>52.6</v>
      </c>
      <c r="U192">
        <v>58.1</v>
      </c>
      <c r="V192">
        <v>53.5</v>
      </c>
      <c r="W192">
        <v>46.5</v>
      </c>
    </row>
    <row r="193" spans="2:23" hidden="1" x14ac:dyDescent="0.25">
      <c r="B193" t="s">
        <v>465</v>
      </c>
      <c r="C193" t="s">
        <v>396</v>
      </c>
      <c r="D193" s="13">
        <v>0.5</v>
      </c>
      <c r="E193" t="s">
        <v>616</v>
      </c>
      <c r="F193" t="s">
        <v>617</v>
      </c>
      <c r="H193">
        <v>30.6</v>
      </c>
      <c r="I193">
        <v>29.2</v>
      </c>
      <c r="J193">
        <v>40.1</v>
      </c>
      <c r="K193">
        <v>59.9</v>
      </c>
      <c r="L193">
        <v>69.400000000000006</v>
      </c>
      <c r="M193">
        <v>70.8</v>
      </c>
      <c r="N193">
        <v>19</v>
      </c>
      <c r="O193">
        <v>44.3</v>
      </c>
      <c r="P193">
        <v>36.700000000000003</v>
      </c>
      <c r="Q193">
        <v>67.599999999999994</v>
      </c>
      <c r="R193">
        <v>75.099999999999994</v>
      </c>
      <c r="S193">
        <v>49</v>
      </c>
      <c r="T193">
        <v>51</v>
      </c>
      <c r="U193">
        <v>56.6</v>
      </c>
      <c r="V193">
        <v>54.6</v>
      </c>
      <c r="W193">
        <v>45.4</v>
      </c>
    </row>
    <row r="194" spans="2:23" hidden="1" x14ac:dyDescent="0.25">
      <c r="B194" t="s">
        <v>297</v>
      </c>
      <c r="C194" t="s">
        <v>396</v>
      </c>
      <c r="D194" s="13">
        <v>0.52083333333333337</v>
      </c>
      <c r="E194" t="s">
        <v>618</v>
      </c>
      <c r="F194" t="s">
        <v>619</v>
      </c>
      <c r="H194">
        <v>46.1</v>
      </c>
      <c r="I194">
        <v>28.8</v>
      </c>
      <c r="J194">
        <v>25.1</v>
      </c>
      <c r="K194">
        <v>74.900000000000006</v>
      </c>
      <c r="L194">
        <v>53.9</v>
      </c>
      <c r="M194">
        <v>71.2</v>
      </c>
      <c r="N194">
        <v>38.5</v>
      </c>
      <c r="O194">
        <v>42</v>
      </c>
      <c r="P194">
        <v>19.5</v>
      </c>
      <c r="Q194">
        <v>70.5</v>
      </c>
      <c r="R194">
        <v>72.3</v>
      </c>
      <c r="S194">
        <v>45.3</v>
      </c>
      <c r="T194">
        <v>54.7</v>
      </c>
      <c r="U194">
        <v>60.5</v>
      </c>
      <c r="V194">
        <v>50.6</v>
      </c>
      <c r="W194">
        <v>49.4</v>
      </c>
    </row>
    <row r="195" spans="2:23" hidden="1" x14ac:dyDescent="0.25">
      <c r="B195" t="s">
        <v>620</v>
      </c>
      <c r="C195" t="s">
        <v>396</v>
      </c>
      <c r="D195" s="13">
        <v>0.52083333333333337</v>
      </c>
      <c r="E195" t="s">
        <v>621</v>
      </c>
      <c r="F195" t="s">
        <v>622</v>
      </c>
      <c r="H195">
        <v>26.3</v>
      </c>
      <c r="I195">
        <v>28</v>
      </c>
      <c r="J195">
        <v>45.7</v>
      </c>
      <c r="K195">
        <v>54.3</v>
      </c>
      <c r="L195">
        <v>73.7</v>
      </c>
      <c r="M195">
        <v>72</v>
      </c>
      <c r="N195">
        <v>24.2</v>
      </c>
      <c r="O195">
        <v>41.6</v>
      </c>
      <c r="P195">
        <v>34.200000000000003</v>
      </c>
      <c r="Q195">
        <v>72.599999999999994</v>
      </c>
      <c r="R195">
        <v>78.5</v>
      </c>
      <c r="S195">
        <v>53.7</v>
      </c>
      <c r="T195">
        <v>46.3</v>
      </c>
      <c r="U195">
        <v>52.3</v>
      </c>
      <c r="V195">
        <v>57.4</v>
      </c>
      <c r="W195">
        <v>42.6</v>
      </c>
    </row>
    <row r="196" spans="2:23" hidden="1" x14ac:dyDescent="0.25">
      <c r="B196" t="s">
        <v>620</v>
      </c>
      <c r="C196" t="s">
        <v>396</v>
      </c>
      <c r="D196" s="13">
        <v>0.52083333333333337</v>
      </c>
      <c r="E196" t="s">
        <v>623</v>
      </c>
      <c r="F196" t="s">
        <v>624</v>
      </c>
      <c r="H196">
        <v>66.8</v>
      </c>
      <c r="I196">
        <v>21.8</v>
      </c>
      <c r="J196">
        <v>11.5</v>
      </c>
      <c r="K196">
        <v>88.5</v>
      </c>
      <c r="L196">
        <v>33.200000000000003</v>
      </c>
      <c r="M196">
        <v>78.2</v>
      </c>
      <c r="N196">
        <v>31.2</v>
      </c>
      <c r="O196">
        <v>47</v>
      </c>
      <c r="P196">
        <v>21.7</v>
      </c>
      <c r="Q196">
        <v>63.9</v>
      </c>
      <c r="R196">
        <v>82.7</v>
      </c>
      <c r="S196">
        <v>60.4</v>
      </c>
      <c r="T196">
        <v>39.6</v>
      </c>
      <c r="U196">
        <v>49</v>
      </c>
      <c r="V196">
        <v>52.6</v>
      </c>
      <c r="W196">
        <v>47.4</v>
      </c>
    </row>
    <row r="197" spans="2:23" hidden="1" x14ac:dyDescent="0.25">
      <c r="B197" t="s">
        <v>255</v>
      </c>
      <c r="C197" t="s">
        <v>396</v>
      </c>
      <c r="D197" s="13">
        <v>0.52083333333333337</v>
      </c>
      <c r="E197" t="s">
        <v>211</v>
      </c>
      <c r="F197" t="s">
        <v>625</v>
      </c>
      <c r="H197">
        <v>32</v>
      </c>
      <c r="I197">
        <v>45.3</v>
      </c>
      <c r="J197">
        <v>22.7</v>
      </c>
      <c r="K197">
        <v>77.3</v>
      </c>
      <c r="L197">
        <v>68</v>
      </c>
      <c r="M197">
        <v>54.7</v>
      </c>
      <c r="N197">
        <v>21.7</v>
      </c>
      <c r="O197">
        <v>56.6</v>
      </c>
      <c r="P197">
        <v>21.7</v>
      </c>
      <c r="Q197">
        <v>50.4</v>
      </c>
      <c r="R197">
        <v>31.8</v>
      </c>
      <c r="S197">
        <v>10.3</v>
      </c>
      <c r="T197">
        <v>89.7</v>
      </c>
      <c r="U197">
        <v>91.7</v>
      </c>
      <c r="V197">
        <v>19</v>
      </c>
      <c r="W197">
        <v>81</v>
      </c>
    </row>
    <row r="198" spans="2:23" hidden="1" x14ac:dyDescent="0.25">
      <c r="B198" t="s">
        <v>532</v>
      </c>
      <c r="C198" t="s">
        <v>396</v>
      </c>
      <c r="D198" s="13">
        <v>0.52083333333333337</v>
      </c>
      <c r="E198" t="s">
        <v>626</v>
      </c>
      <c r="F198" t="s">
        <v>627</v>
      </c>
      <c r="H198">
        <v>33.1</v>
      </c>
      <c r="I198">
        <v>29.4</v>
      </c>
      <c r="J198">
        <v>37.5</v>
      </c>
      <c r="K198">
        <v>62.5</v>
      </c>
      <c r="L198">
        <v>66.900000000000006</v>
      </c>
      <c r="M198">
        <v>70.599999999999994</v>
      </c>
      <c r="N198">
        <v>30.4</v>
      </c>
      <c r="O198">
        <v>42.7</v>
      </c>
      <c r="P198">
        <v>26.9</v>
      </c>
      <c r="Q198">
        <v>71</v>
      </c>
      <c r="R198">
        <v>74.599999999999994</v>
      </c>
      <c r="S198">
        <v>48.3</v>
      </c>
      <c r="T198">
        <v>51.7</v>
      </c>
      <c r="U198">
        <v>57.2</v>
      </c>
      <c r="V198">
        <v>54.4</v>
      </c>
      <c r="W198">
        <v>45.6</v>
      </c>
    </row>
    <row r="199" spans="2:23" hidden="1" x14ac:dyDescent="0.25">
      <c r="B199" t="s">
        <v>497</v>
      </c>
      <c r="C199" t="s">
        <v>396</v>
      </c>
      <c r="D199" s="13">
        <v>0.54166666666666663</v>
      </c>
      <c r="E199" t="s">
        <v>628</v>
      </c>
      <c r="F199" t="s">
        <v>629</v>
      </c>
      <c r="H199">
        <v>33.6</v>
      </c>
      <c r="I199">
        <v>25.6</v>
      </c>
      <c r="J199">
        <v>40.799999999999997</v>
      </c>
      <c r="K199">
        <v>59.2</v>
      </c>
      <c r="L199">
        <v>66.400000000000006</v>
      </c>
      <c r="M199">
        <v>74.400000000000006</v>
      </c>
      <c r="N199">
        <v>37.5</v>
      </c>
      <c r="O199">
        <v>35.9</v>
      </c>
      <c r="P199">
        <v>26.6</v>
      </c>
      <c r="Q199">
        <v>81.099999999999994</v>
      </c>
      <c r="R199">
        <v>93.1</v>
      </c>
      <c r="S199">
        <v>79.599999999999994</v>
      </c>
      <c r="T199">
        <v>20.399999999999999</v>
      </c>
      <c r="U199">
        <v>25</v>
      </c>
      <c r="V199">
        <v>78.5</v>
      </c>
      <c r="W199">
        <v>21.5</v>
      </c>
    </row>
    <row r="200" spans="2:23" hidden="1" x14ac:dyDescent="0.25">
      <c r="B200" t="s">
        <v>497</v>
      </c>
      <c r="C200" t="s">
        <v>396</v>
      </c>
      <c r="D200" s="13">
        <v>0.54166666666666663</v>
      </c>
      <c r="E200" t="s">
        <v>630</v>
      </c>
      <c r="F200" t="s">
        <v>631</v>
      </c>
      <c r="H200">
        <v>60.8</v>
      </c>
      <c r="I200">
        <v>23.8</v>
      </c>
      <c r="J200">
        <v>15.4</v>
      </c>
      <c r="K200">
        <v>84.6</v>
      </c>
      <c r="L200">
        <v>39.200000000000003</v>
      </c>
      <c r="M200">
        <v>76.2</v>
      </c>
      <c r="N200">
        <v>43.4</v>
      </c>
      <c r="O200">
        <v>40.1</v>
      </c>
      <c r="P200">
        <v>16.399999999999999</v>
      </c>
      <c r="Q200">
        <v>71.900000000000006</v>
      </c>
      <c r="R200">
        <v>92.5</v>
      </c>
      <c r="S200">
        <v>78.400000000000006</v>
      </c>
      <c r="T200">
        <v>21.6</v>
      </c>
      <c r="U200">
        <v>28</v>
      </c>
      <c r="V200">
        <v>71.900000000000006</v>
      </c>
      <c r="W200">
        <v>28.1</v>
      </c>
    </row>
    <row r="201" spans="2:23" hidden="1" x14ac:dyDescent="0.25">
      <c r="B201" t="s">
        <v>425</v>
      </c>
      <c r="C201" t="s">
        <v>396</v>
      </c>
      <c r="D201" s="13">
        <v>0.54166666666666663</v>
      </c>
      <c r="E201" t="s">
        <v>632</v>
      </c>
      <c r="F201" t="s">
        <v>633</v>
      </c>
      <c r="H201">
        <v>51.5</v>
      </c>
      <c r="I201">
        <v>24.5</v>
      </c>
      <c r="J201">
        <v>23.9</v>
      </c>
      <c r="K201">
        <v>76.099999999999994</v>
      </c>
      <c r="L201">
        <v>48.5</v>
      </c>
      <c r="M201">
        <v>75.5</v>
      </c>
      <c r="N201">
        <v>39.5</v>
      </c>
      <c r="O201">
        <v>35.9</v>
      </c>
      <c r="P201">
        <v>24.5</v>
      </c>
      <c r="Q201">
        <v>80.599999999999994</v>
      </c>
      <c r="R201">
        <v>89.8</v>
      </c>
      <c r="S201">
        <v>72.7</v>
      </c>
      <c r="T201">
        <v>27.3</v>
      </c>
      <c r="U201">
        <v>33.1</v>
      </c>
      <c r="V201">
        <v>71.099999999999994</v>
      </c>
      <c r="W201">
        <v>28.9</v>
      </c>
    </row>
    <row r="202" spans="2:23" hidden="1" x14ac:dyDescent="0.25">
      <c r="B202" t="s">
        <v>327</v>
      </c>
      <c r="C202" t="s">
        <v>396</v>
      </c>
      <c r="D202" s="13">
        <v>0.54166666666666663</v>
      </c>
      <c r="E202" t="s">
        <v>634</v>
      </c>
      <c r="F202" t="s">
        <v>635</v>
      </c>
      <c r="H202">
        <v>40.4</v>
      </c>
      <c r="I202">
        <v>25.6</v>
      </c>
      <c r="J202">
        <v>34</v>
      </c>
      <c r="K202">
        <v>66</v>
      </c>
      <c r="L202">
        <v>59.6</v>
      </c>
      <c r="M202">
        <v>74.400000000000006</v>
      </c>
      <c r="N202">
        <v>22.8</v>
      </c>
      <c r="O202">
        <v>39.799999999999997</v>
      </c>
      <c r="P202">
        <v>37.4</v>
      </c>
      <c r="Q202">
        <v>75.099999999999994</v>
      </c>
      <c r="R202">
        <v>88.5</v>
      </c>
      <c r="S202">
        <v>70</v>
      </c>
      <c r="T202">
        <v>30</v>
      </c>
      <c r="U202">
        <v>35.299999999999997</v>
      </c>
      <c r="V202">
        <v>71</v>
      </c>
      <c r="W202">
        <v>29</v>
      </c>
    </row>
    <row r="203" spans="2:23" hidden="1" x14ac:dyDescent="0.25">
      <c r="B203" t="s">
        <v>291</v>
      </c>
      <c r="C203" t="s">
        <v>396</v>
      </c>
      <c r="D203" s="13">
        <v>0.54166666666666663</v>
      </c>
      <c r="E203" t="s">
        <v>636</v>
      </c>
      <c r="F203" t="s">
        <v>637</v>
      </c>
      <c r="H203">
        <v>54.3</v>
      </c>
      <c r="I203">
        <v>24.3</v>
      </c>
      <c r="J203">
        <v>21.4</v>
      </c>
      <c r="K203">
        <v>78.599999999999994</v>
      </c>
      <c r="L203">
        <v>45.7</v>
      </c>
      <c r="M203">
        <v>75.7</v>
      </c>
      <c r="N203">
        <v>53</v>
      </c>
      <c r="O203">
        <v>30.9</v>
      </c>
      <c r="P203">
        <v>16.100000000000001</v>
      </c>
      <c r="Q203">
        <v>84.3</v>
      </c>
      <c r="R203">
        <v>91.5</v>
      </c>
      <c r="S203">
        <v>76.099999999999994</v>
      </c>
      <c r="T203">
        <v>23.9</v>
      </c>
      <c r="U203">
        <v>29.6</v>
      </c>
      <c r="V203">
        <v>73</v>
      </c>
      <c r="W203">
        <v>27</v>
      </c>
    </row>
    <row r="204" spans="2:23" hidden="1" x14ac:dyDescent="0.25">
      <c r="B204" t="s">
        <v>506</v>
      </c>
      <c r="C204" t="s">
        <v>396</v>
      </c>
      <c r="D204" s="13">
        <v>0.54166666666666663</v>
      </c>
      <c r="E204" t="s">
        <v>638</v>
      </c>
      <c r="F204" t="s">
        <v>639</v>
      </c>
      <c r="H204">
        <v>56.4</v>
      </c>
      <c r="I204">
        <v>25.6</v>
      </c>
      <c r="J204">
        <v>18</v>
      </c>
      <c r="K204">
        <v>82</v>
      </c>
      <c r="L204">
        <v>43.6</v>
      </c>
      <c r="M204">
        <v>74.400000000000006</v>
      </c>
      <c r="N204">
        <v>41.7</v>
      </c>
      <c r="O204">
        <v>39.5</v>
      </c>
      <c r="P204">
        <v>18.8</v>
      </c>
      <c r="Q204">
        <v>73.8</v>
      </c>
      <c r="R204">
        <v>76.3</v>
      </c>
      <c r="S204">
        <v>50.7</v>
      </c>
      <c r="T204">
        <v>49.3</v>
      </c>
      <c r="U204">
        <v>56.6</v>
      </c>
      <c r="V204">
        <v>51.2</v>
      </c>
      <c r="W204">
        <v>48.8</v>
      </c>
    </row>
    <row r="205" spans="2:23" hidden="1" x14ac:dyDescent="0.25">
      <c r="B205" t="s">
        <v>432</v>
      </c>
      <c r="C205" t="s">
        <v>396</v>
      </c>
      <c r="D205" s="13">
        <v>0.54166666666666663</v>
      </c>
      <c r="E205" t="s">
        <v>640</v>
      </c>
      <c r="F205" t="s">
        <v>641</v>
      </c>
      <c r="H205">
        <v>11.7</v>
      </c>
      <c r="I205">
        <v>24.3</v>
      </c>
      <c r="J205">
        <v>64</v>
      </c>
      <c r="K205">
        <v>36</v>
      </c>
      <c r="L205">
        <v>88.3</v>
      </c>
      <c r="M205">
        <v>75.7</v>
      </c>
      <c r="N205">
        <v>6.9</v>
      </c>
      <c r="O205">
        <v>29.1</v>
      </c>
      <c r="P205">
        <v>64.099999999999994</v>
      </c>
      <c r="Q205">
        <v>81.2</v>
      </c>
      <c r="R205">
        <v>92.1</v>
      </c>
      <c r="S205">
        <v>77.7</v>
      </c>
      <c r="T205">
        <v>22.3</v>
      </c>
      <c r="U205">
        <v>29.7</v>
      </c>
      <c r="V205">
        <v>68.400000000000006</v>
      </c>
      <c r="W205">
        <v>31.6</v>
      </c>
    </row>
    <row r="206" spans="2:23" hidden="1" x14ac:dyDescent="0.25">
      <c r="B206" t="s">
        <v>432</v>
      </c>
      <c r="C206" t="s">
        <v>396</v>
      </c>
      <c r="D206" s="13">
        <v>0.54166666666666663</v>
      </c>
      <c r="E206" t="s">
        <v>642</v>
      </c>
      <c r="F206" t="s">
        <v>643</v>
      </c>
      <c r="H206">
        <v>37.4</v>
      </c>
      <c r="I206">
        <v>26.3</v>
      </c>
      <c r="J206">
        <v>36.299999999999997</v>
      </c>
      <c r="K206">
        <v>63.7</v>
      </c>
      <c r="L206">
        <v>62.6</v>
      </c>
      <c r="M206">
        <v>73.7</v>
      </c>
      <c r="N206">
        <v>25.5</v>
      </c>
      <c r="O206">
        <v>44.1</v>
      </c>
      <c r="P206">
        <v>30.4</v>
      </c>
      <c r="Q206">
        <v>68.900000000000006</v>
      </c>
      <c r="R206">
        <v>85.6</v>
      </c>
      <c r="S206">
        <v>64.8</v>
      </c>
      <c r="T206">
        <v>35.200000000000003</v>
      </c>
      <c r="U206">
        <v>40.700000000000003</v>
      </c>
      <c r="V206">
        <v>67.099999999999994</v>
      </c>
      <c r="W206">
        <v>32.9</v>
      </c>
    </row>
    <row r="207" spans="2:23" hidden="1" x14ac:dyDescent="0.25">
      <c r="B207" t="s">
        <v>574</v>
      </c>
      <c r="C207" t="s">
        <v>396</v>
      </c>
      <c r="D207" s="13">
        <v>0.54166666666666663</v>
      </c>
      <c r="E207" t="s">
        <v>644</v>
      </c>
      <c r="F207" t="s">
        <v>645</v>
      </c>
      <c r="H207">
        <v>65.5</v>
      </c>
      <c r="I207">
        <v>22.5</v>
      </c>
      <c r="J207">
        <v>12.1</v>
      </c>
      <c r="K207">
        <v>87.9</v>
      </c>
      <c r="L207">
        <v>34.5</v>
      </c>
      <c r="M207">
        <v>77.5</v>
      </c>
      <c r="N207">
        <v>53.9</v>
      </c>
      <c r="O207">
        <v>30.5</v>
      </c>
      <c r="P207">
        <v>15.5</v>
      </c>
      <c r="Q207">
        <v>84.6</v>
      </c>
      <c r="R207">
        <v>90.3</v>
      </c>
      <c r="S207">
        <v>74</v>
      </c>
      <c r="T207">
        <v>26</v>
      </c>
      <c r="U207">
        <v>33.9</v>
      </c>
      <c r="V207">
        <v>65</v>
      </c>
      <c r="W207">
        <v>35</v>
      </c>
    </row>
    <row r="208" spans="2:23" hidden="1" x14ac:dyDescent="0.25">
      <c r="B208" t="s">
        <v>646</v>
      </c>
      <c r="C208" t="s">
        <v>396</v>
      </c>
      <c r="D208" s="13">
        <v>0.54166666666666663</v>
      </c>
      <c r="E208" t="s">
        <v>647</v>
      </c>
      <c r="F208" t="s">
        <v>648</v>
      </c>
      <c r="H208">
        <v>42.5</v>
      </c>
      <c r="I208">
        <v>27.6</v>
      </c>
      <c r="J208">
        <v>30</v>
      </c>
      <c r="K208">
        <v>70</v>
      </c>
      <c r="L208">
        <v>57.5</v>
      </c>
      <c r="M208">
        <v>72.400000000000006</v>
      </c>
      <c r="N208">
        <v>29.2</v>
      </c>
      <c r="O208">
        <v>44.9</v>
      </c>
      <c r="P208">
        <v>25.9</v>
      </c>
      <c r="Q208">
        <v>67.5</v>
      </c>
      <c r="R208">
        <v>79</v>
      </c>
      <c r="S208">
        <v>54.5</v>
      </c>
      <c r="T208">
        <v>45.5</v>
      </c>
      <c r="U208">
        <v>51.3</v>
      </c>
      <c r="V208">
        <v>58.7</v>
      </c>
      <c r="W208">
        <v>41.3</v>
      </c>
    </row>
    <row r="209" spans="2:23" hidden="1" x14ac:dyDescent="0.25">
      <c r="B209" t="s">
        <v>250</v>
      </c>
      <c r="C209" t="s">
        <v>396</v>
      </c>
      <c r="D209" s="13">
        <v>0.5625</v>
      </c>
      <c r="E209" t="s">
        <v>649</v>
      </c>
      <c r="F209" t="s">
        <v>650</v>
      </c>
      <c r="H209">
        <v>45.6</v>
      </c>
      <c r="I209">
        <v>30</v>
      </c>
      <c r="J209">
        <v>24.4</v>
      </c>
      <c r="K209">
        <v>75.599999999999994</v>
      </c>
      <c r="L209">
        <v>54.4</v>
      </c>
      <c r="M209">
        <v>70</v>
      </c>
      <c r="N209">
        <v>33.700000000000003</v>
      </c>
      <c r="O209">
        <v>45.7</v>
      </c>
      <c r="P209">
        <v>20.5</v>
      </c>
      <c r="Q209">
        <v>65.5</v>
      </c>
      <c r="R209">
        <v>67.8</v>
      </c>
      <c r="S209">
        <v>40</v>
      </c>
      <c r="T209">
        <v>60</v>
      </c>
      <c r="U209">
        <v>65.7</v>
      </c>
      <c r="V209">
        <v>46.2</v>
      </c>
      <c r="W209">
        <v>53.8</v>
      </c>
    </row>
    <row r="210" spans="2:23" hidden="1" x14ac:dyDescent="0.25">
      <c r="B210" t="s">
        <v>651</v>
      </c>
      <c r="C210" t="s">
        <v>396</v>
      </c>
      <c r="D210" s="13">
        <v>0.5625</v>
      </c>
      <c r="E210" t="s">
        <v>93</v>
      </c>
      <c r="F210" t="s">
        <v>652</v>
      </c>
      <c r="H210">
        <v>41.8</v>
      </c>
      <c r="I210">
        <v>28.9</v>
      </c>
      <c r="J210">
        <v>29.3</v>
      </c>
      <c r="K210">
        <v>70.7</v>
      </c>
      <c r="L210">
        <v>58.2</v>
      </c>
      <c r="M210">
        <v>71.099999999999994</v>
      </c>
      <c r="N210">
        <v>26.4</v>
      </c>
      <c r="O210">
        <v>43.4</v>
      </c>
      <c r="P210">
        <v>30.1</v>
      </c>
      <c r="Q210">
        <v>69.900000000000006</v>
      </c>
      <c r="R210">
        <v>74.2</v>
      </c>
      <c r="S210">
        <v>47.7</v>
      </c>
      <c r="T210">
        <v>52.3</v>
      </c>
      <c r="U210">
        <v>57.9</v>
      </c>
      <c r="V210">
        <v>53.5</v>
      </c>
      <c r="W210">
        <v>46.5</v>
      </c>
    </row>
    <row r="211" spans="2:23" hidden="1" x14ac:dyDescent="0.25">
      <c r="B211" t="s">
        <v>263</v>
      </c>
      <c r="C211" t="s">
        <v>396</v>
      </c>
      <c r="D211" s="13">
        <v>0.58333333333333337</v>
      </c>
      <c r="E211" t="s">
        <v>653</v>
      </c>
      <c r="F211" t="s">
        <v>654</v>
      </c>
      <c r="H211">
        <v>58.1</v>
      </c>
      <c r="I211">
        <v>26.6</v>
      </c>
      <c r="J211">
        <v>15.3</v>
      </c>
      <c r="K211">
        <v>84.7</v>
      </c>
      <c r="L211">
        <v>41.9</v>
      </c>
      <c r="M211">
        <v>73.400000000000006</v>
      </c>
      <c r="N211">
        <v>43.5</v>
      </c>
      <c r="O211">
        <v>47.4</v>
      </c>
      <c r="P211">
        <v>9.1</v>
      </c>
      <c r="Q211">
        <v>58.9</v>
      </c>
      <c r="R211">
        <v>68.7</v>
      </c>
      <c r="S211">
        <v>41.2</v>
      </c>
      <c r="T211">
        <v>58.8</v>
      </c>
      <c r="U211">
        <v>66.400000000000006</v>
      </c>
      <c r="V211">
        <v>41.9</v>
      </c>
      <c r="W211">
        <v>58.1</v>
      </c>
    </row>
    <row r="212" spans="2:23" hidden="1" x14ac:dyDescent="0.25">
      <c r="B212" t="s">
        <v>655</v>
      </c>
      <c r="C212" t="s">
        <v>396</v>
      </c>
      <c r="D212" s="13">
        <v>0.58333333333333337</v>
      </c>
      <c r="E212" t="s">
        <v>656</v>
      </c>
      <c r="F212" t="s">
        <v>657</v>
      </c>
      <c r="H212">
        <v>54.1</v>
      </c>
      <c r="I212">
        <v>24.3</v>
      </c>
      <c r="J212">
        <v>21.7</v>
      </c>
      <c r="K212">
        <v>78.3</v>
      </c>
      <c r="L212">
        <v>45.9</v>
      </c>
      <c r="M212">
        <v>75.7</v>
      </c>
      <c r="N212">
        <v>43.1</v>
      </c>
      <c r="O212">
        <v>36.799999999999997</v>
      </c>
      <c r="P212">
        <v>20.100000000000001</v>
      </c>
      <c r="Q212">
        <v>78.099999999999994</v>
      </c>
      <c r="R212">
        <v>88.3</v>
      </c>
      <c r="S212">
        <v>69.7</v>
      </c>
      <c r="T212">
        <v>30.3</v>
      </c>
      <c r="U212">
        <v>36.5</v>
      </c>
      <c r="V212">
        <v>67.900000000000006</v>
      </c>
      <c r="W212">
        <v>32.1</v>
      </c>
    </row>
    <row r="213" spans="2:23" hidden="1" x14ac:dyDescent="0.25">
      <c r="B213" t="s">
        <v>572</v>
      </c>
      <c r="C213" t="s">
        <v>396</v>
      </c>
      <c r="D213" s="13">
        <v>0.58333333333333337</v>
      </c>
      <c r="E213" t="s">
        <v>658</v>
      </c>
      <c r="F213" t="s">
        <v>659</v>
      </c>
      <c r="H213">
        <v>41.5</v>
      </c>
      <c r="I213">
        <v>26.4</v>
      </c>
      <c r="J213">
        <v>32.1</v>
      </c>
      <c r="K213">
        <v>67.900000000000006</v>
      </c>
      <c r="L213">
        <v>58.5</v>
      </c>
      <c r="M213">
        <v>73.599999999999994</v>
      </c>
      <c r="N213">
        <v>35.200000000000003</v>
      </c>
      <c r="O213">
        <v>40.799999999999997</v>
      </c>
      <c r="P213">
        <v>23.9</v>
      </c>
      <c r="Q213">
        <v>73.3</v>
      </c>
      <c r="R213">
        <v>84.1</v>
      </c>
      <c r="S213">
        <v>62.3</v>
      </c>
      <c r="T213">
        <v>37.700000000000003</v>
      </c>
      <c r="U213">
        <v>43.4</v>
      </c>
      <c r="V213">
        <v>64.900000000000006</v>
      </c>
      <c r="W213">
        <v>35.1</v>
      </c>
    </row>
    <row r="214" spans="2:23" hidden="1" x14ac:dyDescent="0.25">
      <c r="B214" t="s">
        <v>256</v>
      </c>
      <c r="C214" t="s">
        <v>396</v>
      </c>
      <c r="D214" s="13">
        <v>0.58333333333333337</v>
      </c>
      <c r="E214" t="s">
        <v>660</v>
      </c>
      <c r="F214" t="s">
        <v>661</v>
      </c>
      <c r="H214">
        <v>55.5</v>
      </c>
      <c r="I214">
        <v>25.8</v>
      </c>
      <c r="J214">
        <v>18.8</v>
      </c>
      <c r="K214">
        <v>81.2</v>
      </c>
      <c r="L214">
        <v>44.5</v>
      </c>
      <c r="M214">
        <v>74.2</v>
      </c>
      <c r="N214">
        <v>37.700000000000003</v>
      </c>
      <c r="O214">
        <v>40.1</v>
      </c>
      <c r="P214">
        <v>22.2</v>
      </c>
      <c r="Q214">
        <v>74</v>
      </c>
      <c r="R214">
        <v>76.599999999999994</v>
      </c>
      <c r="S214">
        <v>51.2</v>
      </c>
      <c r="T214">
        <v>48.8</v>
      </c>
      <c r="U214">
        <v>56</v>
      </c>
      <c r="V214">
        <v>52</v>
      </c>
      <c r="W214">
        <v>48</v>
      </c>
    </row>
    <row r="215" spans="2:23" hidden="1" x14ac:dyDescent="0.25">
      <c r="B215" t="s">
        <v>256</v>
      </c>
      <c r="C215" t="s">
        <v>396</v>
      </c>
      <c r="D215" s="13">
        <v>0.58333333333333337</v>
      </c>
      <c r="E215" t="s">
        <v>662</v>
      </c>
      <c r="F215" t="s">
        <v>663</v>
      </c>
      <c r="H215">
        <v>44.1</v>
      </c>
      <c r="I215">
        <v>29.5</v>
      </c>
      <c r="J215">
        <v>26.4</v>
      </c>
      <c r="K215">
        <v>73.599999999999994</v>
      </c>
      <c r="L215">
        <v>55.9</v>
      </c>
      <c r="M215">
        <v>70.5</v>
      </c>
      <c r="N215" t="s">
        <v>664</v>
      </c>
      <c r="O215" t="s">
        <v>664</v>
      </c>
      <c r="P215" t="s">
        <v>664</v>
      </c>
      <c r="Q215" t="s">
        <v>664</v>
      </c>
      <c r="R215">
        <v>70.8</v>
      </c>
      <c r="S215">
        <v>43.5</v>
      </c>
      <c r="T215">
        <v>56.5</v>
      </c>
      <c r="U215">
        <v>62.1</v>
      </c>
      <c r="V215">
        <v>49.6</v>
      </c>
      <c r="W215">
        <v>50.4</v>
      </c>
    </row>
    <row r="216" spans="2:23" hidden="1" x14ac:dyDescent="0.25">
      <c r="B216" t="s">
        <v>350</v>
      </c>
      <c r="C216" t="s">
        <v>396</v>
      </c>
      <c r="D216" s="13">
        <v>0.58333333333333337</v>
      </c>
      <c r="E216" t="s">
        <v>665</v>
      </c>
      <c r="F216" t="s">
        <v>666</v>
      </c>
      <c r="H216">
        <v>47.3</v>
      </c>
      <c r="I216">
        <v>30.2</v>
      </c>
      <c r="J216">
        <v>22.5</v>
      </c>
      <c r="K216">
        <v>77.5</v>
      </c>
      <c r="L216">
        <v>52.7</v>
      </c>
      <c r="M216">
        <v>69.8</v>
      </c>
      <c r="N216">
        <v>27.6</v>
      </c>
      <c r="O216">
        <v>51.2</v>
      </c>
      <c r="P216">
        <v>21.2</v>
      </c>
      <c r="Q216">
        <v>58</v>
      </c>
      <c r="R216">
        <v>66</v>
      </c>
      <c r="S216">
        <v>38</v>
      </c>
      <c r="T216">
        <v>62</v>
      </c>
      <c r="U216">
        <v>67.8</v>
      </c>
      <c r="V216">
        <v>43.9</v>
      </c>
      <c r="W216">
        <v>56.1</v>
      </c>
    </row>
    <row r="217" spans="2:23" hidden="1" x14ac:dyDescent="0.25">
      <c r="B217" t="s">
        <v>350</v>
      </c>
      <c r="C217" t="s">
        <v>396</v>
      </c>
      <c r="D217" s="13">
        <v>0.58333333333333337</v>
      </c>
      <c r="E217" t="s">
        <v>667</v>
      </c>
      <c r="F217" t="s">
        <v>668</v>
      </c>
      <c r="H217">
        <v>31.3</v>
      </c>
      <c r="I217">
        <v>30.1</v>
      </c>
      <c r="J217">
        <v>38.5</v>
      </c>
      <c r="K217">
        <v>61.5</v>
      </c>
      <c r="L217">
        <v>68.7</v>
      </c>
      <c r="M217">
        <v>69.900000000000006</v>
      </c>
      <c r="N217">
        <v>30.1</v>
      </c>
      <c r="O217">
        <v>43.5</v>
      </c>
      <c r="P217">
        <v>26.3</v>
      </c>
      <c r="Q217">
        <v>69.599999999999994</v>
      </c>
      <c r="R217">
        <v>72.2</v>
      </c>
      <c r="S217">
        <v>45.2</v>
      </c>
      <c r="T217">
        <v>54.8</v>
      </c>
      <c r="U217">
        <v>60.2</v>
      </c>
      <c r="V217">
        <v>51.8</v>
      </c>
      <c r="W217">
        <v>48.2</v>
      </c>
    </row>
    <row r="218" spans="2:23" hidden="1" x14ac:dyDescent="0.25">
      <c r="B218" t="s">
        <v>344</v>
      </c>
      <c r="C218" t="s">
        <v>396</v>
      </c>
      <c r="D218" s="13">
        <v>0.61458333333333337</v>
      </c>
      <c r="E218" t="s">
        <v>669</v>
      </c>
      <c r="F218" t="s">
        <v>670</v>
      </c>
      <c r="H218">
        <v>26.7</v>
      </c>
      <c r="I218">
        <v>38.5</v>
      </c>
      <c r="J218">
        <v>34.799999999999997</v>
      </c>
      <c r="K218">
        <v>65.2</v>
      </c>
      <c r="L218">
        <v>73.3</v>
      </c>
      <c r="M218">
        <v>61.5</v>
      </c>
      <c r="N218">
        <v>26.6</v>
      </c>
      <c r="O218">
        <v>53.1</v>
      </c>
      <c r="P218">
        <v>20.3</v>
      </c>
      <c r="Q218">
        <v>55.2</v>
      </c>
      <c r="R218">
        <v>47.6</v>
      </c>
      <c r="S218">
        <v>20.7</v>
      </c>
      <c r="T218">
        <v>79.3</v>
      </c>
      <c r="U218">
        <v>82.7</v>
      </c>
      <c r="V218">
        <v>30.5</v>
      </c>
      <c r="W218">
        <v>69.5</v>
      </c>
    </row>
    <row r="219" spans="2:23" hidden="1" x14ac:dyDescent="0.25">
      <c r="B219" t="s">
        <v>375</v>
      </c>
      <c r="C219" t="s">
        <v>396</v>
      </c>
      <c r="D219" s="13">
        <v>0.625</v>
      </c>
      <c r="E219" t="s">
        <v>671</v>
      </c>
      <c r="F219" t="s">
        <v>672</v>
      </c>
      <c r="H219">
        <v>35.200000000000003</v>
      </c>
      <c r="I219">
        <v>33</v>
      </c>
      <c r="J219">
        <v>31.8</v>
      </c>
      <c r="K219">
        <v>68.2</v>
      </c>
      <c r="L219">
        <v>64.8</v>
      </c>
      <c r="M219">
        <v>67</v>
      </c>
      <c r="N219">
        <v>18.5</v>
      </c>
      <c r="O219">
        <v>54.9</v>
      </c>
      <c r="P219">
        <v>26.7</v>
      </c>
      <c r="Q219">
        <v>52.8</v>
      </c>
      <c r="R219">
        <v>62.5</v>
      </c>
      <c r="S219">
        <v>34.1</v>
      </c>
      <c r="T219">
        <v>65.900000000000006</v>
      </c>
      <c r="U219">
        <v>70.599999999999994</v>
      </c>
      <c r="V219">
        <v>42.8</v>
      </c>
      <c r="W219">
        <v>57.2</v>
      </c>
    </row>
    <row r="220" spans="2:23" hidden="1" x14ac:dyDescent="0.25">
      <c r="B220" t="s">
        <v>673</v>
      </c>
      <c r="C220" t="s">
        <v>396</v>
      </c>
      <c r="D220" s="13">
        <v>0.625</v>
      </c>
      <c r="E220" t="s">
        <v>674</v>
      </c>
      <c r="F220" t="s">
        <v>675</v>
      </c>
      <c r="H220">
        <v>33.200000000000003</v>
      </c>
      <c r="I220">
        <v>34.4</v>
      </c>
      <c r="J220">
        <v>32.4</v>
      </c>
      <c r="K220">
        <v>67.599999999999994</v>
      </c>
      <c r="L220">
        <v>66.8</v>
      </c>
      <c r="M220">
        <v>65.599999999999994</v>
      </c>
      <c r="N220">
        <v>21.3</v>
      </c>
      <c r="O220">
        <v>57.1</v>
      </c>
      <c r="P220">
        <v>21.6</v>
      </c>
      <c r="Q220">
        <v>49.8</v>
      </c>
      <c r="R220">
        <v>58.5</v>
      </c>
      <c r="S220">
        <v>30.1</v>
      </c>
      <c r="T220">
        <v>69.900000000000006</v>
      </c>
      <c r="U220">
        <v>74.2</v>
      </c>
      <c r="V220">
        <v>39.4</v>
      </c>
      <c r="W220">
        <v>60.6</v>
      </c>
    </row>
    <row r="221" spans="2:23" hidden="1" x14ac:dyDescent="0.25">
      <c r="B221" t="s">
        <v>673</v>
      </c>
      <c r="C221" t="s">
        <v>396</v>
      </c>
      <c r="D221" s="13">
        <v>0.625</v>
      </c>
      <c r="E221" t="s">
        <v>676</v>
      </c>
      <c r="F221" t="s">
        <v>677</v>
      </c>
      <c r="H221">
        <v>37.5</v>
      </c>
      <c r="I221">
        <v>32.4</v>
      </c>
      <c r="J221">
        <v>30.1</v>
      </c>
      <c r="K221">
        <v>69.900000000000006</v>
      </c>
      <c r="L221">
        <v>62.5</v>
      </c>
      <c r="M221">
        <v>67.599999999999994</v>
      </c>
      <c r="N221">
        <v>31.1</v>
      </c>
      <c r="O221">
        <v>47.7</v>
      </c>
      <c r="P221">
        <v>21.1</v>
      </c>
      <c r="Q221">
        <v>62.8</v>
      </c>
      <c r="R221">
        <v>63.6</v>
      </c>
      <c r="S221">
        <v>35.299999999999997</v>
      </c>
      <c r="T221">
        <v>64.7</v>
      </c>
      <c r="U221">
        <v>69.5</v>
      </c>
      <c r="V221">
        <v>43.7</v>
      </c>
      <c r="W221">
        <v>56.3</v>
      </c>
    </row>
    <row r="222" spans="2:23" hidden="1" x14ac:dyDescent="0.25">
      <c r="B222" t="s">
        <v>673</v>
      </c>
      <c r="C222" t="s">
        <v>396</v>
      </c>
      <c r="D222" s="13">
        <v>0.625</v>
      </c>
      <c r="E222" t="s">
        <v>678</v>
      </c>
      <c r="F222" t="s">
        <v>679</v>
      </c>
      <c r="H222">
        <v>34.200000000000003</v>
      </c>
      <c r="I222">
        <v>36.299999999999997</v>
      </c>
      <c r="J222">
        <v>29.5</v>
      </c>
      <c r="K222">
        <v>70.5</v>
      </c>
      <c r="L222">
        <v>65.8</v>
      </c>
      <c r="M222">
        <v>63.7</v>
      </c>
      <c r="N222">
        <v>20.6</v>
      </c>
      <c r="O222">
        <v>57.4</v>
      </c>
      <c r="P222">
        <v>22</v>
      </c>
      <c r="Q222">
        <v>49.4</v>
      </c>
      <c r="R222">
        <v>52.8</v>
      </c>
      <c r="S222">
        <v>24.9</v>
      </c>
      <c r="T222">
        <v>75.099999999999994</v>
      </c>
      <c r="U222">
        <v>78.900000000000006</v>
      </c>
      <c r="V222">
        <v>34.700000000000003</v>
      </c>
      <c r="W222">
        <v>65.3</v>
      </c>
    </row>
    <row r="223" spans="2:23" hidden="1" x14ac:dyDescent="0.25">
      <c r="B223" t="s">
        <v>673</v>
      </c>
      <c r="C223" t="s">
        <v>396</v>
      </c>
      <c r="D223" s="13">
        <v>0.625</v>
      </c>
      <c r="E223" t="s">
        <v>680</v>
      </c>
      <c r="F223" t="s">
        <v>681</v>
      </c>
      <c r="H223">
        <v>27.7</v>
      </c>
      <c r="I223">
        <v>35</v>
      </c>
      <c r="J223">
        <v>37.299999999999997</v>
      </c>
      <c r="K223">
        <v>62.7</v>
      </c>
      <c r="L223">
        <v>72.3</v>
      </c>
      <c r="M223">
        <v>65</v>
      </c>
      <c r="N223">
        <v>19.600000000000001</v>
      </c>
      <c r="O223">
        <v>52.7</v>
      </c>
      <c r="P223">
        <v>27.7</v>
      </c>
      <c r="Q223">
        <v>55.8</v>
      </c>
      <c r="R223">
        <v>56.9</v>
      </c>
      <c r="S223">
        <v>28.7</v>
      </c>
      <c r="T223">
        <v>71.3</v>
      </c>
      <c r="U223">
        <v>75.599999999999994</v>
      </c>
      <c r="V223">
        <v>37.799999999999997</v>
      </c>
      <c r="W223">
        <v>62.2</v>
      </c>
    </row>
    <row r="224" spans="2:23" hidden="1" x14ac:dyDescent="0.25">
      <c r="B224" t="s">
        <v>673</v>
      </c>
      <c r="C224" t="s">
        <v>396</v>
      </c>
      <c r="D224" s="13">
        <v>0.625</v>
      </c>
      <c r="E224" t="s">
        <v>682</v>
      </c>
      <c r="F224" t="s">
        <v>683</v>
      </c>
      <c r="H224">
        <v>39.700000000000003</v>
      </c>
      <c r="I224">
        <v>30.7</v>
      </c>
      <c r="J224">
        <v>29.6</v>
      </c>
      <c r="K224">
        <v>70.400000000000006</v>
      </c>
      <c r="L224">
        <v>60.3</v>
      </c>
      <c r="M224">
        <v>69.3</v>
      </c>
      <c r="N224">
        <v>28</v>
      </c>
      <c r="O224">
        <v>44.5</v>
      </c>
      <c r="P224">
        <v>27.5</v>
      </c>
      <c r="Q224">
        <v>68.3</v>
      </c>
      <c r="R224">
        <v>68.599999999999994</v>
      </c>
      <c r="S224">
        <v>40.9</v>
      </c>
      <c r="T224">
        <v>59.1</v>
      </c>
      <c r="U224">
        <v>64.400000000000006</v>
      </c>
      <c r="V224">
        <v>48.1</v>
      </c>
      <c r="W224">
        <v>51.9</v>
      </c>
    </row>
    <row r="225" spans="2:23" hidden="1" x14ac:dyDescent="0.25">
      <c r="B225" t="s">
        <v>673</v>
      </c>
      <c r="C225" t="s">
        <v>396</v>
      </c>
      <c r="D225" s="13">
        <v>0.625</v>
      </c>
      <c r="E225" t="s">
        <v>684</v>
      </c>
      <c r="F225" t="s">
        <v>100</v>
      </c>
      <c r="H225">
        <v>28.7</v>
      </c>
      <c r="I225">
        <v>33.1</v>
      </c>
      <c r="J225">
        <v>38.200000000000003</v>
      </c>
      <c r="K225">
        <v>61.8</v>
      </c>
      <c r="L225">
        <v>71.3</v>
      </c>
      <c r="M225">
        <v>66.900000000000006</v>
      </c>
      <c r="N225">
        <v>26.4</v>
      </c>
      <c r="O225">
        <v>48.4</v>
      </c>
      <c r="P225">
        <v>25.2</v>
      </c>
      <c r="Q225">
        <v>62.3</v>
      </c>
      <c r="R225">
        <v>62.7</v>
      </c>
      <c r="S225">
        <v>34.299999999999997</v>
      </c>
      <c r="T225">
        <v>65.7</v>
      </c>
      <c r="U225">
        <v>70.5</v>
      </c>
      <c r="V225">
        <v>42.7</v>
      </c>
      <c r="W225">
        <v>57.3</v>
      </c>
    </row>
    <row r="226" spans="2:23" hidden="1" x14ac:dyDescent="0.25">
      <c r="B226" t="s">
        <v>673</v>
      </c>
      <c r="C226" t="s">
        <v>396</v>
      </c>
      <c r="D226" s="13">
        <v>0.625</v>
      </c>
      <c r="E226" t="s">
        <v>685</v>
      </c>
      <c r="F226" t="s">
        <v>686</v>
      </c>
      <c r="H226">
        <v>51.3</v>
      </c>
      <c r="I226">
        <v>34.200000000000003</v>
      </c>
      <c r="J226">
        <v>14.5</v>
      </c>
      <c r="K226">
        <v>85.5</v>
      </c>
      <c r="L226">
        <v>48.7</v>
      </c>
      <c r="M226">
        <v>65.8</v>
      </c>
      <c r="N226">
        <v>32.4</v>
      </c>
      <c r="O226">
        <v>57.2</v>
      </c>
      <c r="P226">
        <v>10.4</v>
      </c>
      <c r="Q226">
        <v>47.7</v>
      </c>
      <c r="R226">
        <v>47.7</v>
      </c>
      <c r="S226">
        <v>21</v>
      </c>
      <c r="T226">
        <v>79</v>
      </c>
      <c r="U226">
        <v>84.2</v>
      </c>
      <c r="V226">
        <v>25.7</v>
      </c>
      <c r="W226">
        <v>74.3</v>
      </c>
    </row>
    <row r="227" spans="2:23" hidden="1" x14ac:dyDescent="0.25">
      <c r="B227" t="s">
        <v>687</v>
      </c>
      <c r="C227" t="s">
        <v>396</v>
      </c>
      <c r="D227" s="13">
        <v>0.625</v>
      </c>
      <c r="E227" t="s">
        <v>688</v>
      </c>
      <c r="F227" t="s">
        <v>689</v>
      </c>
      <c r="H227">
        <v>33.299999999999997</v>
      </c>
      <c r="I227">
        <v>32.5</v>
      </c>
      <c r="J227">
        <v>34.200000000000003</v>
      </c>
      <c r="K227">
        <v>65.8</v>
      </c>
      <c r="L227">
        <v>66.7</v>
      </c>
      <c r="M227">
        <v>67.5</v>
      </c>
      <c r="N227">
        <v>24</v>
      </c>
      <c r="O227">
        <v>52.5</v>
      </c>
      <c r="P227">
        <v>23.5</v>
      </c>
      <c r="Q227">
        <v>56.3</v>
      </c>
      <c r="R227">
        <v>64.400000000000006</v>
      </c>
      <c r="S227">
        <v>36.1</v>
      </c>
      <c r="T227">
        <v>63.9</v>
      </c>
      <c r="U227">
        <v>68.7</v>
      </c>
      <c r="V227">
        <v>44.5</v>
      </c>
      <c r="W227">
        <v>55.5</v>
      </c>
    </row>
    <row r="228" spans="2:23" hidden="1" x14ac:dyDescent="0.25">
      <c r="B228" t="s">
        <v>687</v>
      </c>
      <c r="C228" t="s">
        <v>396</v>
      </c>
      <c r="D228" s="13">
        <v>0.625</v>
      </c>
      <c r="E228" t="s">
        <v>94</v>
      </c>
      <c r="F228" t="s">
        <v>690</v>
      </c>
      <c r="H228">
        <v>37</v>
      </c>
      <c r="I228">
        <v>36</v>
      </c>
      <c r="J228">
        <v>27</v>
      </c>
      <c r="K228">
        <v>73</v>
      </c>
      <c r="L228">
        <v>63</v>
      </c>
      <c r="M228">
        <v>64</v>
      </c>
      <c r="N228">
        <v>22.5</v>
      </c>
      <c r="O228">
        <v>57.7</v>
      </c>
      <c r="P228">
        <v>19.899999999999999</v>
      </c>
      <c r="Q228">
        <v>49</v>
      </c>
      <c r="R228">
        <v>52.6</v>
      </c>
      <c r="S228">
        <v>24.8</v>
      </c>
      <c r="T228">
        <v>75.2</v>
      </c>
      <c r="U228">
        <v>79.099999999999994</v>
      </c>
      <c r="V228">
        <v>34.200000000000003</v>
      </c>
      <c r="W228">
        <v>65.8</v>
      </c>
    </row>
    <row r="229" spans="2:23" hidden="1" x14ac:dyDescent="0.25">
      <c r="B229" t="s">
        <v>687</v>
      </c>
      <c r="C229" t="s">
        <v>396</v>
      </c>
      <c r="D229" s="13">
        <v>0.625</v>
      </c>
      <c r="E229" t="s">
        <v>95</v>
      </c>
      <c r="F229" t="s">
        <v>691</v>
      </c>
      <c r="H229">
        <v>37.4</v>
      </c>
      <c r="I229">
        <v>31.8</v>
      </c>
      <c r="J229">
        <v>30.8</v>
      </c>
      <c r="K229">
        <v>69.2</v>
      </c>
      <c r="L229">
        <v>62.6</v>
      </c>
      <c r="M229">
        <v>68.2</v>
      </c>
      <c r="N229">
        <v>30.5</v>
      </c>
      <c r="O229">
        <v>48.3</v>
      </c>
      <c r="P229">
        <v>21.2</v>
      </c>
      <c r="Q229">
        <v>62</v>
      </c>
      <c r="R229">
        <v>65.7</v>
      </c>
      <c r="S229">
        <v>37.5</v>
      </c>
      <c r="T229">
        <v>62.5</v>
      </c>
      <c r="U229">
        <v>67.400000000000006</v>
      </c>
      <c r="V229">
        <v>45.6</v>
      </c>
      <c r="W229">
        <v>54.4</v>
      </c>
    </row>
    <row r="230" spans="2:23" hidden="1" x14ac:dyDescent="0.25">
      <c r="B230" t="s">
        <v>687</v>
      </c>
      <c r="C230" t="s">
        <v>396</v>
      </c>
      <c r="D230" s="13">
        <v>0.625</v>
      </c>
      <c r="E230" t="s">
        <v>692</v>
      </c>
      <c r="F230" t="s">
        <v>693</v>
      </c>
      <c r="H230">
        <v>44.5</v>
      </c>
      <c r="I230">
        <v>32.9</v>
      </c>
      <c r="J230">
        <v>22.6</v>
      </c>
      <c r="K230">
        <v>77.400000000000006</v>
      </c>
      <c r="L230">
        <v>55.5</v>
      </c>
      <c r="M230">
        <v>67.099999999999994</v>
      </c>
      <c r="N230">
        <v>29.3</v>
      </c>
      <c r="O230">
        <v>50.7</v>
      </c>
      <c r="P230">
        <v>20</v>
      </c>
      <c r="Q230">
        <v>58.5</v>
      </c>
      <c r="R230">
        <v>58.3</v>
      </c>
      <c r="S230">
        <v>30</v>
      </c>
      <c r="T230">
        <v>70</v>
      </c>
      <c r="U230">
        <v>75</v>
      </c>
      <c r="V230">
        <v>37.5</v>
      </c>
      <c r="W230">
        <v>62.5</v>
      </c>
    </row>
    <row r="231" spans="2:23" hidden="1" x14ac:dyDescent="0.25">
      <c r="B231" t="s">
        <v>687</v>
      </c>
      <c r="C231" t="s">
        <v>396</v>
      </c>
      <c r="D231" s="13">
        <v>0.625</v>
      </c>
      <c r="E231" t="s">
        <v>694</v>
      </c>
      <c r="F231" t="s">
        <v>695</v>
      </c>
      <c r="H231">
        <v>45.4</v>
      </c>
      <c r="I231">
        <v>33.799999999999997</v>
      </c>
      <c r="J231">
        <v>20.8</v>
      </c>
      <c r="K231">
        <v>79.2</v>
      </c>
      <c r="L231">
        <v>54.6</v>
      </c>
      <c r="M231">
        <v>66.2</v>
      </c>
      <c r="N231">
        <v>33.299999999999997</v>
      </c>
      <c r="O231">
        <v>52.5</v>
      </c>
      <c r="P231">
        <v>14.2</v>
      </c>
      <c r="Q231">
        <v>54.7</v>
      </c>
      <c r="R231">
        <v>54.6</v>
      </c>
      <c r="S231">
        <v>26.6</v>
      </c>
      <c r="T231">
        <v>73.400000000000006</v>
      </c>
      <c r="U231">
        <v>78.2</v>
      </c>
      <c r="V231">
        <v>34</v>
      </c>
      <c r="W231">
        <v>66</v>
      </c>
    </row>
    <row r="232" spans="2:23" hidden="1" x14ac:dyDescent="0.25">
      <c r="B232" t="s">
        <v>687</v>
      </c>
      <c r="C232" t="s">
        <v>396</v>
      </c>
      <c r="D232" s="13">
        <v>0.625</v>
      </c>
      <c r="E232" t="s">
        <v>696</v>
      </c>
      <c r="F232" t="s">
        <v>697</v>
      </c>
      <c r="H232">
        <v>36.700000000000003</v>
      </c>
      <c r="I232">
        <v>37</v>
      </c>
      <c r="J232">
        <v>26.3</v>
      </c>
      <c r="K232">
        <v>73.7</v>
      </c>
      <c r="L232">
        <v>63.3</v>
      </c>
      <c r="M232">
        <v>63</v>
      </c>
      <c r="N232">
        <v>24.7</v>
      </c>
      <c r="O232">
        <v>59.5</v>
      </c>
      <c r="P232">
        <v>15.8</v>
      </c>
      <c r="Q232">
        <v>46.2</v>
      </c>
      <c r="R232">
        <v>49.8</v>
      </c>
      <c r="S232">
        <v>22.5</v>
      </c>
      <c r="T232">
        <v>77.5</v>
      </c>
      <c r="U232">
        <v>81.2</v>
      </c>
      <c r="V232">
        <v>32</v>
      </c>
      <c r="W232">
        <v>68</v>
      </c>
    </row>
    <row r="233" spans="2:23" hidden="1" x14ac:dyDescent="0.25">
      <c r="B233" t="s">
        <v>687</v>
      </c>
      <c r="C233" t="s">
        <v>396</v>
      </c>
      <c r="D233" s="13">
        <v>0.625</v>
      </c>
      <c r="E233" t="s">
        <v>698</v>
      </c>
      <c r="F233" t="s">
        <v>699</v>
      </c>
      <c r="H233">
        <v>32.700000000000003</v>
      </c>
      <c r="I233">
        <v>36</v>
      </c>
      <c r="J233">
        <v>31.4</v>
      </c>
      <c r="K233">
        <v>68.599999999999994</v>
      </c>
      <c r="L233">
        <v>67.3</v>
      </c>
      <c r="M233">
        <v>64</v>
      </c>
      <c r="N233">
        <v>22.1</v>
      </c>
      <c r="O233">
        <v>54.8</v>
      </c>
      <c r="P233">
        <v>23.1</v>
      </c>
      <c r="Q233">
        <v>53</v>
      </c>
      <c r="R233">
        <v>54</v>
      </c>
      <c r="S233">
        <v>26</v>
      </c>
      <c r="T233">
        <v>74</v>
      </c>
      <c r="U233">
        <v>77.900000000000006</v>
      </c>
      <c r="V233">
        <v>35.700000000000003</v>
      </c>
      <c r="W233">
        <v>64.3</v>
      </c>
    </row>
    <row r="234" spans="2:23" hidden="1" x14ac:dyDescent="0.25">
      <c r="B234" t="s">
        <v>687</v>
      </c>
      <c r="C234" t="s">
        <v>396</v>
      </c>
      <c r="D234" s="13">
        <v>0.625</v>
      </c>
      <c r="E234" t="s">
        <v>700</v>
      </c>
      <c r="F234" t="s">
        <v>701</v>
      </c>
      <c r="H234">
        <v>35.799999999999997</v>
      </c>
      <c r="I234">
        <v>35.200000000000003</v>
      </c>
      <c r="J234">
        <v>29</v>
      </c>
      <c r="K234">
        <v>71</v>
      </c>
      <c r="L234">
        <v>64.2</v>
      </c>
      <c r="M234">
        <v>64.8</v>
      </c>
      <c r="N234">
        <v>26.5</v>
      </c>
      <c r="O234">
        <v>51.7</v>
      </c>
      <c r="P234">
        <v>21.7</v>
      </c>
      <c r="Q234">
        <v>57.2</v>
      </c>
      <c r="R234">
        <v>55.5</v>
      </c>
      <c r="S234">
        <v>27.4</v>
      </c>
      <c r="T234">
        <v>72.599999999999994</v>
      </c>
      <c r="U234">
        <v>76.7</v>
      </c>
      <c r="V234">
        <v>36.799999999999997</v>
      </c>
      <c r="W234">
        <v>63.2</v>
      </c>
    </row>
    <row r="235" spans="2:23" hidden="1" x14ac:dyDescent="0.25">
      <c r="B235" t="s">
        <v>687</v>
      </c>
      <c r="C235" t="s">
        <v>396</v>
      </c>
      <c r="D235" s="13">
        <v>0.625</v>
      </c>
      <c r="E235" t="s">
        <v>702</v>
      </c>
      <c r="F235" t="s">
        <v>703</v>
      </c>
      <c r="H235">
        <v>35.5</v>
      </c>
      <c r="I235">
        <v>31.4</v>
      </c>
      <c r="J235">
        <v>33.1</v>
      </c>
      <c r="K235">
        <v>66.900000000000006</v>
      </c>
      <c r="L235">
        <v>64.5</v>
      </c>
      <c r="M235">
        <v>68.599999999999994</v>
      </c>
      <c r="N235">
        <v>19.399999999999999</v>
      </c>
      <c r="O235">
        <v>49.6</v>
      </c>
      <c r="P235">
        <v>31</v>
      </c>
      <c r="Q235">
        <v>60.2</v>
      </c>
      <c r="R235">
        <v>67.599999999999994</v>
      </c>
      <c r="S235">
        <v>39.700000000000003</v>
      </c>
      <c r="T235">
        <v>60.3</v>
      </c>
      <c r="U235">
        <v>65.400000000000006</v>
      </c>
      <c r="V235">
        <v>47.5</v>
      </c>
      <c r="W235">
        <v>52.5</v>
      </c>
    </row>
    <row r="236" spans="2:23" hidden="1" x14ac:dyDescent="0.25">
      <c r="B236" t="s">
        <v>687</v>
      </c>
      <c r="C236" t="s">
        <v>396</v>
      </c>
      <c r="D236" s="13">
        <v>0.625</v>
      </c>
      <c r="E236" t="s">
        <v>704</v>
      </c>
      <c r="F236" t="s">
        <v>705</v>
      </c>
      <c r="H236">
        <v>39.4</v>
      </c>
      <c r="I236">
        <v>34.799999999999997</v>
      </c>
      <c r="J236">
        <v>25.8</v>
      </c>
      <c r="K236">
        <v>74.2</v>
      </c>
      <c r="L236">
        <v>60.6</v>
      </c>
      <c r="M236">
        <v>65.2</v>
      </c>
      <c r="N236">
        <v>26.2</v>
      </c>
      <c r="O236">
        <v>48.5</v>
      </c>
      <c r="P236">
        <v>25.3</v>
      </c>
      <c r="Q236">
        <v>62.2</v>
      </c>
      <c r="R236">
        <v>55.2</v>
      </c>
      <c r="S236">
        <v>27.1</v>
      </c>
      <c r="T236">
        <v>72.900000000000006</v>
      </c>
      <c r="U236">
        <v>77.2</v>
      </c>
      <c r="V236">
        <v>36</v>
      </c>
      <c r="W236">
        <v>64</v>
      </c>
    </row>
    <row r="237" spans="2:23" hidden="1" x14ac:dyDescent="0.25">
      <c r="B237" t="s">
        <v>687</v>
      </c>
      <c r="C237" t="s">
        <v>396</v>
      </c>
      <c r="D237" s="13">
        <v>0.625</v>
      </c>
      <c r="E237" t="s">
        <v>706</v>
      </c>
      <c r="F237" t="s">
        <v>707</v>
      </c>
      <c r="H237">
        <v>41.3</v>
      </c>
      <c r="I237">
        <v>33.1</v>
      </c>
      <c r="J237">
        <v>25.6</v>
      </c>
      <c r="K237">
        <v>74.400000000000006</v>
      </c>
      <c r="L237">
        <v>58.7</v>
      </c>
      <c r="M237">
        <v>66.900000000000006</v>
      </c>
      <c r="N237">
        <v>29.7</v>
      </c>
      <c r="O237">
        <v>52.4</v>
      </c>
      <c r="P237">
        <v>17.899999999999999</v>
      </c>
      <c r="Q237">
        <v>55.8</v>
      </c>
      <c r="R237">
        <v>59.6</v>
      </c>
      <c r="S237">
        <v>31.2</v>
      </c>
      <c r="T237">
        <v>68.8</v>
      </c>
      <c r="U237">
        <v>73.5</v>
      </c>
      <c r="V237">
        <v>39.5</v>
      </c>
      <c r="W237">
        <v>60.5</v>
      </c>
    </row>
    <row r="238" spans="2:23" hidden="1" x14ac:dyDescent="0.25">
      <c r="B238" t="s">
        <v>687</v>
      </c>
      <c r="C238" t="s">
        <v>396</v>
      </c>
      <c r="D238" s="13">
        <v>0.625</v>
      </c>
      <c r="E238" t="s">
        <v>708</v>
      </c>
      <c r="F238" t="s">
        <v>709</v>
      </c>
      <c r="H238">
        <v>53.5</v>
      </c>
      <c r="I238">
        <v>29.9</v>
      </c>
      <c r="J238">
        <v>16.600000000000001</v>
      </c>
      <c r="K238">
        <v>83.4</v>
      </c>
      <c r="L238">
        <v>46.5</v>
      </c>
      <c r="M238">
        <v>70.099999999999994</v>
      </c>
      <c r="N238">
        <v>38.6</v>
      </c>
      <c r="O238">
        <v>48.4</v>
      </c>
      <c r="P238">
        <v>13</v>
      </c>
      <c r="Q238">
        <v>59.4</v>
      </c>
      <c r="R238">
        <v>60.9</v>
      </c>
      <c r="S238">
        <v>32.700000000000003</v>
      </c>
      <c r="T238">
        <v>67.3</v>
      </c>
      <c r="U238">
        <v>73.7</v>
      </c>
      <c r="V238">
        <v>36.5</v>
      </c>
      <c r="W238">
        <v>63.5</v>
      </c>
    </row>
    <row r="239" spans="2:23" hidden="1" x14ac:dyDescent="0.25">
      <c r="B239" t="s">
        <v>687</v>
      </c>
      <c r="C239" t="s">
        <v>396</v>
      </c>
      <c r="D239" s="13">
        <v>0.625</v>
      </c>
      <c r="E239" t="s">
        <v>710</v>
      </c>
      <c r="F239" t="s">
        <v>711</v>
      </c>
      <c r="H239">
        <v>49.6</v>
      </c>
      <c r="I239">
        <v>34.299999999999997</v>
      </c>
      <c r="J239">
        <v>16.2</v>
      </c>
      <c r="K239">
        <v>83.8</v>
      </c>
      <c r="L239">
        <v>50.4</v>
      </c>
      <c r="M239">
        <v>65.7</v>
      </c>
      <c r="N239">
        <v>32.4</v>
      </c>
      <c r="O239">
        <v>57.8</v>
      </c>
      <c r="P239">
        <v>9.8000000000000007</v>
      </c>
      <c r="Q239">
        <v>46.8</v>
      </c>
      <c r="R239">
        <v>49.4</v>
      </c>
      <c r="S239">
        <v>22.3</v>
      </c>
      <c r="T239">
        <v>77.7</v>
      </c>
      <c r="U239">
        <v>82.7</v>
      </c>
      <c r="V239">
        <v>27.9</v>
      </c>
      <c r="W239">
        <v>72.099999999999994</v>
      </c>
    </row>
    <row r="240" spans="2:23" hidden="1" x14ac:dyDescent="0.25">
      <c r="B240" t="s">
        <v>353</v>
      </c>
      <c r="C240" t="s">
        <v>396</v>
      </c>
      <c r="D240" s="13">
        <v>0.625</v>
      </c>
      <c r="E240" t="s">
        <v>43</v>
      </c>
      <c r="F240" t="s">
        <v>47</v>
      </c>
      <c r="H240">
        <v>45.6</v>
      </c>
      <c r="I240">
        <v>29.9</v>
      </c>
      <c r="J240">
        <v>24.5</v>
      </c>
      <c r="K240">
        <v>75.5</v>
      </c>
      <c r="L240">
        <v>54.4</v>
      </c>
      <c r="M240">
        <v>70.099999999999994</v>
      </c>
      <c r="N240">
        <v>28.2</v>
      </c>
      <c r="O240">
        <v>46.5</v>
      </c>
      <c r="P240">
        <v>25.3</v>
      </c>
      <c r="Q240">
        <v>65.2</v>
      </c>
      <c r="R240">
        <v>68.3</v>
      </c>
      <c r="S240">
        <v>40.5</v>
      </c>
      <c r="T240">
        <v>59.5</v>
      </c>
      <c r="U240">
        <v>65.2</v>
      </c>
      <c r="V240">
        <v>46.6</v>
      </c>
      <c r="W240">
        <v>53.4</v>
      </c>
    </row>
    <row r="241" spans="2:23" hidden="1" x14ac:dyDescent="0.25">
      <c r="B241" t="s">
        <v>353</v>
      </c>
      <c r="C241" t="s">
        <v>396</v>
      </c>
      <c r="D241" s="13">
        <v>0.625</v>
      </c>
      <c r="E241" t="s">
        <v>712</v>
      </c>
      <c r="F241" t="s">
        <v>713</v>
      </c>
      <c r="H241">
        <v>30.8</v>
      </c>
      <c r="I241">
        <v>33</v>
      </c>
      <c r="J241">
        <v>36.200000000000003</v>
      </c>
      <c r="K241">
        <v>63.8</v>
      </c>
      <c r="L241">
        <v>69.2</v>
      </c>
      <c r="M241">
        <v>67</v>
      </c>
      <c r="N241">
        <v>23.5</v>
      </c>
      <c r="O241">
        <v>50</v>
      </c>
      <c r="P241">
        <v>26.5</v>
      </c>
      <c r="Q241">
        <v>60</v>
      </c>
      <c r="R241">
        <v>63.1</v>
      </c>
      <c r="S241">
        <v>34.700000000000003</v>
      </c>
      <c r="T241">
        <v>65.3</v>
      </c>
      <c r="U241">
        <v>70</v>
      </c>
      <c r="V241">
        <v>43.3</v>
      </c>
      <c r="W241">
        <v>56.7</v>
      </c>
    </row>
    <row r="242" spans="2:23" hidden="1" x14ac:dyDescent="0.25">
      <c r="B242" t="s">
        <v>340</v>
      </c>
      <c r="C242" t="s">
        <v>396</v>
      </c>
      <c r="D242" s="13">
        <v>0.625</v>
      </c>
      <c r="E242" t="s">
        <v>714</v>
      </c>
      <c r="F242" t="s">
        <v>715</v>
      </c>
      <c r="H242">
        <v>53</v>
      </c>
      <c r="I242">
        <v>25.2</v>
      </c>
      <c r="J242">
        <v>21.7</v>
      </c>
      <c r="K242">
        <v>78.3</v>
      </c>
      <c r="L242">
        <v>47</v>
      </c>
      <c r="M242">
        <v>74.8</v>
      </c>
      <c r="N242">
        <v>45</v>
      </c>
      <c r="O242">
        <v>39.299999999999997</v>
      </c>
      <c r="P242">
        <v>15.6</v>
      </c>
      <c r="Q242">
        <v>72.599999999999994</v>
      </c>
      <c r="R242">
        <v>82.4</v>
      </c>
      <c r="S242">
        <v>59.6</v>
      </c>
      <c r="T242">
        <v>40.4</v>
      </c>
      <c r="U242">
        <v>47.1</v>
      </c>
      <c r="V242">
        <v>60</v>
      </c>
      <c r="W242">
        <v>40</v>
      </c>
    </row>
    <row r="243" spans="2:23" hidden="1" x14ac:dyDescent="0.25">
      <c r="B243" t="s">
        <v>385</v>
      </c>
      <c r="C243" t="s">
        <v>396</v>
      </c>
      <c r="D243" s="13">
        <v>0.625</v>
      </c>
      <c r="E243" t="s">
        <v>716</v>
      </c>
      <c r="F243" t="s">
        <v>717</v>
      </c>
      <c r="H243">
        <v>53.7</v>
      </c>
      <c r="I243">
        <v>26.4</v>
      </c>
      <c r="J243">
        <v>19.899999999999999</v>
      </c>
      <c r="K243">
        <v>80.099999999999994</v>
      </c>
      <c r="L243">
        <v>46.3</v>
      </c>
      <c r="M243">
        <v>73.599999999999994</v>
      </c>
      <c r="N243">
        <v>17.2</v>
      </c>
      <c r="O243">
        <v>50.5</v>
      </c>
      <c r="P243">
        <v>32.200000000000003</v>
      </c>
      <c r="Q243">
        <v>58.5</v>
      </c>
      <c r="R243">
        <v>75.8</v>
      </c>
      <c r="S243">
        <v>50</v>
      </c>
      <c r="T243">
        <v>50</v>
      </c>
      <c r="U243">
        <v>56.9</v>
      </c>
      <c r="V243">
        <v>51.8</v>
      </c>
      <c r="W243">
        <v>48.2</v>
      </c>
    </row>
    <row r="244" spans="2:23" hidden="1" x14ac:dyDescent="0.25">
      <c r="B244" t="s">
        <v>334</v>
      </c>
      <c r="C244" t="s">
        <v>396</v>
      </c>
      <c r="D244" s="13">
        <v>0.625</v>
      </c>
      <c r="E244" t="s">
        <v>70</v>
      </c>
      <c r="F244" t="s">
        <v>718</v>
      </c>
      <c r="H244">
        <v>51.5</v>
      </c>
      <c r="I244">
        <v>25.5</v>
      </c>
      <c r="J244">
        <v>23</v>
      </c>
      <c r="K244">
        <v>77</v>
      </c>
      <c r="L244">
        <v>48.5</v>
      </c>
      <c r="M244">
        <v>74.5</v>
      </c>
      <c r="N244">
        <v>43.7</v>
      </c>
      <c r="O244">
        <v>39.1</v>
      </c>
      <c r="P244">
        <v>17.100000000000001</v>
      </c>
      <c r="Q244">
        <v>73.5</v>
      </c>
      <c r="R244">
        <v>82.4</v>
      </c>
      <c r="S244">
        <v>59.6</v>
      </c>
      <c r="T244">
        <v>40.4</v>
      </c>
      <c r="U244">
        <v>46.8</v>
      </c>
      <c r="V244">
        <v>60.6</v>
      </c>
      <c r="W244">
        <v>39.4</v>
      </c>
    </row>
    <row r="245" spans="2:23" hidden="1" x14ac:dyDescent="0.25">
      <c r="B245" t="s">
        <v>609</v>
      </c>
      <c r="C245" t="s">
        <v>396</v>
      </c>
      <c r="D245" s="13">
        <v>0.625</v>
      </c>
      <c r="E245" t="s">
        <v>719</v>
      </c>
      <c r="F245" t="s">
        <v>720</v>
      </c>
      <c r="H245">
        <v>31.1</v>
      </c>
      <c r="I245">
        <v>25.5</v>
      </c>
      <c r="J245">
        <v>43.4</v>
      </c>
      <c r="K245">
        <v>56.6</v>
      </c>
      <c r="L245">
        <v>68.900000000000006</v>
      </c>
      <c r="M245">
        <v>74.5</v>
      </c>
      <c r="N245">
        <v>18.5</v>
      </c>
      <c r="O245">
        <v>36.200000000000003</v>
      </c>
      <c r="P245">
        <v>45.3</v>
      </c>
      <c r="Q245">
        <v>79.099999999999994</v>
      </c>
      <c r="R245">
        <v>90</v>
      </c>
      <c r="S245">
        <v>73</v>
      </c>
      <c r="T245">
        <v>27</v>
      </c>
      <c r="U245">
        <v>32.200000000000003</v>
      </c>
      <c r="V245">
        <v>73.099999999999994</v>
      </c>
      <c r="W245">
        <v>26.9</v>
      </c>
    </row>
    <row r="246" spans="2:23" hidden="1" x14ac:dyDescent="0.25">
      <c r="B246" t="s">
        <v>297</v>
      </c>
      <c r="C246" t="s">
        <v>396</v>
      </c>
      <c r="D246" s="13">
        <v>0.63541666666666663</v>
      </c>
      <c r="E246" t="s">
        <v>136</v>
      </c>
      <c r="F246" t="s">
        <v>721</v>
      </c>
      <c r="H246">
        <v>43</v>
      </c>
      <c r="I246">
        <v>27.1</v>
      </c>
      <c r="J246">
        <v>29.9</v>
      </c>
      <c r="K246">
        <v>70.099999999999994</v>
      </c>
      <c r="L246">
        <v>57</v>
      </c>
      <c r="M246">
        <v>72.900000000000006</v>
      </c>
      <c r="N246">
        <v>25.3</v>
      </c>
      <c r="O246">
        <v>46.6</v>
      </c>
      <c r="P246">
        <v>28.1</v>
      </c>
      <c r="Q246">
        <v>65</v>
      </c>
      <c r="R246">
        <v>80.5</v>
      </c>
      <c r="S246">
        <v>56.6</v>
      </c>
      <c r="T246">
        <v>43.4</v>
      </c>
      <c r="U246">
        <v>49.2</v>
      </c>
      <c r="V246">
        <v>60.3</v>
      </c>
      <c r="W246">
        <v>39.700000000000003</v>
      </c>
    </row>
    <row r="247" spans="2:23" hidden="1" x14ac:dyDescent="0.25">
      <c r="B247" t="s">
        <v>375</v>
      </c>
      <c r="C247" t="s">
        <v>396</v>
      </c>
      <c r="D247" s="13">
        <v>0.64583333333333337</v>
      </c>
      <c r="E247" t="s">
        <v>722</v>
      </c>
      <c r="F247" t="s">
        <v>723</v>
      </c>
      <c r="H247">
        <v>46.1</v>
      </c>
      <c r="I247">
        <v>33.6</v>
      </c>
      <c r="J247">
        <v>20.399999999999999</v>
      </c>
      <c r="K247">
        <v>79.599999999999994</v>
      </c>
      <c r="L247">
        <v>53.9</v>
      </c>
      <c r="M247">
        <v>66.400000000000006</v>
      </c>
      <c r="N247">
        <v>39.299999999999997</v>
      </c>
      <c r="O247">
        <v>50.7</v>
      </c>
      <c r="P247">
        <v>9.9</v>
      </c>
      <c r="Q247">
        <v>55.3</v>
      </c>
      <c r="R247">
        <v>54.9</v>
      </c>
      <c r="S247">
        <v>26.9</v>
      </c>
      <c r="T247">
        <v>73.099999999999994</v>
      </c>
      <c r="U247">
        <v>78</v>
      </c>
      <c r="V247">
        <v>34.1</v>
      </c>
      <c r="W247">
        <v>65.900000000000006</v>
      </c>
    </row>
    <row r="248" spans="2:23" hidden="1" x14ac:dyDescent="0.25">
      <c r="B248" t="s">
        <v>724</v>
      </c>
      <c r="C248" t="s">
        <v>396</v>
      </c>
      <c r="D248" s="13">
        <v>0.64583333333333337</v>
      </c>
      <c r="E248" t="s">
        <v>725</v>
      </c>
      <c r="F248" t="s">
        <v>726</v>
      </c>
      <c r="H248">
        <v>36</v>
      </c>
      <c r="I248">
        <v>26.5</v>
      </c>
      <c r="J248">
        <v>37.6</v>
      </c>
      <c r="K248">
        <v>62.4</v>
      </c>
      <c r="L248">
        <v>64</v>
      </c>
      <c r="M248">
        <v>73.5</v>
      </c>
      <c r="N248">
        <v>14.3</v>
      </c>
      <c r="O248">
        <v>39.799999999999997</v>
      </c>
      <c r="P248">
        <v>46</v>
      </c>
      <c r="Q248">
        <v>72.3</v>
      </c>
      <c r="R248">
        <v>85.1</v>
      </c>
      <c r="S248">
        <v>63.9</v>
      </c>
      <c r="T248">
        <v>36.1</v>
      </c>
      <c r="U248">
        <v>41.6</v>
      </c>
      <c r="V248">
        <v>66.5</v>
      </c>
      <c r="W248">
        <v>33.5</v>
      </c>
    </row>
    <row r="249" spans="2:23" hidden="1" x14ac:dyDescent="0.25">
      <c r="B249" t="s">
        <v>255</v>
      </c>
      <c r="C249" t="s">
        <v>396</v>
      </c>
      <c r="D249" s="13">
        <v>0.64583333333333337</v>
      </c>
      <c r="E249" t="s">
        <v>727</v>
      </c>
      <c r="F249" t="s">
        <v>728</v>
      </c>
      <c r="H249">
        <v>30.4</v>
      </c>
      <c r="I249">
        <v>33.299999999999997</v>
      </c>
      <c r="J249">
        <v>36.299999999999997</v>
      </c>
      <c r="K249">
        <v>63.7</v>
      </c>
      <c r="L249">
        <v>69.599999999999994</v>
      </c>
      <c r="M249">
        <v>66.7</v>
      </c>
      <c r="N249">
        <v>14.7</v>
      </c>
      <c r="O249">
        <v>58.1</v>
      </c>
      <c r="P249">
        <v>27.2</v>
      </c>
      <c r="Q249">
        <v>48</v>
      </c>
      <c r="R249">
        <v>62.1</v>
      </c>
      <c r="S249">
        <v>33.700000000000003</v>
      </c>
      <c r="T249">
        <v>66.3</v>
      </c>
      <c r="U249">
        <v>70.900000000000006</v>
      </c>
      <c r="V249">
        <v>42.4</v>
      </c>
      <c r="W249">
        <v>57.6</v>
      </c>
    </row>
    <row r="250" spans="2:23" hidden="1" x14ac:dyDescent="0.25">
      <c r="B250" t="s">
        <v>375</v>
      </c>
      <c r="C250" t="s">
        <v>396</v>
      </c>
      <c r="D250" s="13">
        <v>0.66666666666666663</v>
      </c>
      <c r="E250" t="s">
        <v>729</v>
      </c>
      <c r="F250" t="s">
        <v>730</v>
      </c>
      <c r="H250">
        <v>27.1</v>
      </c>
      <c r="I250">
        <v>40.700000000000003</v>
      </c>
      <c r="J250">
        <v>32.200000000000003</v>
      </c>
      <c r="K250">
        <v>67.8</v>
      </c>
      <c r="L250">
        <v>72.900000000000006</v>
      </c>
      <c r="M250">
        <v>59.3</v>
      </c>
      <c r="N250">
        <v>19.399999999999999</v>
      </c>
      <c r="O250">
        <v>58.1</v>
      </c>
      <c r="P250">
        <v>22.5</v>
      </c>
      <c r="Q250">
        <v>48.5</v>
      </c>
      <c r="R250">
        <v>42.4</v>
      </c>
      <c r="S250">
        <v>16.899999999999999</v>
      </c>
      <c r="T250">
        <v>83.1</v>
      </c>
      <c r="U250">
        <v>86</v>
      </c>
      <c r="V250">
        <v>26.7</v>
      </c>
      <c r="W250">
        <v>73.3</v>
      </c>
    </row>
    <row r="251" spans="2:23" hidden="1" x14ac:dyDescent="0.25">
      <c r="B251" t="s">
        <v>375</v>
      </c>
      <c r="C251" t="s">
        <v>396</v>
      </c>
      <c r="D251" s="13">
        <v>0.66666666666666663</v>
      </c>
      <c r="E251" t="s">
        <v>731</v>
      </c>
      <c r="F251" t="s">
        <v>732</v>
      </c>
      <c r="H251">
        <v>40.9</v>
      </c>
      <c r="I251">
        <v>35.6</v>
      </c>
      <c r="J251">
        <v>23.4</v>
      </c>
      <c r="K251">
        <v>76.599999999999994</v>
      </c>
      <c r="L251">
        <v>59.1</v>
      </c>
      <c r="M251">
        <v>64.400000000000006</v>
      </c>
      <c r="N251">
        <v>30.3</v>
      </c>
      <c r="O251">
        <v>52.9</v>
      </c>
      <c r="P251">
        <v>16.8</v>
      </c>
      <c r="Q251">
        <v>54.9</v>
      </c>
      <c r="R251">
        <v>51.8</v>
      </c>
      <c r="S251">
        <v>24.2</v>
      </c>
      <c r="T251">
        <v>75.8</v>
      </c>
      <c r="U251">
        <v>80</v>
      </c>
      <c r="V251">
        <v>32.9</v>
      </c>
      <c r="W251">
        <v>67.099999999999994</v>
      </c>
    </row>
    <row r="252" spans="2:23" hidden="1" x14ac:dyDescent="0.25">
      <c r="B252" t="s">
        <v>651</v>
      </c>
      <c r="C252" t="s">
        <v>396</v>
      </c>
      <c r="D252" s="13">
        <v>0.66666666666666663</v>
      </c>
      <c r="E252" t="s">
        <v>733</v>
      </c>
      <c r="F252" t="s">
        <v>734</v>
      </c>
      <c r="H252">
        <v>52</v>
      </c>
      <c r="I252">
        <v>25.1</v>
      </c>
      <c r="J252">
        <v>22.9</v>
      </c>
      <c r="K252">
        <v>77.099999999999994</v>
      </c>
      <c r="L252">
        <v>48</v>
      </c>
      <c r="M252">
        <v>74.900000000000006</v>
      </c>
      <c r="N252">
        <v>44.7</v>
      </c>
      <c r="O252">
        <v>36</v>
      </c>
      <c r="P252">
        <v>19.3</v>
      </c>
      <c r="Q252">
        <v>78.900000000000006</v>
      </c>
      <c r="R252">
        <v>84.1</v>
      </c>
      <c r="S252">
        <v>62.3</v>
      </c>
      <c r="T252">
        <v>37.700000000000003</v>
      </c>
      <c r="U252">
        <v>44.1</v>
      </c>
      <c r="V252">
        <v>62.7</v>
      </c>
      <c r="W252">
        <v>37.299999999999997</v>
      </c>
    </row>
    <row r="253" spans="2:23" hidden="1" x14ac:dyDescent="0.25">
      <c r="B253" t="s">
        <v>337</v>
      </c>
      <c r="C253" t="s">
        <v>396</v>
      </c>
      <c r="D253" s="13">
        <v>0.66666666666666663</v>
      </c>
      <c r="E253" t="s">
        <v>735</v>
      </c>
      <c r="F253" t="s">
        <v>736</v>
      </c>
      <c r="H253">
        <v>37.200000000000003</v>
      </c>
      <c r="I253">
        <v>32</v>
      </c>
      <c r="J253">
        <v>30.9</v>
      </c>
      <c r="K253">
        <v>69.099999999999994</v>
      </c>
      <c r="L253">
        <v>62.8</v>
      </c>
      <c r="M253">
        <v>68</v>
      </c>
      <c r="N253">
        <v>23.8</v>
      </c>
      <c r="O253">
        <v>48.8</v>
      </c>
      <c r="P253">
        <v>27.4</v>
      </c>
      <c r="Q253">
        <v>61.7</v>
      </c>
      <c r="R253">
        <v>65.3</v>
      </c>
      <c r="S253">
        <v>37.1</v>
      </c>
      <c r="T253">
        <v>62.9</v>
      </c>
      <c r="U253">
        <v>67.8</v>
      </c>
      <c r="V253">
        <v>45.2</v>
      </c>
      <c r="W253">
        <v>54.8</v>
      </c>
    </row>
    <row r="254" spans="2:23" hidden="1" x14ac:dyDescent="0.25">
      <c r="B254" t="s">
        <v>325</v>
      </c>
      <c r="C254" t="s">
        <v>396</v>
      </c>
      <c r="D254" s="13">
        <v>0.66666666666666663</v>
      </c>
      <c r="E254" t="s">
        <v>737</v>
      </c>
      <c r="F254" t="s">
        <v>68</v>
      </c>
      <c r="H254">
        <v>53.4</v>
      </c>
      <c r="I254">
        <v>27.5</v>
      </c>
      <c r="J254">
        <v>19.100000000000001</v>
      </c>
      <c r="K254">
        <v>80.900000000000006</v>
      </c>
      <c r="L254">
        <v>46.6</v>
      </c>
      <c r="M254">
        <v>72.5</v>
      </c>
      <c r="N254">
        <v>32.700000000000003</v>
      </c>
      <c r="O254">
        <v>48.5</v>
      </c>
      <c r="P254">
        <v>18.8</v>
      </c>
      <c r="Q254">
        <v>61.3</v>
      </c>
      <c r="R254">
        <v>71.099999999999994</v>
      </c>
      <c r="S254">
        <v>44</v>
      </c>
      <c r="T254">
        <v>56</v>
      </c>
      <c r="U254">
        <v>62.8</v>
      </c>
      <c r="V254">
        <v>46.8</v>
      </c>
      <c r="W254">
        <v>53.2</v>
      </c>
    </row>
    <row r="255" spans="2:23" hidden="1" x14ac:dyDescent="0.25">
      <c r="B255" t="s">
        <v>646</v>
      </c>
      <c r="C255" t="s">
        <v>396</v>
      </c>
      <c r="D255" s="13">
        <v>0.66666666666666663</v>
      </c>
      <c r="E255" t="s">
        <v>738</v>
      </c>
      <c r="F255" t="s">
        <v>739</v>
      </c>
      <c r="H255">
        <v>47.9</v>
      </c>
      <c r="I255">
        <v>28</v>
      </c>
      <c r="J255">
        <v>24.1</v>
      </c>
      <c r="K255">
        <v>75.900000000000006</v>
      </c>
      <c r="L255">
        <v>52.1</v>
      </c>
      <c r="M255">
        <v>72</v>
      </c>
      <c r="N255">
        <v>54.2</v>
      </c>
      <c r="O255">
        <v>36.299999999999997</v>
      </c>
      <c r="P255">
        <v>9.4</v>
      </c>
      <c r="Q255">
        <v>72.599999999999994</v>
      </c>
      <c r="R255">
        <v>74.099999999999994</v>
      </c>
      <c r="S255">
        <v>47.7</v>
      </c>
      <c r="T255">
        <v>52.3</v>
      </c>
      <c r="U255">
        <v>58.4</v>
      </c>
      <c r="V255">
        <v>52</v>
      </c>
      <c r="W255">
        <v>48</v>
      </c>
    </row>
    <row r="256" spans="2:23" hidden="1" x14ac:dyDescent="0.25">
      <c r="B256" t="s">
        <v>646</v>
      </c>
      <c r="C256" t="s">
        <v>396</v>
      </c>
      <c r="D256" s="13">
        <v>0.66666666666666663</v>
      </c>
      <c r="E256" t="s">
        <v>740</v>
      </c>
      <c r="F256" t="s">
        <v>741</v>
      </c>
      <c r="H256">
        <v>49.8</v>
      </c>
      <c r="I256">
        <v>29.6</v>
      </c>
      <c r="J256">
        <v>20.6</v>
      </c>
      <c r="K256">
        <v>79.400000000000006</v>
      </c>
      <c r="L256">
        <v>50.2</v>
      </c>
      <c r="M256">
        <v>70.400000000000006</v>
      </c>
      <c r="N256">
        <v>37.9</v>
      </c>
      <c r="O256">
        <v>45.6</v>
      </c>
      <c r="P256">
        <v>16.5</v>
      </c>
      <c r="Q256">
        <v>64.5</v>
      </c>
      <c r="R256">
        <v>66</v>
      </c>
      <c r="S256">
        <v>37.9</v>
      </c>
      <c r="T256">
        <v>62.1</v>
      </c>
      <c r="U256">
        <v>68.099999999999994</v>
      </c>
      <c r="V256">
        <v>43</v>
      </c>
      <c r="W256">
        <v>57</v>
      </c>
    </row>
    <row r="257" spans="2:23" hidden="1" x14ac:dyDescent="0.25">
      <c r="B257" t="s">
        <v>646</v>
      </c>
      <c r="C257" t="s">
        <v>396</v>
      </c>
      <c r="D257" s="13">
        <v>0.66666666666666663</v>
      </c>
      <c r="E257" t="s">
        <v>742</v>
      </c>
      <c r="F257" t="s">
        <v>743</v>
      </c>
      <c r="H257">
        <v>18.899999999999999</v>
      </c>
      <c r="I257">
        <v>34.1</v>
      </c>
      <c r="J257">
        <v>47</v>
      </c>
      <c r="K257">
        <v>53</v>
      </c>
      <c r="L257">
        <v>81.099999999999994</v>
      </c>
      <c r="M257">
        <v>65.900000000000006</v>
      </c>
      <c r="N257">
        <v>15.1</v>
      </c>
      <c r="O257">
        <v>40.700000000000003</v>
      </c>
      <c r="P257">
        <v>44.3</v>
      </c>
      <c r="Q257">
        <v>71.400000000000006</v>
      </c>
      <c r="R257">
        <v>56.9</v>
      </c>
      <c r="S257">
        <v>28.7</v>
      </c>
      <c r="T257">
        <v>71.3</v>
      </c>
      <c r="U257">
        <v>76.599999999999994</v>
      </c>
      <c r="V257">
        <v>35.1</v>
      </c>
      <c r="W257">
        <v>64.900000000000006</v>
      </c>
    </row>
    <row r="258" spans="2:23" hidden="1" x14ac:dyDescent="0.25">
      <c r="B258" t="s">
        <v>344</v>
      </c>
      <c r="C258" t="s">
        <v>396</v>
      </c>
      <c r="D258" s="13">
        <v>0.70833333333333337</v>
      </c>
      <c r="E258" t="s">
        <v>744</v>
      </c>
      <c r="F258" t="s">
        <v>745</v>
      </c>
      <c r="H258">
        <v>47.3</v>
      </c>
      <c r="I258">
        <v>29.3</v>
      </c>
      <c r="J258">
        <v>23.4</v>
      </c>
      <c r="K258">
        <v>76.599999999999994</v>
      </c>
      <c r="L258">
        <v>52.7</v>
      </c>
      <c r="M258">
        <v>70.7</v>
      </c>
      <c r="N258">
        <v>29.4</v>
      </c>
      <c r="O258">
        <v>45.6</v>
      </c>
      <c r="P258">
        <v>25</v>
      </c>
      <c r="Q258">
        <v>66.400000000000006</v>
      </c>
      <c r="R258">
        <v>69.5</v>
      </c>
      <c r="S258">
        <v>41.9</v>
      </c>
      <c r="T258">
        <v>58.1</v>
      </c>
      <c r="U258">
        <v>63.9</v>
      </c>
      <c r="V258">
        <v>47.4</v>
      </c>
      <c r="W258">
        <v>52.6</v>
      </c>
    </row>
    <row r="259" spans="2:23" hidden="1" x14ac:dyDescent="0.25">
      <c r="B259" t="s">
        <v>375</v>
      </c>
      <c r="C259" t="s">
        <v>396</v>
      </c>
      <c r="D259" s="13">
        <v>0.70833333333333337</v>
      </c>
      <c r="E259" t="s">
        <v>746</v>
      </c>
      <c r="F259" t="s">
        <v>747</v>
      </c>
      <c r="H259">
        <v>35</v>
      </c>
      <c r="I259">
        <v>36.700000000000003</v>
      </c>
      <c r="J259">
        <v>28.3</v>
      </c>
      <c r="K259">
        <v>71.7</v>
      </c>
      <c r="L259">
        <v>65</v>
      </c>
      <c r="M259">
        <v>63.3</v>
      </c>
      <c r="N259">
        <v>24.6</v>
      </c>
      <c r="O259">
        <v>58.4</v>
      </c>
      <c r="P259">
        <v>17.100000000000001</v>
      </c>
      <c r="Q259">
        <v>47.8</v>
      </c>
      <c r="R259">
        <v>51.4</v>
      </c>
      <c r="S259">
        <v>23.8</v>
      </c>
      <c r="T259">
        <v>76.2</v>
      </c>
      <c r="U259">
        <v>80</v>
      </c>
      <c r="V259">
        <v>33.5</v>
      </c>
      <c r="W259">
        <v>66.5</v>
      </c>
    </row>
    <row r="260" spans="2:23" hidden="1" x14ac:dyDescent="0.25">
      <c r="B260" t="s">
        <v>375</v>
      </c>
      <c r="C260" t="s">
        <v>396</v>
      </c>
      <c r="D260" s="13">
        <v>0.70833333333333337</v>
      </c>
      <c r="E260" t="s">
        <v>748</v>
      </c>
      <c r="F260" t="s">
        <v>729</v>
      </c>
      <c r="H260">
        <v>34.1</v>
      </c>
      <c r="I260">
        <v>37.200000000000003</v>
      </c>
      <c r="J260">
        <v>28.7</v>
      </c>
      <c r="K260">
        <v>71.3</v>
      </c>
      <c r="L260">
        <v>65.900000000000006</v>
      </c>
      <c r="M260">
        <v>62.8</v>
      </c>
      <c r="N260">
        <v>15.9</v>
      </c>
      <c r="O260">
        <v>61.8</v>
      </c>
      <c r="P260">
        <v>22.3</v>
      </c>
      <c r="Q260">
        <v>43.3</v>
      </c>
      <c r="R260">
        <v>50.2</v>
      </c>
      <c r="S260">
        <v>22.8</v>
      </c>
      <c r="T260">
        <v>77.2</v>
      </c>
      <c r="U260">
        <v>80.8</v>
      </c>
      <c r="V260">
        <v>32.6</v>
      </c>
      <c r="W260">
        <v>67.400000000000006</v>
      </c>
    </row>
    <row r="261" spans="2:23" hidden="1" x14ac:dyDescent="0.25">
      <c r="B261" t="s">
        <v>375</v>
      </c>
      <c r="C261" t="s">
        <v>396</v>
      </c>
      <c r="D261" s="13">
        <v>0.70833333333333337</v>
      </c>
      <c r="E261" t="s">
        <v>749</v>
      </c>
      <c r="F261" t="s">
        <v>750</v>
      </c>
      <c r="H261">
        <v>34.4</v>
      </c>
      <c r="I261">
        <v>31.8</v>
      </c>
      <c r="J261">
        <v>33.9</v>
      </c>
      <c r="K261">
        <v>66.099999999999994</v>
      </c>
      <c r="L261">
        <v>65.599999999999994</v>
      </c>
      <c r="M261">
        <v>68.2</v>
      </c>
      <c r="N261">
        <v>21.4</v>
      </c>
      <c r="O261">
        <v>52.6</v>
      </c>
      <c r="P261">
        <v>26</v>
      </c>
      <c r="Q261">
        <v>56.1</v>
      </c>
      <c r="R261">
        <v>66.5</v>
      </c>
      <c r="S261">
        <v>38.4</v>
      </c>
      <c r="T261">
        <v>61.6</v>
      </c>
      <c r="U261">
        <v>66.5</v>
      </c>
      <c r="V261">
        <v>46.5</v>
      </c>
      <c r="W261">
        <v>53.5</v>
      </c>
    </row>
    <row r="262" spans="2:23" hidden="1" x14ac:dyDescent="0.25">
      <c r="B262" t="s">
        <v>375</v>
      </c>
      <c r="C262" t="s">
        <v>396</v>
      </c>
      <c r="D262" s="13">
        <v>0.70833333333333337</v>
      </c>
      <c r="E262" t="s">
        <v>751</v>
      </c>
      <c r="F262" t="s">
        <v>752</v>
      </c>
      <c r="H262">
        <v>36.4</v>
      </c>
      <c r="I262">
        <v>34.5</v>
      </c>
      <c r="J262">
        <v>29</v>
      </c>
      <c r="K262">
        <v>71</v>
      </c>
      <c r="L262">
        <v>63.6</v>
      </c>
      <c r="M262">
        <v>65.5</v>
      </c>
      <c r="N262">
        <v>24</v>
      </c>
      <c r="O262">
        <v>52.8</v>
      </c>
      <c r="P262">
        <v>23.2</v>
      </c>
      <c r="Q262">
        <v>55.8</v>
      </c>
      <c r="R262">
        <v>57.3</v>
      </c>
      <c r="S262">
        <v>29</v>
      </c>
      <c r="T262">
        <v>71</v>
      </c>
      <c r="U262">
        <v>75.3</v>
      </c>
      <c r="V262">
        <v>38.200000000000003</v>
      </c>
      <c r="W262">
        <v>61.8</v>
      </c>
    </row>
    <row r="263" spans="2:23" hidden="1" x14ac:dyDescent="0.25">
      <c r="B263" t="s">
        <v>375</v>
      </c>
      <c r="C263" t="s">
        <v>396</v>
      </c>
      <c r="D263" s="13">
        <v>0.70833333333333337</v>
      </c>
      <c r="E263" t="s">
        <v>753</v>
      </c>
      <c r="F263" t="s">
        <v>376</v>
      </c>
      <c r="H263">
        <v>30.1</v>
      </c>
      <c r="I263">
        <v>32.700000000000003</v>
      </c>
      <c r="J263">
        <v>37.200000000000003</v>
      </c>
      <c r="K263">
        <v>62.8</v>
      </c>
      <c r="L263">
        <v>69.900000000000006</v>
      </c>
      <c r="M263">
        <v>67.3</v>
      </c>
      <c r="N263">
        <v>25</v>
      </c>
      <c r="O263">
        <v>49.1</v>
      </c>
      <c r="P263">
        <v>25.8</v>
      </c>
      <c r="Q263">
        <v>61.2</v>
      </c>
      <c r="R263">
        <v>64</v>
      </c>
      <c r="S263">
        <v>35.6</v>
      </c>
      <c r="T263">
        <v>64.400000000000006</v>
      </c>
      <c r="U263">
        <v>69.2</v>
      </c>
      <c r="V263">
        <v>44</v>
      </c>
      <c r="W263">
        <v>56</v>
      </c>
    </row>
    <row r="264" spans="2:23" hidden="1" x14ac:dyDescent="0.25">
      <c r="B264" t="s">
        <v>375</v>
      </c>
      <c r="C264" t="s">
        <v>396</v>
      </c>
      <c r="D264" s="13">
        <v>0.70833333333333337</v>
      </c>
      <c r="E264" t="s">
        <v>754</v>
      </c>
      <c r="F264" t="s">
        <v>755</v>
      </c>
      <c r="H264">
        <v>28.5</v>
      </c>
      <c r="I264">
        <v>39.6</v>
      </c>
      <c r="J264">
        <v>31.9</v>
      </c>
      <c r="K264">
        <v>68.099999999999994</v>
      </c>
      <c r="L264">
        <v>71.5</v>
      </c>
      <c r="M264">
        <v>60.4</v>
      </c>
      <c r="N264">
        <v>21.4</v>
      </c>
      <c r="O264">
        <v>57.1</v>
      </c>
      <c r="P264">
        <v>21.5</v>
      </c>
      <c r="Q264">
        <v>49.8</v>
      </c>
      <c r="R264">
        <v>44.8</v>
      </c>
      <c r="S264">
        <v>18.600000000000001</v>
      </c>
      <c r="T264">
        <v>81.400000000000006</v>
      </c>
      <c r="U264">
        <v>84.5</v>
      </c>
      <c r="V264">
        <v>28.5</v>
      </c>
      <c r="W264">
        <v>71.5</v>
      </c>
    </row>
    <row r="265" spans="2:23" hidden="1" x14ac:dyDescent="0.25">
      <c r="B265" t="s">
        <v>375</v>
      </c>
      <c r="C265" t="s">
        <v>396</v>
      </c>
      <c r="D265" s="13">
        <v>0.70833333333333337</v>
      </c>
      <c r="E265" t="s">
        <v>377</v>
      </c>
      <c r="F265" t="s">
        <v>756</v>
      </c>
      <c r="H265">
        <v>32.799999999999997</v>
      </c>
      <c r="I265">
        <v>34.200000000000003</v>
      </c>
      <c r="J265">
        <v>33</v>
      </c>
      <c r="K265">
        <v>67</v>
      </c>
      <c r="L265">
        <v>67.2</v>
      </c>
      <c r="M265">
        <v>65.8</v>
      </c>
      <c r="N265">
        <v>25.4</v>
      </c>
      <c r="O265">
        <v>56.5</v>
      </c>
      <c r="P265">
        <v>18.100000000000001</v>
      </c>
      <c r="Q265">
        <v>50.4</v>
      </c>
      <c r="R265">
        <v>59.2</v>
      </c>
      <c r="S265">
        <v>30.8</v>
      </c>
      <c r="T265">
        <v>69.2</v>
      </c>
      <c r="U265">
        <v>73.599999999999994</v>
      </c>
      <c r="V265">
        <v>40</v>
      </c>
      <c r="W265">
        <v>60</v>
      </c>
    </row>
    <row r="266" spans="2:23" hidden="1" x14ac:dyDescent="0.25">
      <c r="B266" t="s">
        <v>375</v>
      </c>
      <c r="C266" t="s">
        <v>396</v>
      </c>
      <c r="D266" s="13">
        <v>0.70833333333333337</v>
      </c>
      <c r="E266" t="s">
        <v>757</v>
      </c>
      <c r="F266" t="s">
        <v>758</v>
      </c>
      <c r="H266">
        <v>40.299999999999997</v>
      </c>
      <c r="I266">
        <v>31.2</v>
      </c>
      <c r="J266">
        <v>28.5</v>
      </c>
      <c r="K266">
        <v>71.5</v>
      </c>
      <c r="L266">
        <v>59.7</v>
      </c>
      <c r="M266">
        <v>68.8</v>
      </c>
      <c r="N266">
        <v>26.4</v>
      </c>
      <c r="O266">
        <v>50.2</v>
      </c>
      <c r="P266">
        <v>23.4</v>
      </c>
      <c r="Q266">
        <v>59.6</v>
      </c>
      <c r="R266">
        <v>66.7</v>
      </c>
      <c r="S266">
        <v>38.6</v>
      </c>
      <c r="T266">
        <v>61.4</v>
      </c>
      <c r="U266">
        <v>66.5</v>
      </c>
      <c r="V266">
        <v>46.2</v>
      </c>
      <c r="W266">
        <v>53.8</v>
      </c>
    </row>
    <row r="267" spans="2:23" hidden="1" x14ac:dyDescent="0.25">
      <c r="B267" t="s">
        <v>375</v>
      </c>
      <c r="C267" t="s">
        <v>396</v>
      </c>
      <c r="D267" s="13">
        <v>0.70833333333333337</v>
      </c>
      <c r="E267" t="s">
        <v>732</v>
      </c>
      <c r="F267" t="s">
        <v>759</v>
      </c>
      <c r="H267">
        <v>37.4</v>
      </c>
      <c r="I267">
        <v>35.4</v>
      </c>
      <c r="J267">
        <v>27.2</v>
      </c>
      <c r="K267">
        <v>72.8</v>
      </c>
      <c r="L267">
        <v>62.6</v>
      </c>
      <c r="M267">
        <v>64.599999999999994</v>
      </c>
      <c r="N267">
        <v>26.7</v>
      </c>
      <c r="O267">
        <v>54.2</v>
      </c>
      <c r="P267">
        <v>19.100000000000001</v>
      </c>
      <c r="Q267">
        <v>53.5</v>
      </c>
      <c r="R267">
        <v>54.4</v>
      </c>
      <c r="S267">
        <v>26.4</v>
      </c>
      <c r="T267">
        <v>73.599999999999994</v>
      </c>
      <c r="U267">
        <v>77.7</v>
      </c>
      <c r="V267">
        <v>35.700000000000003</v>
      </c>
      <c r="W267">
        <v>64.3</v>
      </c>
    </row>
    <row r="268" spans="2:23" hidden="1" x14ac:dyDescent="0.25">
      <c r="B268" t="s">
        <v>375</v>
      </c>
      <c r="C268" t="s">
        <v>396</v>
      </c>
      <c r="D268" s="13">
        <v>0.70833333333333337</v>
      </c>
      <c r="E268" t="s">
        <v>760</v>
      </c>
      <c r="F268" t="s">
        <v>731</v>
      </c>
      <c r="H268">
        <v>48.9</v>
      </c>
      <c r="I268">
        <v>30.4</v>
      </c>
      <c r="J268">
        <v>20.7</v>
      </c>
      <c r="K268">
        <v>79.3</v>
      </c>
      <c r="L268">
        <v>51.1</v>
      </c>
      <c r="M268">
        <v>69.599999999999994</v>
      </c>
      <c r="N268">
        <v>34.1</v>
      </c>
      <c r="O268">
        <v>49.8</v>
      </c>
      <c r="P268">
        <v>16.100000000000001</v>
      </c>
      <c r="Q268">
        <v>58.8</v>
      </c>
      <c r="R268">
        <v>63.7</v>
      </c>
      <c r="S268">
        <v>35.5</v>
      </c>
      <c r="T268">
        <v>64.5</v>
      </c>
      <c r="U268">
        <v>70.400000000000006</v>
      </c>
      <c r="V268">
        <v>41.1</v>
      </c>
      <c r="W268">
        <v>58.9</v>
      </c>
    </row>
    <row r="269" spans="2:23" hidden="1" x14ac:dyDescent="0.25">
      <c r="B269" t="s">
        <v>375</v>
      </c>
      <c r="C269" t="s">
        <v>396</v>
      </c>
      <c r="D269" s="13">
        <v>0.70833333333333337</v>
      </c>
      <c r="E269" t="s">
        <v>672</v>
      </c>
      <c r="F269" t="s">
        <v>761</v>
      </c>
      <c r="H269">
        <v>49.2</v>
      </c>
      <c r="I269">
        <v>29.8</v>
      </c>
      <c r="J269">
        <v>21</v>
      </c>
      <c r="K269">
        <v>79</v>
      </c>
      <c r="L269">
        <v>50.8</v>
      </c>
      <c r="M269">
        <v>70.2</v>
      </c>
      <c r="N269">
        <v>31.6</v>
      </c>
      <c r="O269">
        <v>49.4</v>
      </c>
      <c r="P269">
        <v>19</v>
      </c>
      <c r="Q269">
        <v>60.1</v>
      </c>
      <c r="R269">
        <v>65.7</v>
      </c>
      <c r="S269">
        <v>37.6</v>
      </c>
      <c r="T269">
        <v>62.4</v>
      </c>
      <c r="U269">
        <v>68.3</v>
      </c>
      <c r="V269">
        <v>42.9</v>
      </c>
      <c r="W269">
        <v>57.1</v>
      </c>
    </row>
    <row r="270" spans="2:23" hidden="1" x14ac:dyDescent="0.25">
      <c r="B270" t="s">
        <v>375</v>
      </c>
      <c r="C270" t="s">
        <v>396</v>
      </c>
      <c r="D270" s="13">
        <v>0.70833333333333337</v>
      </c>
      <c r="E270" t="s">
        <v>762</v>
      </c>
      <c r="F270" t="s">
        <v>763</v>
      </c>
      <c r="H270">
        <v>50</v>
      </c>
      <c r="I270">
        <v>29.4</v>
      </c>
      <c r="J270">
        <v>20.6</v>
      </c>
      <c r="K270">
        <v>79.400000000000006</v>
      </c>
      <c r="L270">
        <v>50</v>
      </c>
      <c r="M270">
        <v>70.599999999999994</v>
      </c>
      <c r="N270">
        <v>36</v>
      </c>
      <c r="O270">
        <v>47.4</v>
      </c>
      <c r="P270">
        <v>16.600000000000001</v>
      </c>
      <c r="Q270">
        <v>62.2</v>
      </c>
      <c r="R270">
        <v>66.5</v>
      </c>
      <c r="S270">
        <v>38.5</v>
      </c>
      <c r="T270">
        <v>61.5</v>
      </c>
      <c r="U270">
        <v>67.599999999999994</v>
      </c>
      <c r="V270">
        <v>43.4</v>
      </c>
      <c r="W270">
        <v>56.6</v>
      </c>
    </row>
    <row r="271" spans="2:23" hidden="1" x14ac:dyDescent="0.25">
      <c r="B271" t="s">
        <v>375</v>
      </c>
      <c r="C271" t="s">
        <v>396</v>
      </c>
      <c r="D271" s="13">
        <v>0.70833333333333337</v>
      </c>
      <c r="E271" t="s">
        <v>764</v>
      </c>
      <c r="F271" t="s">
        <v>746</v>
      </c>
      <c r="H271">
        <v>48.6</v>
      </c>
      <c r="I271">
        <v>33.5</v>
      </c>
      <c r="J271">
        <v>17.899999999999999</v>
      </c>
      <c r="K271">
        <v>82.1</v>
      </c>
      <c r="L271">
        <v>51.4</v>
      </c>
      <c r="M271">
        <v>66.5</v>
      </c>
      <c r="N271">
        <v>30.2</v>
      </c>
      <c r="O271">
        <v>54.8</v>
      </c>
      <c r="P271">
        <v>15</v>
      </c>
      <c r="Q271">
        <v>52</v>
      </c>
      <c r="R271">
        <v>52.8</v>
      </c>
      <c r="S271">
        <v>25.1</v>
      </c>
      <c r="T271">
        <v>74.900000000000006</v>
      </c>
      <c r="U271">
        <v>80</v>
      </c>
      <c r="V271">
        <v>31.3</v>
      </c>
      <c r="W271">
        <v>68.7</v>
      </c>
    </row>
    <row r="272" spans="2:23" hidden="1" x14ac:dyDescent="0.25">
      <c r="B272" t="s">
        <v>375</v>
      </c>
      <c r="C272" t="s">
        <v>396</v>
      </c>
      <c r="D272" s="13">
        <v>0.70833333333333337</v>
      </c>
      <c r="E272" t="s">
        <v>723</v>
      </c>
      <c r="F272" t="s">
        <v>765</v>
      </c>
      <c r="H272">
        <v>32.5</v>
      </c>
      <c r="I272">
        <v>36.200000000000003</v>
      </c>
      <c r="J272">
        <v>31.3</v>
      </c>
      <c r="K272">
        <v>68.7</v>
      </c>
      <c r="L272">
        <v>67.5</v>
      </c>
      <c r="M272">
        <v>63.8</v>
      </c>
      <c r="N272">
        <v>17.2</v>
      </c>
      <c r="O272">
        <v>55.5</v>
      </c>
      <c r="P272">
        <v>27.3</v>
      </c>
      <c r="Q272">
        <v>51.7</v>
      </c>
      <c r="R272">
        <v>53.4</v>
      </c>
      <c r="S272">
        <v>25.5</v>
      </c>
      <c r="T272">
        <v>74.5</v>
      </c>
      <c r="U272">
        <v>78.400000000000006</v>
      </c>
      <c r="V272">
        <v>35.200000000000003</v>
      </c>
      <c r="W272">
        <v>64.8</v>
      </c>
    </row>
    <row r="273" spans="2:23" hidden="1" x14ac:dyDescent="0.25">
      <c r="B273" t="s">
        <v>375</v>
      </c>
      <c r="C273" t="s">
        <v>396</v>
      </c>
      <c r="D273" s="13">
        <v>0.70833333333333337</v>
      </c>
      <c r="E273" t="s">
        <v>766</v>
      </c>
      <c r="F273" t="s">
        <v>722</v>
      </c>
      <c r="H273">
        <v>36.700000000000003</v>
      </c>
      <c r="I273">
        <v>34</v>
      </c>
      <c r="J273">
        <v>29.3</v>
      </c>
      <c r="K273">
        <v>70.7</v>
      </c>
      <c r="L273">
        <v>63.3</v>
      </c>
      <c r="M273">
        <v>66</v>
      </c>
      <c r="N273">
        <v>26.8</v>
      </c>
      <c r="O273">
        <v>54.8</v>
      </c>
      <c r="P273">
        <v>18.399999999999999</v>
      </c>
      <c r="Q273">
        <v>52.6</v>
      </c>
      <c r="R273">
        <v>58.8</v>
      </c>
      <c r="S273">
        <v>30.4</v>
      </c>
      <c r="T273">
        <v>69.599999999999994</v>
      </c>
      <c r="U273">
        <v>74</v>
      </c>
      <c r="V273">
        <v>39.5</v>
      </c>
      <c r="W273">
        <v>60.5</v>
      </c>
    </row>
    <row r="274" spans="2:23" hidden="1" x14ac:dyDescent="0.25">
      <c r="B274" t="s">
        <v>375</v>
      </c>
      <c r="C274" t="s">
        <v>396</v>
      </c>
      <c r="D274" s="13">
        <v>0.70833333333333337</v>
      </c>
      <c r="E274" t="s">
        <v>767</v>
      </c>
      <c r="F274" t="s">
        <v>768</v>
      </c>
      <c r="H274">
        <v>33.299999999999997</v>
      </c>
      <c r="I274">
        <v>34.799999999999997</v>
      </c>
      <c r="J274">
        <v>31.9</v>
      </c>
      <c r="K274">
        <v>68.099999999999994</v>
      </c>
      <c r="L274">
        <v>66.7</v>
      </c>
      <c r="M274">
        <v>65.2</v>
      </c>
      <c r="N274">
        <v>22.1</v>
      </c>
      <c r="O274">
        <v>51.6</v>
      </c>
      <c r="P274">
        <v>26.3</v>
      </c>
      <c r="Q274">
        <v>57.6</v>
      </c>
      <c r="R274">
        <v>57.3</v>
      </c>
      <c r="S274">
        <v>29</v>
      </c>
      <c r="T274">
        <v>71</v>
      </c>
      <c r="U274">
        <v>75.2</v>
      </c>
      <c r="V274">
        <v>38.4</v>
      </c>
      <c r="W274">
        <v>61.6</v>
      </c>
    </row>
    <row r="275" spans="2:23" hidden="1" x14ac:dyDescent="0.25">
      <c r="B275" t="s">
        <v>375</v>
      </c>
      <c r="C275" t="s">
        <v>396</v>
      </c>
      <c r="D275" s="13">
        <v>0.70833333333333337</v>
      </c>
      <c r="E275" t="s">
        <v>769</v>
      </c>
      <c r="F275" t="s">
        <v>764</v>
      </c>
      <c r="H275">
        <v>29.9</v>
      </c>
      <c r="I275">
        <v>37.1</v>
      </c>
      <c r="J275">
        <v>33</v>
      </c>
      <c r="K275">
        <v>67</v>
      </c>
      <c r="L275">
        <v>70.099999999999994</v>
      </c>
      <c r="M275">
        <v>62.9</v>
      </c>
      <c r="N275">
        <v>18.8</v>
      </c>
      <c r="O275">
        <v>53.3</v>
      </c>
      <c r="P275">
        <v>27.9</v>
      </c>
      <c r="Q275">
        <v>54.9</v>
      </c>
      <c r="R275">
        <v>51.1</v>
      </c>
      <c r="S275">
        <v>23.6</v>
      </c>
      <c r="T275">
        <v>76.400000000000006</v>
      </c>
      <c r="U275">
        <v>80.099999999999994</v>
      </c>
      <c r="V275">
        <v>33.4</v>
      </c>
      <c r="W275">
        <v>66.599999999999994</v>
      </c>
    </row>
    <row r="276" spans="2:23" hidden="1" x14ac:dyDescent="0.25">
      <c r="B276" t="s">
        <v>375</v>
      </c>
      <c r="C276" t="s">
        <v>396</v>
      </c>
      <c r="D276" s="13">
        <v>0.70833333333333337</v>
      </c>
      <c r="E276" t="s">
        <v>770</v>
      </c>
      <c r="F276" t="s">
        <v>671</v>
      </c>
      <c r="H276">
        <v>42.9</v>
      </c>
      <c r="I276">
        <v>33.200000000000003</v>
      </c>
      <c r="J276">
        <v>23.9</v>
      </c>
      <c r="K276">
        <v>76.099999999999994</v>
      </c>
      <c r="L276">
        <v>57.1</v>
      </c>
      <c r="M276">
        <v>66.8</v>
      </c>
      <c r="N276">
        <v>31.6</v>
      </c>
      <c r="O276">
        <v>51.3</v>
      </c>
      <c r="P276">
        <v>17.100000000000001</v>
      </c>
      <c r="Q276">
        <v>57</v>
      </c>
      <c r="R276">
        <v>58.4</v>
      </c>
      <c r="S276">
        <v>30.1</v>
      </c>
      <c r="T276">
        <v>69.900000000000006</v>
      </c>
      <c r="U276">
        <v>74.7</v>
      </c>
      <c r="V276">
        <v>38</v>
      </c>
      <c r="W276">
        <v>62</v>
      </c>
    </row>
    <row r="277" spans="2:23" hidden="1" x14ac:dyDescent="0.25">
      <c r="B277" t="s">
        <v>375</v>
      </c>
      <c r="C277" t="s">
        <v>396</v>
      </c>
      <c r="D277" s="13">
        <v>0.70833333333333337</v>
      </c>
      <c r="E277" t="s">
        <v>730</v>
      </c>
      <c r="F277" t="s">
        <v>771</v>
      </c>
      <c r="H277">
        <v>44</v>
      </c>
      <c r="I277">
        <v>34.700000000000003</v>
      </c>
      <c r="J277">
        <v>21.3</v>
      </c>
      <c r="K277">
        <v>78.7</v>
      </c>
      <c r="L277">
        <v>56</v>
      </c>
      <c r="M277">
        <v>65.3</v>
      </c>
      <c r="N277">
        <v>31.8</v>
      </c>
      <c r="O277">
        <v>49.6</v>
      </c>
      <c r="P277">
        <v>18.5</v>
      </c>
      <c r="Q277">
        <v>59.6</v>
      </c>
      <c r="R277">
        <v>52.7</v>
      </c>
      <c r="S277">
        <v>24.9</v>
      </c>
      <c r="T277">
        <v>75.099999999999994</v>
      </c>
      <c r="U277">
        <v>79.599999999999994</v>
      </c>
      <c r="V277">
        <v>32.799999999999997</v>
      </c>
      <c r="W277">
        <v>67.2</v>
      </c>
    </row>
    <row r="278" spans="2:23" hidden="1" x14ac:dyDescent="0.25">
      <c r="B278" t="s">
        <v>673</v>
      </c>
      <c r="C278" t="s">
        <v>396</v>
      </c>
      <c r="D278" s="13">
        <v>0.70833333333333337</v>
      </c>
      <c r="E278" t="s">
        <v>772</v>
      </c>
      <c r="F278" t="s">
        <v>101</v>
      </c>
      <c r="H278">
        <v>47.9</v>
      </c>
      <c r="I278">
        <v>29.5</v>
      </c>
      <c r="J278">
        <v>22.6</v>
      </c>
      <c r="K278">
        <v>77.400000000000006</v>
      </c>
      <c r="L278">
        <v>52.1</v>
      </c>
      <c r="M278">
        <v>70.5</v>
      </c>
      <c r="N278">
        <v>41.1</v>
      </c>
      <c r="O278">
        <v>43</v>
      </c>
      <c r="P278">
        <v>16</v>
      </c>
      <c r="Q278">
        <v>67.900000000000006</v>
      </c>
      <c r="R278">
        <v>68.099999999999994</v>
      </c>
      <c r="S278">
        <v>40.299999999999997</v>
      </c>
      <c r="T278">
        <v>59.7</v>
      </c>
      <c r="U278">
        <v>65.599999999999994</v>
      </c>
      <c r="V278">
        <v>45.8</v>
      </c>
      <c r="W278">
        <v>54.2</v>
      </c>
    </row>
    <row r="279" spans="2:23" hidden="1" x14ac:dyDescent="0.25">
      <c r="B279" t="s">
        <v>687</v>
      </c>
      <c r="C279" t="s">
        <v>396</v>
      </c>
      <c r="D279" s="13">
        <v>0.70833333333333337</v>
      </c>
      <c r="E279" t="s">
        <v>773</v>
      </c>
      <c r="F279" t="s">
        <v>774</v>
      </c>
      <c r="H279">
        <v>33.9</v>
      </c>
      <c r="I279">
        <v>36</v>
      </c>
      <c r="J279">
        <v>30.2</v>
      </c>
      <c r="K279">
        <v>69.8</v>
      </c>
      <c r="L279">
        <v>66.099999999999994</v>
      </c>
      <c r="M279">
        <v>64</v>
      </c>
      <c r="N279">
        <v>19.600000000000001</v>
      </c>
      <c r="O279">
        <v>55.5</v>
      </c>
      <c r="P279">
        <v>24.9</v>
      </c>
      <c r="Q279">
        <v>52</v>
      </c>
      <c r="R279">
        <v>53.8</v>
      </c>
      <c r="S279">
        <v>25.8</v>
      </c>
      <c r="T279">
        <v>74.2</v>
      </c>
      <c r="U279">
        <v>78.099999999999994</v>
      </c>
      <c r="V279">
        <v>35.5</v>
      </c>
      <c r="W279">
        <v>64.5</v>
      </c>
    </row>
    <row r="280" spans="2:23" hidden="1" x14ac:dyDescent="0.25">
      <c r="B280" t="s">
        <v>775</v>
      </c>
      <c r="C280" t="s">
        <v>396</v>
      </c>
      <c r="D280" s="13">
        <v>0.70833333333333337</v>
      </c>
      <c r="E280" t="s">
        <v>157</v>
      </c>
      <c r="F280" t="s">
        <v>776</v>
      </c>
      <c r="H280">
        <v>39.1</v>
      </c>
      <c r="I280">
        <v>30.1</v>
      </c>
      <c r="J280">
        <v>30.7</v>
      </c>
      <c r="K280">
        <v>69.3</v>
      </c>
      <c r="L280">
        <v>60.9</v>
      </c>
      <c r="M280">
        <v>69.900000000000006</v>
      </c>
      <c r="N280">
        <v>29.4</v>
      </c>
      <c r="O280">
        <v>47.4</v>
      </c>
      <c r="P280">
        <v>23.3</v>
      </c>
      <c r="Q280">
        <v>63.6</v>
      </c>
      <c r="R280">
        <v>70.900000000000006</v>
      </c>
      <c r="S280">
        <v>43.5</v>
      </c>
      <c r="T280">
        <v>56.5</v>
      </c>
      <c r="U280">
        <v>61.8</v>
      </c>
      <c r="V280">
        <v>50.4</v>
      </c>
      <c r="W280">
        <v>49.6</v>
      </c>
    </row>
    <row r="281" spans="2:23" hidden="1" x14ac:dyDescent="0.25">
      <c r="B281" t="s">
        <v>775</v>
      </c>
      <c r="C281" t="s">
        <v>396</v>
      </c>
      <c r="D281" s="13">
        <v>0.70833333333333337</v>
      </c>
      <c r="E281" t="s">
        <v>777</v>
      </c>
      <c r="F281" t="s">
        <v>778</v>
      </c>
      <c r="H281">
        <v>32.4</v>
      </c>
      <c r="I281">
        <v>34.299999999999997</v>
      </c>
      <c r="J281">
        <v>33.299999999999997</v>
      </c>
      <c r="K281">
        <v>66.7</v>
      </c>
      <c r="L281">
        <v>67.599999999999994</v>
      </c>
      <c r="M281">
        <v>65.7</v>
      </c>
      <c r="N281">
        <v>22.3</v>
      </c>
      <c r="O281">
        <v>52.8</v>
      </c>
      <c r="P281">
        <v>24.9</v>
      </c>
      <c r="Q281">
        <v>55.9</v>
      </c>
      <c r="R281">
        <v>59</v>
      </c>
      <c r="S281">
        <v>30.6</v>
      </c>
      <c r="T281">
        <v>69.400000000000006</v>
      </c>
      <c r="U281">
        <v>73.8</v>
      </c>
      <c r="V281">
        <v>39.799999999999997</v>
      </c>
      <c r="W281">
        <v>60.2</v>
      </c>
    </row>
    <row r="282" spans="2:23" hidden="1" x14ac:dyDescent="0.25">
      <c r="B282" t="s">
        <v>775</v>
      </c>
      <c r="C282" t="s">
        <v>396</v>
      </c>
      <c r="D282" s="13">
        <v>0.70833333333333337</v>
      </c>
      <c r="E282" t="s">
        <v>142</v>
      </c>
      <c r="F282" t="s">
        <v>779</v>
      </c>
      <c r="H282">
        <v>49</v>
      </c>
      <c r="I282">
        <v>30.1</v>
      </c>
      <c r="J282">
        <v>20.9</v>
      </c>
      <c r="K282">
        <v>79.099999999999994</v>
      </c>
      <c r="L282">
        <v>51</v>
      </c>
      <c r="M282">
        <v>69.900000000000006</v>
      </c>
      <c r="N282">
        <v>32.4</v>
      </c>
      <c r="O282">
        <v>48.7</v>
      </c>
      <c r="P282">
        <v>18.899999999999999</v>
      </c>
      <c r="Q282">
        <v>61</v>
      </c>
      <c r="R282">
        <v>64.7</v>
      </c>
      <c r="S282">
        <v>36.6</v>
      </c>
      <c r="T282">
        <v>63.4</v>
      </c>
      <c r="U282">
        <v>69.3</v>
      </c>
      <c r="V282">
        <v>42</v>
      </c>
      <c r="W282">
        <v>58</v>
      </c>
    </row>
    <row r="283" spans="2:23" hidden="1" x14ac:dyDescent="0.25">
      <c r="B283" t="s">
        <v>775</v>
      </c>
      <c r="C283" t="s">
        <v>396</v>
      </c>
      <c r="D283" s="13">
        <v>0.70833333333333337</v>
      </c>
      <c r="E283" t="s">
        <v>780</v>
      </c>
      <c r="F283" t="s">
        <v>171</v>
      </c>
      <c r="H283">
        <v>38.9</v>
      </c>
      <c r="I283">
        <v>32.5</v>
      </c>
      <c r="J283">
        <v>28.7</v>
      </c>
      <c r="K283">
        <v>71.3</v>
      </c>
      <c r="L283">
        <v>61.1</v>
      </c>
      <c r="M283">
        <v>67.5</v>
      </c>
      <c r="N283">
        <v>25.3</v>
      </c>
      <c r="O283">
        <v>54.5</v>
      </c>
      <c r="P283">
        <v>20.100000000000001</v>
      </c>
      <c r="Q283">
        <v>53.2</v>
      </c>
      <c r="R283">
        <v>63</v>
      </c>
      <c r="S283">
        <v>34.6</v>
      </c>
      <c r="T283">
        <v>65.400000000000006</v>
      </c>
      <c r="U283">
        <v>70.2</v>
      </c>
      <c r="V283">
        <v>42.9</v>
      </c>
      <c r="W283">
        <v>57.1</v>
      </c>
    </row>
    <row r="284" spans="2:23" hidden="1" x14ac:dyDescent="0.25">
      <c r="B284" t="s">
        <v>775</v>
      </c>
      <c r="C284" t="s">
        <v>396</v>
      </c>
      <c r="D284" s="13">
        <v>0.70833333333333337</v>
      </c>
      <c r="E284" t="s">
        <v>781</v>
      </c>
      <c r="F284" t="s">
        <v>782</v>
      </c>
      <c r="H284">
        <v>50.7</v>
      </c>
      <c r="I284">
        <v>31.6</v>
      </c>
      <c r="J284">
        <v>17.600000000000001</v>
      </c>
      <c r="K284">
        <v>82.4</v>
      </c>
      <c r="L284">
        <v>49.3</v>
      </c>
      <c r="M284">
        <v>68.400000000000006</v>
      </c>
      <c r="N284">
        <v>28.7</v>
      </c>
      <c r="O284">
        <v>59</v>
      </c>
      <c r="P284">
        <v>12.3</v>
      </c>
      <c r="Q284">
        <v>46.1</v>
      </c>
      <c r="R284">
        <v>57.4</v>
      </c>
      <c r="S284">
        <v>29.2</v>
      </c>
      <c r="T284">
        <v>70.8</v>
      </c>
      <c r="U284">
        <v>76.5</v>
      </c>
      <c r="V284">
        <v>34.4</v>
      </c>
      <c r="W284">
        <v>65.599999999999994</v>
      </c>
    </row>
    <row r="285" spans="2:23" hidden="1" x14ac:dyDescent="0.25">
      <c r="B285" t="s">
        <v>775</v>
      </c>
      <c r="C285" t="s">
        <v>396</v>
      </c>
      <c r="D285" s="13">
        <v>0.70833333333333337</v>
      </c>
      <c r="E285" t="s">
        <v>102</v>
      </c>
      <c r="F285" t="s">
        <v>783</v>
      </c>
      <c r="H285">
        <v>35.4</v>
      </c>
      <c r="I285">
        <v>33.299999999999997</v>
      </c>
      <c r="J285">
        <v>31.3</v>
      </c>
      <c r="K285">
        <v>68.7</v>
      </c>
      <c r="L285">
        <v>64.599999999999994</v>
      </c>
      <c r="M285">
        <v>66.7</v>
      </c>
      <c r="N285">
        <v>21.3</v>
      </c>
      <c r="O285">
        <v>51.4</v>
      </c>
      <c r="P285">
        <v>27.3</v>
      </c>
      <c r="Q285">
        <v>57.9</v>
      </c>
      <c r="R285">
        <v>61.3</v>
      </c>
      <c r="S285">
        <v>32.9</v>
      </c>
      <c r="T285">
        <v>67.099999999999994</v>
      </c>
      <c r="U285">
        <v>71.7</v>
      </c>
      <c r="V285">
        <v>41.8</v>
      </c>
      <c r="W285">
        <v>58.2</v>
      </c>
    </row>
    <row r="286" spans="2:23" hidden="1" x14ac:dyDescent="0.25">
      <c r="B286" t="s">
        <v>775</v>
      </c>
      <c r="C286" t="s">
        <v>396</v>
      </c>
      <c r="D286" s="13">
        <v>0.70833333333333337</v>
      </c>
      <c r="E286" t="s">
        <v>784</v>
      </c>
      <c r="F286" t="s">
        <v>785</v>
      </c>
      <c r="H286">
        <v>41.2</v>
      </c>
      <c r="I286">
        <v>31.9</v>
      </c>
      <c r="J286">
        <v>26.9</v>
      </c>
      <c r="K286">
        <v>73.099999999999994</v>
      </c>
      <c r="L286">
        <v>58.8</v>
      </c>
      <c r="M286">
        <v>68.099999999999994</v>
      </c>
      <c r="N286">
        <v>28.6</v>
      </c>
      <c r="O286">
        <v>48.8</v>
      </c>
      <c r="P286">
        <v>22.6</v>
      </c>
      <c r="Q286">
        <v>61.5</v>
      </c>
      <c r="R286">
        <v>63.8</v>
      </c>
      <c r="S286">
        <v>35.5</v>
      </c>
      <c r="T286">
        <v>64.5</v>
      </c>
      <c r="U286">
        <v>69.5</v>
      </c>
      <c r="V286">
        <v>43.3</v>
      </c>
      <c r="W286">
        <v>56.7</v>
      </c>
    </row>
    <row r="287" spans="2:23" hidden="1" x14ac:dyDescent="0.25">
      <c r="B287" t="s">
        <v>775</v>
      </c>
      <c r="C287" t="s">
        <v>396</v>
      </c>
      <c r="D287" s="13">
        <v>0.70833333333333337</v>
      </c>
      <c r="E287" t="s">
        <v>786</v>
      </c>
      <c r="F287" t="s">
        <v>141</v>
      </c>
      <c r="H287">
        <v>48.2</v>
      </c>
      <c r="I287">
        <v>27</v>
      </c>
      <c r="J287">
        <v>24.8</v>
      </c>
      <c r="K287">
        <v>75.2</v>
      </c>
      <c r="L287">
        <v>51.8</v>
      </c>
      <c r="M287">
        <v>73</v>
      </c>
      <c r="N287">
        <v>43.8</v>
      </c>
      <c r="O287">
        <v>40.6</v>
      </c>
      <c r="P287">
        <v>15.5</v>
      </c>
      <c r="Q287">
        <v>70.8</v>
      </c>
      <c r="R287">
        <v>78.099999999999994</v>
      </c>
      <c r="S287">
        <v>53.2</v>
      </c>
      <c r="T287">
        <v>46.8</v>
      </c>
      <c r="U287">
        <v>53</v>
      </c>
      <c r="V287">
        <v>56.4</v>
      </c>
      <c r="W287">
        <v>43.6</v>
      </c>
    </row>
    <row r="288" spans="2:23" hidden="1" x14ac:dyDescent="0.25">
      <c r="B288" t="s">
        <v>775</v>
      </c>
      <c r="C288" t="s">
        <v>396</v>
      </c>
      <c r="D288" s="13">
        <v>0.70833333333333337</v>
      </c>
      <c r="E288" t="s">
        <v>787</v>
      </c>
      <c r="F288" t="s">
        <v>788</v>
      </c>
      <c r="H288">
        <v>30.6</v>
      </c>
      <c r="I288">
        <v>30.9</v>
      </c>
      <c r="J288">
        <v>38.5</v>
      </c>
      <c r="K288">
        <v>61.5</v>
      </c>
      <c r="L288">
        <v>69.400000000000006</v>
      </c>
      <c r="M288">
        <v>69.099999999999994</v>
      </c>
      <c r="N288">
        <v>30.4</v>
      </c>
      <c r="O288">
        <v>46.2</v>
      </c>
      <c r="P288">
        <v>23.4</v>
      </c>
      <c r="Q288">
        <v>65.3</v>
      </c>
      <c r="R288">
        <v>69.599999999999994</v>
      </c>
      <c r="S288">
        <v>41.9</v>
      </c>
      <c r="T288">
        <v>58.1</v>
      </c>
      <c r="U288">
        <v>63.3</v>
      </c>
      <c r="V288">
        <v>49.1</v>
      </c>
      <c r="W288">
        <v>50.9</v>
      </c>
    </row>
    <row r="289" spans="2:23" hidden="1" x14ac:dyDescent="0.25">
      <c r="B289" t="s">
        <v>775</v>
      </c>
      <c r="C289" t="s">
        <v>396</v>
      </c>
      <c r="D289" s="13">
        <v>0.70833333333333337</v>
      </c>
      <c r="E289" t="s">
        <v>789</v>
      </c>
      <c r="F289" t="s">
        <v>170</v>
      </c>
      <c r="H289">
        <v>44.2</v>
      </c>
      <c r="I289">
        <v>26.3</v>
      </c>
      <c r="J289">
        <v>29.5</v>
      </c>
      <c r="K289">
        <v>70.5</v>
      </c>
      <c r="L289">
        <v>55.8</v>
      </c>
      <c r="M289">
        <v>73.7</v>
      </c>
      <c r="N289">
        <v>37.799999999999997</v>
      </c>
      <c r="O289">
        <v>39.799999999999997</v>
      </c>
      <c r="P289">
        <v>22.5</v>
      </c>
      <c r="Q289">
        <v>74.5</v>
      </c>
      <c r="R289">
        <v>83.6</v>
      </c>
      <c r="S289">
        <v>61.5</v>
      </c>
      <c r="T289">
        <v>38.5</v>
      </c>
      <c r="U289">
        <v>44.3</v>
      </c>
      <c r="V289">
        <v>64</v>
      </c>
      <c r="W289">
        <v>36</v>
      </c>
    </row>
    <row r="290" spans="2:23" hidden="1" x14ac:dyDescent="0.25">
      <c r="B290" t="s">
        <v>350</v>
      </c>
      <c r="C290" t="s">
        <v>396</v>
      </c>
      <c r="D290" s="13">
        <v>0.70833333333333337</v>
      </c>
      <c r="E290" t="s">
        <v>790</v>
      </c>
      <c r="F290" t="s">
        <v>791</v>
      </c>
      <c r="H290">
        <v>33.700000000000003</v>
      </c>
      <c r="I290">
        <v>31.2</v>
      </c>
      <c r="J290">
        <v>35.1</v>
      </c>
      <c r="K290">
        <v>64.900000000000006</v>
      </c>
      <c r="L290">
        <v>66.3</v>
      </c>
      <c r="M290">
        <v>68.8</v>
      </c>
      <c r="N290">
        <v>31.7</v>
      </c>
      <c r="O290">
        <v>43.6</v>
      </c>
      <c r="P290">
        <v>24.7</v>
      </c>
      <c r="Q290">
        <v>69.3</v>
      </c>
      <c r="R290">
        <v>68.599999999999994</v>
      </c>
      <c r="S290">
        <v>40.799999999999997</v>
      </c>
      <c r="T290">
        <v>59.2</v>
      </c>
      <c r="U290">
        <v>64.3</v>
      </c>
      <c r="V290">
        <v>48.4</v>
      </c>
      <c r="W290">
        <v>51.6</v>
      </c>
    </row>
    <row r="291" spans="2:23" hidden="1" x14ac:dyDescent="0.25">
      <c r="B291" t="s">
        <v>337</v>
      </c>
      <c r="C291" t="s">
        <v>396</v>
      </c>
      <c r="D291" s="13">
        <v>0.72916666666666663</v>
      </c>
      <c r="E291" t="s">
        <v>792</v>
      </c>
      <c r="F291" t="s">
        <v>793</v>
      </c>
      <c r="H291">
        <v>33.700000000000003</v>
      </c>
      <c r="I291">
        <v>32.299999999999997</v>
      </c>
      <c r="J291">
        <v>34</v>
      </c>
      <c r="K291">
        <v>66</v>
      </c>
      <c r="L291">
        <v>66.3</v>
      </c>
      <c r="M291">
        <v>67.7</v>
      </c>
      <c r="N291">
        <v>29.4</v>
      </c>
      <c r="O291">
        <v>43.3</v>
      </c>
      <c r="P291">
        <v>27.3</v>
      </c>
      <c r="Q291">
        <v>70.099999999999994</v>
      </c>
      <c r="R291">
        <v>65.099999999999994</v>
      </c>
      <c r="S291">
        <v>36.9</v>
      </c>
      <c r="T291">
        <v>63.1</v>
      </c>
      <c r="U291">
        <v>68</v>
      </c>
      <c r="V291">
        <v>45.2</v>
      </c>
      <c r="W291">
        <v>54.8</v>
      </c>
    </row>
    <row r="292" spans="2:23" hidden="1" x14ac:dyDescent="0.25">
      <c r="B292" t="s">
        <v>337</v>
      </c>
      <c r="C292" t="s">
        <v>396</v>
      </c>
      <c r="D292" s="13">
        <v>0.72916666666666663</v>
      </c>
      <c r="E292" t="s">
        <v>794</v>
      </c>
      <c r="F292" t="s">
        <v>795</v>
      </c>
      <c r="H292">
        <v>22.9</v>
      </c>
      <c r="I292">
        <v>31.1</v>
      </c>
      <c r="J292">
        <v>45.9</v>
      </c>
      <c r="K292">
        <v>54.1</v>
      </c>
      <c r="L292">
        <v>77.099999999999994</v>
      </c>
      <c r="M292">
        <v>68.900000000000006</v>
      </c>
      <c r="N292">
        <v>14.3</v>
      </c>
      <c r="O292">
        <v>46.8</v>
      </c>
      <c r="P292">
        <v>38.9</v>
      </c>
      <c r="Q292">
        <v>62.8</v>
      </c>
      <c r="R292">
        <v>67.2</v>
      </c>
      <c r="S292">
        <v>39.299999999999997</v>
      </c>
      <c r="T292">
        <v>60.7</v>
      </c>
      <c r="U292">
        <v>66.400000000000006</v>
      </c>
      <c r="V292">
        <v>45.3</v>
      </c>
      <c r="W292">
        <v>54.7</v>
      </c>
    </row>
    <row r="293" spans="2:23" hidden="1" x14ac:dyDescent="0.25">
      <c r="B293" t="s">
        <v>796</v>
      </c>
      <c r="C293" t="s">
        <v>396</v>
      </c>
      <c r="D293" s="13">
        <v>0.72916666666666663</v>
      </c>
      <c r="E293" t="s">
        <v>797</v>
      </c>
      <c r="F293" t="s">
        <v>798</v>
      </c>
      <c r="H293">
        <v>34</v>
      </c>
      <c r="I293">
        <v>28.3</v>
      </c>
      <c r="J293">
        <v>37.700000000000003</v>
      </c>
      <c r="K293">
        <v>62.3</v>
      </c>
      <c r="L293">
        <v>66</v>
      </c>
      <c r="M293">
        <v>71.7</v>
      </c>
      <c r="N293">
        <v>27.8</v>
      </c>
      <c r="O293">
        <v>43</v>
      </c>
      <c r="P293">
        <v>29.2</v>
      </c>
      <c r="Q293">
        <v>70.599999999999994</v>
      </c>
      <c r="R293">
        <v>78.2</v>
      </c>
      <c r="S293">
        <v>53.2</v>
      </c>
      <c r="T293">
        <v>46.8</v>
      </c>
      <c r="U293">
        <v>52.4</v>
      </c>
      <c r="V293">
        <v>58.2</v>
      </c>
      <c r="W293">
        <v>41.8</v>
      </c>
    </row>
    <row r="294" spans="2:23" hidden="1" x14ac:dyDescent="0.25">
      <c r="B294" t="s">
        <v>334</v>
      </c>
      <c r="C294" t="s">
        <v>396</v>
      </c>
      <c r="D294" s="13">
        <v>0.72916666666666663</v>
      </c>
      <c r="E294" t="s">
        <v>799</v>
      </c>
      <c r="F294" t="s">
        <v>79</v>
      </c>
      <c r="H294">
        <v>31</v>
      </c>
      <c r="I294">
        <v>29.9</v>
      </c>
      <c r="J294">
        <v>39.1</v>
      </c>
      <c r="K294">
        <v>60.9</v>
      </c>
      <c r="L294">
        <v>69</v>
      </c>
      <c r="M294">
        <v>70.099999999999994</v>
      </c>
      <c r="N294">
        <v>15.2</v>
      </c>
      <c r="O294">
        <v>50.9</v>
      </c>
      <c r="P294">
        <v>33.9</v>
      </c>
      <c r="Q294">
        <v>57.5</v>
      </c>
      <c r="R294">
        <v>72.7</v>
      </c>
      <c r="S294">
        <v>45.9</v>
      </c>
      <c r="T294">
        <v>54.1</v>
      </c>
      <c r="U294">
        <v>59.6</v>
      </c>
      <c r="V294">
        <v>52.3</v>
      </c>
      <c r="W294">
        <v>47.7</v>
      </c>
    </row>
    <row r="295" spans="2:23" hidden="1" x14ac:dyDescent="0.25">
      <c r="B295" t="s">
        <v>357</v>
      </c>
      <c r="C295" t="s">
        <v>396</v>
      </c>
      <c r="D295" s="13">
        <v>0.75</v>
      </c>
      <c r="E295" t="s">
        <v>800</v>
      </c>
      <c r="F295" t="s">
        <v>801</v>
      </c>
      <c r="H295">
        <v>55.5</v>
      </c>
      <c r="I295">
        <v>26.1</v>
      </c>
      <c r="J295">
        <v>18.5</v>
      </c>
      <c r="K295">
        <v>81.5</v>
      </c>
      <c r="L295">
        <v>44.5</v>
      </c>
      <c r="M295">
        <v>73.900000000000006</v>
      </c>
      <c r="N295">
        <v>29.4</v>
      </c>
      <c r="O295">
        <v>48.3</v>
      </c>
      <c r="P295">
        <v>22.3</v>
      </c>
      <c r="Q295">
        <v>62.2</v>
      </c>
      <c r="R295">
        <v>75.2</v>
      </c>
      <c r="S295">
        <v>49.2</v>
      </c>
      <c r="T295">
        <v>50.8</v>
      </c>
      <c r="U295">
        <v>57.9</v>
      </c>
      <c r="V295">
        <v>50.4</v>
      </c>
      <c r="W295">
        <v>49.6</v>
      </c>
    </row>
    <row r="296" spans="2:23" hidden="1" x14ac:dyDescent="0.25">
      <c r="B296" t="s">
        <v>340</v>
      </c>
      <c r="C296" t="s">
        <v>396</v>
      </c>
      <c r="D296" s="13">
        <v>0.75</v>
      </c>
      <c r="E296" t="s">
        <v>802</v>
      </c>
      <c r="F296" t="s">
        <v>52</v>
      </c>
      <c r="H296">
        <v>35</v>
      </c>
      <c r="I296">
        <v>34.200000000000003</v>
      </c>
      <c r="J296">
        <v>30.8</v>
      </c>
      <c r="K296">
        <v>69.2</v>
      </c>
      <c r="L296">
        <v>65</v>
      </c>
      <c r="M296">
        <v>65.8</v>
      </c>
      <c r="N296">
        <v>20</v>
      </c>
      <c r="O296">
        <v>52.6</v>
      </c>
      <c r="P296">
        <v>27.4</v>
      </c>
      <c r="Q296">
        <v>56</v>
      </c>
      <c r="R296">
        <v>58.9</v>
      </c>
      <c r="S296">
        <v>30.5</v>
      </c>
      <c r="T296">
        <v>69.5</v>
      </c>
      <c r="U296">
        <v>73.900000000000006</v>
      </c>
      <c r="V296">
        <v>39.700000000000003</v>
      </c>
      <c r="W296">
        <v>60.3</v>
      </c>
    </row>
    <row r="297" spans="2:23" hidden="1" x14ac:dyDescent="0.25">
      <c r="B297" t="s">
        <v>49</v>
      </c>
      <c r="C297" t="s">
        <v>396</v>
      </c>
      <c r="D297" s="13">
        <v>0.75</v>
      </c>
      <c r="E297" t="s">
        <v>803</v>
      </c>
      <c r="F297" t="s">
        <v>804</v>
      </c>
      <c r="H297">
        <v>34.799999999999997</v>
      </c>
      <c r="I297">
        <v>30.1</v>
      </c>
      <c r="J297">
        <v>35.1</v>
      </c>
      <c r="K297">
        <v>64.900000000000006</v>
      </c>
      <c r="L297">
        <v>65.2</v>
      </c>
      <c r="M297">
        <v>69.900000000000006</v>
      </c>
      <c r="N297">
        <v>28.1</v>
      </c>
      <c r="O297">
        <v>48.2</v>
      </c>
      <c r="P297">
        <v>23.7</v>
      </c>
      <c r="Q297">
        <v>62.5</v>
      </c>
      <c r="R297">
        <v>72</v>
      </c>
      <c r="S297">
        <v>45</v>
      </c>
      <c r="T297">
        <v>55</v>
      </c>
      <c r="U297">
        <v>60.3</v>
      </c>
      <c r="V297">
        <v>51.8</v>
      </c>
      <c r="W297">
        <v>48.2</v>
      </c>
    </row>
    <row r="298" spans="2:23" hidden="1" x14ac:dyDescent="0.25">
      <c r="B298" t="s">
        <v>393</v>
      </c>
      <c r="C298" t="s">
        <v>396</v>
      </c>
      <c r="D298" s="13">
        <v>0.75</v>
      </c>
      <c r="E298" t="s">
        <v>805</v>
      </c>
      <c r="F298" t="s">
        <v>806</v>
      </c>
      <c r="H298">
        <v>57</v>
      </c>
      <c r="I298">
        <v>25.2</v>
      </c>
      <c r="J298">
        <v>17.8</v>
      </c>
      <c r="K298">
        <v>82.2</v>
      </c>
      <c r="L298">
        <v>43</v>
      </c>
      <c r="M298">
        <v>74.8</v>
      </c>
      <c r="N298">
        <v>29.6</v>
      </c>
      <c r="O298">
        <v>42.6</v>
      </c>
      <c r="P298">
        <v>27.8</v>
      </c>
      <c r="Q298">
        <v>71.2</v>
      </c>
      <c r="R298">
        <v>77.599999999999994</v>
      </c>
      <c r="S298">
        <v>52.5</v>
      </c>
      <c r="T298">
        <v>47.5</v>
      </c>
      <c r="U298">
        <v>54.9</v>
      </c>
      <c r="V298">
        <v>52.4</v>
      </c>
      <c r="W298">
        <v>47.6</v>
      </c>
    </row>
    <row r="299" spans="2:23" hidden="1" x14ac:dyDescent="0.25">
      <c r="B299" t="s">
        <v>74</v>
      </c>
      <c r="C299" t="s">
        <v>396</v>
      </c>
      <c r="D299" s="13">
        <v>0.76736111111111116</v>
      </c>
      <c r="E299" t="s">
        <v>807</v>
      </c>
      <c r="F299" t="s">
        <v>145</v>
      </c>
      <c r="H299">
        <v>23.9</v>
      </c>
      <c r="I299">
        <v>31</v>
      </c>
      <c r="J299">
        <v>45.1</v>
      </c>
      <c r="K299">
        <v>54.9</v>
      </c>
      <c r="L299">
        <v>76.099999999999994</v>
      </c>
      <c r="M299">
        <v>69</v>
      </c>
      <c r="N299">
        <v>19.100000000000001</v>
      </c>
      <c r="O299">
        <v>47.4</v>
      </c>
      <c r="P299">
        <v>33.5</v>
      </c>
      <c r="Q299">
        <v>63.3</v>
      </c>
      <c r="R299">
        <v>68</v>
      </c>
      <c r="S299">
        <v>40.200000000000003</v>
      </c>
      <c r="T299">
        <v>59.8</v>
      </c>
      <c r="U299">
        <v>65.400000000000006</v>
      </c>
      <c r="V299">
        <v>46.3</v>
      </c>
      <c r="W299">
        <v>53.7</v>
      </c>
    </row>
    <row r="300" spans="2:23" hidden="1" x14ac:dyDescent="0.25">
      <c r="B300" t="s">
        <v>808</v>
      </c>
      <c r="C300" t="s">
        <v>396</v>
      </c>
      <c r="D300" s="13">
        <v>0.77083333333333337</v>
      </c>
      <c r="E300" t="s">
        <v>809</v>
      </c>
      <c r="F300" t="s">
        <v>810</v>
      </c>
      <c r="H300">
        <v>49.6</v>
      </c>
      <c r="I300">
        <v>28.2</v>
      </c>
      <c r="J300">
        <v>22.2</v>
      </c>
      <c r="K300">
        <v>77.8</v>
      </c>
      <c r="L300">
        <v>50.4</v>
      </c>
      <c r="M300">
        <v>71.8</v>
      </c>
      <c r="N300">
        <v>43.2</v>
      </c>
      <c r="O300">
        <v>41.4</v>
      </c>
      <c r="P300">
        <v>15.4</v>
      </c>
      <c r="Q300">
        <v>69.7</v>
      </c>
      <c r="R300">
        <v>71.900000000000006</v>
      </c>
      <c r="S300">
        <v>44.8</v>
      </c>
      <c r="T300">
        <v>55.2</v>
      </c>
      <c r="U300">
        <v>61.4</v>
      </c>
      <c r="V300">
        <v>49</v>
      </c>
      <c r="W300">
        <v>51</v>
      </c>
    </row>
    <row r="301" spans="2:23" hidden="1" x14ac:dyDescent="0.25">
      <c r="B301" t="s">
        <v>353</v>
      </c>
      <c r="C301" t="s">
        <v>396</v>
      </c>
      <c r="D301" s="13">
        <v>0.77083333333333337</v>
      </c>
      <c r="E301" t="s">
        <v>811</v>
      </c>
      <c r="F301" t="s">
        <v>812</v>
      </c>
      <c r="H301">
        <v>38.6</v>
      </c>
      <c r="I301">
        <v>33.5</v>
      </c>
      <c r="J301">
        <v>27.9</v>
      </c>
      <c r="K301">
        <v>72.099999999999994</v>
      </c>
      <c r="L301">
        <v>61.4</v>
      </c>
      <c r="M301">
        <v>66.5</v>
      </c>
      <c r="N301">
        <v>28.8</v>
      </c>
      <c r="O301">
        <v>54.3</v>
      </c>
      <c r="P301">
        <v>16.899999999999999</v>
      </c>
      <c r="Q301">
        <v>53.1</v>
      </c>
      <c r="R301">
        <v>59.8</v>
      </c>
      <c r="S301">
        <v>31.4</v>
      </c>
      <c r="T301">
        <v>68.599999999999994</v>
      </c>
      <c r="U301">
        <v>73.2</v>
      </c>
      <c r="V301">
        <v>40.1</v>
      </c>
      <c r="W301">
        <v>59.9</v>
      </c>
    </row>
    <row r="302" spans="2:23" hidden="1" x14ac:dyDescent="0.25">
      <c r="B302" t="s">
        <v>355</v>
      </c>
      <c r="C302" t="s">
        <v>396</v>
      </c>
      <c r="D302" s="13">
        <v>0.77083333333333337</v>
      </c>
      <c r="E302" t="s">
        <v>813</v>
      </c>
      <c r="F302" t="s">
        <v>72</v>
      </c>
      <c r="H302">
        <v>48.9</v>
      </c>
      <c r="I302">
        <v>25.7</v>
      </c>
      <c r="J302">
        <v>25.4</v>
      </c>
      <c r="K302">
        <v>74.599999999999994</v>
      </c>
      <c r="L302">
        <v>51.1</v>
      </c>
      <c r="M302">
        <v>74.3</v>
      </c>
      <c r="N302">
        <v>42.8</v>
      </c>
      <c r="O302">
        <v>36.6</v>
      </c>
      <c r="P302">
        <v>20.6</v>
      </c>
      <c r="Q302">
        <v>78.5</v>
      </c>
      <c r="R302">
        <v>83.3</v>
      </c>
      <c r="S302">
        <v>61</v>
      </c>
      <c r="T302">
        <v>39</v>
      </c>
      <c r="U302">
        <v>45.1</v>
      </c>
      <c r="V302">
        <v>62.6</v>
      </c>
      <c r="W302">
        <v>37.4</v>
      </c>
    </row>
    <row r="303" spans="2:23" hidden="1" x14ac:dyDescent="0.25">
      <c r="B303" t="s">
        <v>651</v>
      </c>
      <c r="C303" t="s">
        <v>396</v>
      </c>
      <c r="D303" s="13">
        <v>0.77083333333333337</v>
      </c>
      <c r="E303" t="s">
        <v>814</v>
      </c>
      <c r="F303" t="s">
        <v>815</v>
      </c>
      <c r="H303">
        <v>54.7</v>
      </c>
      <c r="I303">
        <v>26</v>
      </c>
      <c r="J303">
        <v>19.399999999999999</v>
      </c>
      <c r="K303">
        <v>80.599999999999994</v>
      </c>
      <c r="L303">
        <v>45.3</v>
      </c>
      <c r="M303">
        <v>74</v>
      </c>
      <c r="N303">
        <v>39.5</v>
      </c>
      <c r="O303">
        <v>40.200000000000003</v>
      </c>
      <c r="P303">
        <v>20.3</v>
      </c>
      <c r="Q303">
        <v>73.3</v>
      </c>
      <c r="R303">
        <v>76.7</v>
      </c>
      <c r="S303">
        <v>51.3</v>
      </c>
      <c r="T303">
        <v>48.7</v>
      </c>
      <c r="U303">
        <v>55.7</v>
      </c>
      <c r="V303">
        <v>52.5</v>
      </c>
      <c r="W303">
        <v>47.5</v>
      </c>
    </row>
    <row r="304" spans="2:23" hidden="1" x14ac:dyDescent="0.25">
      <c r="B304" t="s">
        <v>347</v>
      </c>
      <c r="C304" t="s">
        <v>396</v>
      </c>
      <c r="D304" s="13">
        <v>0.77083333333333337</v>
      </c>
      <c r="E304" t="s">
        <v>816</v>
      </c>
      <c r="F304" t="s">
        <v>817</v>
      </c>
      <c r="H304">
        <v>31.3</v>
      </c>
      <c r="I304">
        <v>33.1</v>
      </c>
      <c r="J304">
        <v>35.5</v>
      </c>
      <c r="K304">
        <v>64.5</v>
      </c>
      <c r="L304">
        <v>68.7</v>
      </c>
      <c r="M304">
        <v>66.900000000000006</v>
      </c>
      <c r="N304">
        <v>23</v>
      </c>
      <c r="O304">
        <v>49.8</v>
      </c>
      <c r="P304">
        <v>27.2</v>
      </c>
      <c r="Q304">
        <v>60.3</v>
      </c>
      <c r="R304">
        <v>62.6</v>
      </c>
      <c r="S304">
        <v>34.200000000000003</v>
      </c>
      <c r="T304">
        <v>65.8</v>
      </c>
      <c r="U304">
        <v>70.5</v>
      </c>
      <c r="V304">
        <v>42.9</v>
      </c>
      <c r="W304">
        <v>57.1</v>
      </c>
    </row>
    <row r="305" spans="2:23" hidden="1" x14ac:dyDescent="0.25">
      <c r="B305" t="s">
        <v>325</v>
      </c>
      <c r="C305" t="s">
        <v>396</v>
      </c>
      <c r="D305" s="13">
        <v>0.77083333333333337</v>
      </c>
      <c r="E305" t="s">
        <v>818</v>
      </c>
      <c r="F305" t="s">
        <v>146</v>
      </c>
      <c r="H305">
        <v>35.799999999999997</v>
      </c>
      <c r="I305">
        <v>28.6</v>
      </c>
      <c r="J305">
        <v>35.700000000000003</v>
      </c>
      <c r="K305">
        <v>64.3</v>
      </c>
      <c r="L305">
        <v>64.2</v>
      </c>
      <c r="M305">
        <v>71.400000000000006</v>
      </c>
      <c r="N305" t="s">
        <v>664</v>
      </c>
      <c r="O305" t="s">
        <v>664</v>
      </c>
      <c r="P305" t="s">
        <v>664</v>
      </c>
      <c r="Q305" t="s">
        <v>664</v>
      </c>
      <c r="R305">
        <v>77.2</v>
      </c>
      <c r="S305">
        <v>51.8</v>
      </c>
      <c r="T305">
        <v>48.2</v>
      </c>
      <c r="U305">
        <v>53.8</v>
      </c>
      <c r="V305">
        <v>57.1</v>
      </c>
      <c r="W305">
        <v>42.9</v>
      </c>
    </row>
    <row r="306" spans="2:23" hidden="1" x14ac:dyDescent="0.25">
      <c r="B306" t="s">
        <v>344</v>
      </c>
      <c r="C306" t="s">
        <v>396</v>
      </c>
      <c r="D306" s="13">
        <v>0.79166666666666663</v>
      </c>
      <c r="E306" t="s">
        <v>819</v>
      </c>
      <c r="F306" t="s">
        <v>820</v>
      </c>
      <c r="H306">
        <v>56.4</v>
      </c>
      <c r="I306">
        <v>30.8</v>
      </c>
      <c r="J306">
        <v>12.8</v>
      </c>
      <c r="K306">
        <v>87.2</v>
      </c>
      <c r="L306">
        <v>43.6</v>
      </c>
      <c r="M306">
        <v>69.2</v>
      </c>
      <c r="N306">
        <v>31.6</v>
      </c>
      <c r="O306">
        <v>56.9</v>
      </c>
      <c r="P306">
        <v>11.6</v>
      </c>
      <c r="Q306">
        <v>48.5</v>
      </c>
      <c r="R306">
        <v>53.5</v>
      </c>
      <c r="S306">
        <v>25.8</v>
      </c>
      <c r="T306">
        <v>74.2</v>
      </c>
      <c r="U306">
        <v>80.7</v>
      </c>
      <c r="V306">
        <v>28</v>
      </c>
      <c r="W306">
        <v>72</v>
      </c>
    </row>
    <row r="307" spans="2:23" hidden="1" x14ac:dyDescent="0.25">
      <c r="B307" t="s">
        <v>385</v>
      </c>
      <c r="C307" t="s">
        <v>396</v>
      </c>
      <c r="D307" s="13">
        <v>0.79166666666666663</v>
      </c>
      <c r="E307" t="s">
        <v>821</v>
      </c>
      <c r="F307" t="s">
        <v>822</v>
      </c>
      <c r="H307">
        <v>34.200000000000003</v>
      </c>
      <c r="I307">
        <v>25.5</v>
      </c>
      <c r="J307">
        <v>40.299999999999997</v>
      </c>
      <c r="K307">
        <v>59.7</v>
      </c>
      <c r="L307">
        <v>65.8</v>
      </c>
      <c r="M307">
        <v>74.5</v>
      </c>
      <c r="N307">
        <v>30.9</v>
      </c>
      <c r="O307">
        <v>37.6</v>
      </c>
      <c r="P307">
        <v>31.5</v>
      </c>
      <c r="Q307">
        <v>79.099999999999994</v>
      </c>
      <c r="R307">
        <v>92.4</v>
      </c>
      <c r="S307">
        <v>78</v>
      </c>
      <c r="T307">
        <v>22</v>
      </c>
      <c r="U307">
        <v>26.7</v>
      </c>
      <c r="V307">
        <v>77.3</v>
      </c>
      <c r="W307">
        <v>22.7</v>
      </c>
    </row>
    <row r="308" spans="2:23" hidden="1" x14ac:dyDescent="0.25">
      <c r="B308" t="s">
        <v>337</v>
      </c>
      <c r="C308" t="s">
        <v>396</v>
      </c>
      <c r="D308" s="13">
        <v>0.8125</v>
      </c>
      <c r="E308" t="s">
        <v>823</v>
      </c>
      <c r="F308" t="s">
        <v>824</v>
      </c>
      <c r="H308">
        <v>50.1</v>
      </c>
      <c r="I308">
        <v>28.8</v>
      </c>
      <c r="J308">
        <v>21.1</v>
      </c>
      <c r="K308">
        <v>78.900000000000006</v>
      </c>
      <c r="L308">
        <v>49.9</v>
      </c>
      <c r="M308">
        <v>71.2</v>
      </c>
      <c r="N308">
        <v>39.1</v>
      </c>
      <c r="O308">
        <v>41.8</v>
      </c>
      <c r="P308">
        <v>19.100000000000001</v>
      </c>
      <c r="Q308">
        <v>70.599999999999994</v>
      </c>
      <c r="R308">
        <v>68.900000000000006</v>
      </c>
      <c r="S308">
        <v>41.2</v>
      </c>
      <c r="T308">
        <v>58.8</v>
      </c>
      <c r="U308">
        <v>65</v>
      </c>
      <c r="V308">
        <v>45.8</v>
      </c>
      <c r="W308">
        <v>54.2</v>
      </c>
    </row>
    <row r="309" spans="2:23" hidden="1" x14ac:dyDescent="0.25">
      <c r="B309" t="s">
        <v>808</v>
      </c>
      <c r="C309" t="s">
        <v>396</v>
      </c>
      <c r="D309" s="13">
        <v>0.83333333333333337</v>
      </c>
      <c r="E309" t="s">
        <v>825</v>
      </c>
      <c r="F309" t="s">
        <v>826</v>
      </c>
      <c r="H309">
        <v>40.1</v>
      </c>
      <c r="I309">
        <v>31</v>
      </c>
      <c r="J309">
        <v>28.9</v>
      </c>
      <c r="K309">
        <v>71.099999999999994</v>
      </c>
      <c r="L309">
        <v>59.9</v>
      </c>
      <c r="M309">
        <v>69</v>
      </c>
      <c r="N309">
        <v>27.5</v>
      </c>
      <c r="O309">
        <v>50.6</v>
      </c>
      <c r="P309">
        <v>21.9</v>
      </c>
      <c r="Q309">
        <v>58.9</v>
      </c>
      <c r="R309">
        <v>67.3</v>
      </c>
      <c r="S309">
        <v>39.4</v>
      </c>
      <c r="T309">
        <v>60.6</v>
      </c>
      <c r="U309">
        <v>65.8</v>
      </c>
      <c r="V309">
        <v>46.8</v>
      </c>
      <c r="W309">
        <v>53.2</v>
      </c>
    </row>
    <row r="310" spans="2:23" hidden="1" x14ac:dyDescent="0.25">
      <c r="B310" t="s">
        <v>49</v>
      </c>
      <c r="C310" t="s">
        <v>396</v>
      </c>
      <c r="D310" s="13">
        <v>0.83333333333333337</v>
      </c>
      <c r="E310" t="s">
        <v>827</v>
      </c>
      <c r="F310" t="s">
        <v>828</v>
      </c>
      <c r="H310">
        <v>52.6</v>
      </c>
      <c r="I310">
        <v>24.8</v>
      </c>
      <c r="J310">
        <v>22.6</v>
      </c>
      <c r="K310">
        <v>77.400000000000006</v>
      </c>
      <c r="L310">
        <v>47.4</v>
      </c>
      <c r="M310">
        <v>75.2</v>
      </c>
      <c r="N310">
        <v>39.6</v>
      </c>
      <c r="O310">
        <v>38.1</v>
      </c>
      <c r="P310">
        <v>22.3</v>
      </c>
      <c r="Q310">
        <v>76.900000000000006</v>
      </c>
      <c r="R310">
        <v>85.7</v>
      </c>
      <c r="S310">
        <v>65.099999999999994</v>
      </c>
      <c r="T310">
        <v>34.9</v>
      </c>
      <c r="U310">
        <v>41.3</v>
      </c>
      <c r="V310">
        <v>64.7</v>
      </c>
      <c r="W310">
        <v>35.299999999999997</v>
      </c>
    </row>
    <row r="311" spans="2:23" hidden="1" x14ac:dyDescent="0.25">
      <c r="B311" t="s">
        <v>49</v>
      </c>
      <c r="C311" t="s">
        <v>396</v>
      </c>
      <c r="D311" s="13">
        <v>0.83333333333333337</v>
      </c>
      <c r="E311" t="s">
        <v>829</v>
      </c>
      <c r="F311" t="s">
        <v>830</v>
      </c>
      <c r="H311">
        <v>41.3</v>
      </c>
      <c r="I311">
        <v>30.7</v>
      </c>
      <c r="J311">
        <v>28</v>
      </c>
      <c r="K311">
        <v>72</v>
      </c>
      <c r="L311">
        <v>58.7</v>
      </c>
      <c r="M311">
        <v>69.3</v>
      </c>
      <c r="N311">
        <v>21.3</v>
      </c>
      <c r="O311">
        <v>49.3</v>
      </c>
      <c r="P311">
        <v>29.4</v>
      </c>
      <c r="Q311">
        <v>60.9</v>
      </c>
      <c r="R311">
        <v>67.900000000000006</v>
      </c>
      <c r="S311">
        <v>40</v>
      </c>
      <c r="T311">
        <v>60</v>
      </c>
      <c r="U311">
        <v>65.3</v>
      </c>
      <c r="V311">
        <v>47.2</v>
      </c>
      <c r="W311">
        <v>52.8</v>
      </c>
    </row>
    <row r="312" spans="2:23" hidden="1" x14ac:dyDescent="0.25">
      <c r="B312" t="s">
        <v>49</v>
      </c>
      <c r="C312" t="s">
        <v>396</v>
      </c>
      <c r="D312" s="13">
        <v>0.83333333333333337</v>
      </c>
      <c r="E312" t="s">
        <v>50</v>
      </c>
      <c r="F312" t="s">
        <v>831</v>
      </c>
      <c r="H312">
        <v>47.6</v>
      </c>
      <c r="I312">
        <v>26.9</v>
      </c>
      <c r="J312">
        <v>25.5</v>
      </c>
      <c r="K312">
        <v>74.5</v>
      </c>
      <c r="L312">
        <v>52.4</v>
      </c>
      <c r="M312">
        <v>73.099999999999994</v>
      </c>
      <c r="N312">
        <v>32.700000000000003</v>
      </c>
      <c r="O312">
        <v>47</v>
      </c>
      <c r="P312">
        <v>20.3</v>
      </c>
      <c r="Q312">
        <v>63.7</v>
      </c>
      <c r="R312">
        <v>78.900000000000006</v>
      </c>
      <c r="S312">
        <v>54.2</v>
      </c>
      <c r="T312">
        <v>45.8</v>
      </c>
      <c r="U312">
        <v>51.9</v>
      </c>
      <c r="V312">
        <v>57.4</v>
      </c>
      <c r="W312">
        <v>42.6</v>
      </c>
    </row>
    <row r="313" spans="2:23" hidden="1" x14ac:dyDescent="0.25">
      <c r="B313" t="s">
        <v>362</v>
      </c>
      <c r="C313" t="s">
        <v>396</v>
      </c>
      <c r="D313" s="13">
        <v>0.83333333333333337</v>
      </c>
      <c r="E313" t="s">
        <v>832</v>
      </c>
      <c r="F313" t="s">
        <v>833</v>
      </c>
      <c r="H313">
        <v>54.3</v>
      </c>
      <c r="I313">
        <v>24.6</v>
      </c>
      <c r="J313">
        <v>21.1</v>
      </c>
      <c r="K313">
        <v>78.900000000000006</v>
      </c>
      <c r="L313">
        <v>45.7</v>
      </c>
      <c r="M313">
        <v>75.400000000000006</v>
      </c>
      <c r="N313">
        <v>50.5</v>
      </c>
      <c r="O313">
        <v>34.700000000000003</v>
      </c>
      <c r="P313">
        <v>14.8</v>
      </c>
      <c r="Q313">
        <v>78.5</v>
      </c>
      <c r="R313">
        <v>84.7</v>
      </c>
      <c r="S313">
        <v>63.4</v>
      </c>
      <c r="T313">
        <v>36.6</v>
      </c>
      <c r="U313">
        <v>43.3</v>
      </c>
      <c r="V313">
        <v>62.6</v>
      </c>
      <c r="W313">
        <v>37.4</v>
      </c>
    </row>
    <row r="314" spans="2:23" hidden="1" x14ac:dyDescent="0.25">
      <c r="B314" t="s">
        <v>362</v>
      </c>
      <c r="C314" t="s">
        <v>396</v>
      </c>
      <c r="D314" s="13">
        <v>0.83333333333333337</v>
      </c>
      <c r="E314" t="s">
        <v>154</v>
      </c>
      <c r="F314" t="s">
        <v>834</v>
      </c>
      <c r="H314">
        <v>45.6</v>
      </c>
      <c r="I314">
        <v>25.1</v>
      </c>
      <c r="J314">
        <v>29.3</v>
      </c>
      <c r="K314">
        <v>70.7</v>
      </c>
      <c r="L314">
        <v>54.4</v>
      </c>
      <c r="M314">
        <v>74.900000000000006</v>
      </c>
      <c r="N314">
        <v>39.5</v>
      </c>
      <c r="O314">
        <v>34.700000000000003</v>
      </c>
      <c r="P314">
        <v>25.8</v>
      </c>
      <c r="Q314">
        <v>82.8</v>
      </c>
      <c r="R314">
        <v>89.6</v>
      </c>
      <c r="S314">
        <v>72.099999999999994</v>
      </c>
      <c r="T314">
        <v>27.9</v>
      </c>
      <c r="U314">
        <v>33.299999999999997</v>
      </c>
      <c r="V314">
        <v>72.099999999999994</v>
      </c>
      <c r="W314">
        <v>27.9</v>
      </c>
    </row>
    <row r="315" spans="2:23" hidden="1" x14ac:dyDescent="0.25">
      <c r="B315" t="s">
        <v>286</v>
      </c>
      <c r="C315" t="s">
        <v>396</v>
      </c>
      <c r="D315" s="13">
        <v>0.83333333333333337</v>
      </c>
      <c r="E315" t="s">
        <v>835</v>
      </c>
      <c r="F315" t="s">
        <v>836</v>
      </c>
      <c r="H315">
        <v>58.7</v>
      </c>
      <c r="I315">
        <v>24</v>
      </c>
      <c r="J315">
        <v>17.2</v>
      </c>
      <c r="K315">
        <v>82.8</v>
      </c>
      <c r="L315">
        <v>41.3</v>
      </c>
      <c r="M315">
        <v>76</v>
      </c>
      <c r="N315">
        <v>42.1</v>
      </c>
      <c r="O315">
        <v>39</v>
      </c>
      <c r="P315">
        <v>18.899999999999999</v>
      </c>
      <c r="Q315">
        <v>74.400000000000006</v>
      </c>
      <c r="R315">
        <v>82.1</v>
      </c>
      <c r="S315">
        <v>59.2</v>
      </c>
      <c r="T315">
        <v>40.799999999999997</v>
      </c>
      <c r="U315">
        <v>48.3</v>
      </c>
      <c r="V315">
        <v>57.1</v>
      </c>
      <c r="W315">
        <v>42.9</v>
      </c>
    </row>
    <row r="316" spans="2:23" hidden="1" x14ac:dyDescent="0.25">
      <c r="B316" t="s">
        <v>380</v>
      </c>
      <c r="C316" t="s">
        <v>396</v>
      </c>
      <c r="D316" s="13">
        <v>0.83333333333333337</v>
      </c>
      <c r="E316" t="s">
        <v>705</v>
      </c>
      <c r="F316" t="s">
        <v>837</v>
      </c>
      <c r="H316">
        <v>48.5</v>
      </c>
      <c r="I316">
        <v>27.9</v>
      </c>
      <c r="J316">
        <v>23.6</v>
      </c>
      <c r="K316">
        <v>76.400000000000006</v>
      </c>
      <c r="L316">
        <v>51.5</v>
      </c>
      <c r="M316">
        <v>72.099999999999994</v>
      </c>
      <c r="N316">
        <v>35.200000000000003</v>
      </c>
      <c r="O316">
        <v>44.7</v>
      </c>
      <c r="P316">
        <v>20.100000000000001</v>
      </c>
      <c r="Q316">
        <v>66.900000000000006</v>
      </c>
      <c r="R316">
        <v>74</v>
      </c>
      <c r="S316">
        <v>47.6</v>
      </c>
      <c r="T316">
        <v>52.4</v>
      </c>
      <c r="U316">
        <v>58.6</v>
      </c>
      <c r="V316">
        <v>51.7</v>
      </c>
      <c r="W316">
        <v>48.3</v>
      </c>
    </row>
    <row r="317" spans="2:23" hidden="1" x14ac:dyDescent="0.25">
      <c r="B317" t="s">
        <v>380</v>
      </c>
      <c r="C317" t="s">
        <v>396</v>
      </c>
      <c r="D317" s="13">
        <v>0.83333333333333337</v>
      </c>
      <c r="E317" t="s">
        <v>838</v>
      </c>
      <c r="F317" t="s">
        <v>839</v>
      </c>
      <c r="H317">
        <v>35.200000000000003</v>
      </c>
      <c r="I317">
        <v>28.6</v>
      </c>
      <c r="J317">
        <v>36.200000000000003</v>
      </c>
      <c r="K317">
        <v>63.8</v>
      </c>
      <c r="L317">
        <v>64.8</v>
      </c>
      <c r="M317">
        <v>71.400000000000006</v>
      </c>
      <c r="N317">
        <v>34.299999999999997</v>
      </c>
      <c r="O317">
        <v>43.4</v>
      </c>
      <c r="P317">
        <v>22.3</v>
      </c>
      <c r="Q317">
        <v>69.3</v>
      </c>
      <c r="R317">
        <v>77.3</v>
      </c>
      <c r="S317">
        <v>51.9</v>
      </c>
      <c r="T317">
        <v>48.1</v>
      </c>
      <c r="U317">
        <v>53.6</v>
      </c>
      <c r="V317">
        <v>57.2</v>
      </c>
      <c r="W317">
        <v>42.8</v>
      </c>
    </row>
    <row r="318" spans="2:23" hidden="1" x14ac:dyDescent="0.25">
      <c r="B318" t="s">
        <v>388</v>
      </c>
      <c r="C318" t="s">
        <v>396</v>
      </c>
      <c r="D318" s="13">
        <v>0.84375</v>
      </c>
      <c r="E318" t="s">
        <v>118</v>
      </c>
      <c r="F318" t="s">
        <v>840</v>
      </c>
      <c r="H318">
        <v>39.6</v>
      </c>
      <c r="I318">
        <v>30.2</v>
      </c>
      <c r="J318">
        <v>30.2</v>
      </c>
      <c r="K318">
        <v>69.8</v>
      </c>
      <c r="L318">
        <v>60.4</v>
      </c>
      <c r="M318">
        <v>69.8</v>
      </c>
      <c r="N318">
        <v>33.6</v>
      </c>
      <c r="O318">
        <v>43.9</v>
      </c>
      <c r="P318">
        <v>22.5</v>
      </c>
      <c r="Q318">
        <v>68.5</v>
      </c>
      <c r="R318">
        <v>70.599999999999994</v>
      </c>
      <c r="S318">
        <v>43.2</v>
      </c>
      <c r="T318">
        <v>56.8</v>
      </c>
      <c r="U318">
        <v>62.2</v>
      </c>
      <c r="V318">
        <v>50.1</v>
      </c>
      <c r="W318">
        <v>49.9</v>
      </c>
    </row>
    <row r="319" spans="2:23" hidden="1" x14ac:dyDescent="0.25">
      <c r="B319" t="s">
        <v>74</v>
      </c>
      <c r="C319" t="s">
        <v>396</v>
      </c>
      <c r="D319" s="13">
        <v>0.85416666666666663</v>
      </c>
      <c r="E319" t="s">
        <v>117</v>
      </c>
      <c r="F319" t="s">
        <v>841</v>
      </c>
      <c r="H319">
        <v>40.9</v>
      </c>
      <c r="I319">
        <v>29</v>
      </c>
      <c r="J319">
        <v>30.1</v>
      </c>
      <c r="K319">
        <v>69.900000000000006</v>
      </c>
      <c r="L319">
        <v>59.1</v>
      </c>
      <c r="M319">
        <v>71</v>
      </c>
      <c r="N319">
        <v>30.5</v>
      </c>
      <c r="O319">
        <v>46.2</v>
      </c>
      <c r="P319">
        <v>23.3</v>
      </c>
      <c r="Q319">
        <v>65.400000000000006</v>
      </c>
      <c r="R319">
        <v>74.3</v>
      </c>
      <c r="S319">
        <v>47.9</v>
      </c>
      <c r="T319">
        <v>52.1</v>
      </c>
      <c r="U319">
        <v>57.7</v>
      </c>
      <c r="V319">
        <v>53.7</v>
      </c>
      <c r="W319">
        <v>46.3</v>
      </c>
    </row>
    <row r="320" spans="2:23" hidden="1" x14ac:dyDescent="0.25">
      <c r="B320" t="s">
        <v>796</v>
      </c>
      <c r="C320" t="s">
        <v>396</v>
      </c>
      <c r="D320" s="13">
        <v>0.85416666666666663</v>
      </c>
      <c r="E320" t="s">
        <v>842</v>
      </c>
      <c r="F320" t="s">
        <v>843</v>
      </c>
      <c r="H320">
        <v>37.4</v>
      </c>
      <c r="I320">
        <v>27.2</v>
      </c>
      <c r="J320">
        <v>35.4</v>
      </c>
      <c r="K320">
        <v>64.599999999999994</v>
      </c>
      <c r="L320">
        <v>62.6</v>
      </c>
      <c r="M320">
        <v>72.8</v>
      </c>
      <c r="N320">
        <v>28.9</v>
      </c>
      <c r="O320">
        <v>42.7</v>
      </c>
      <c r="P320">
        <v>28.5</v>
      </c>
      <c r="Q320">
        <v>71.099999999999994</v>
      </c>
      <c r="R320">
        <v>81.900000000000006</v>
      </c>
      <c r="S320">
        <v>58.8</v>
      </c>
      <c r="T320">
        <v>41.2</v>
      </c>
      <c r="U320">
        <v>46.8</v>
      </c>
      <c r="V320">
        <v>62.5</v>
      </c>
      <c r="W320">
        <v>37.5</v>
      </c>
    </row>
    <row r="321" spans="2:23" hidden="1" x14ac:dyDescent="0.25">
      <c r="B321" t="s">
        <v>796</v>
      </c>
      <c r="C321" t="s">
        <v>396</v>
      </c>
      <c r="D321" s="13">
        <v>0.85416666666666663</v>
      </c>
      <c r="E321" t="s">
        <v>844</v>
      </c>
      <c r="F321" t="s">
        <v>845</v>
      </c>
      <c r="H321">
        <v>40</v>
      </c>
      <c r="I321">
        <v>27.6</v>
      </c>
      <c r="J321">
        <v>32.5</v>
      </c>
      <c r="K321">
        <v>67.5</v>
      </c>
      <c r="L321">
        <v>60</v>
      </c>
      <c r="M321">
        <v>72.400000000000006</v>
      </c>
      <c r="N321">
        <v>42.2</v>
      </c>
      <c r="O321">
        <v>37.1</v>
      </c>
      <c r="P321">
        <v>20.7</v>
      </c>
      <c r="Q321">
        <v>77.8</v>
      </c>
      <c r="R321">
        <v>79.900000000000006</v>
      </c>
      <c r="S321">
        <v>55.7</v>
      </c>
      <c r="T321">
        <v>44.3</v>
      </c>
      <c r="U321">
        <v>49.9</v>
      </c>
      <c r="V321">
        <v>60</v>
      </c>
      <c r="W321">
        <v>40</v>
      </c>
    </row>
    <row r="322" spans="2:23" hidden="1" x14ac:dyDescent="0.25">
      <c r="B322" t="s">
        <v>796</v>
      </c>
      <c r="C322" t="s">
        <v>396</v>
      </c>
      <c r="D322" s="13">
        <v>0.85416666666666663</v>
      </c>
      <c r="E322" t="s">
        <v>846</v>
      </c>
      <c r="F322" t="s">
        <v>847</v>
      </c>
      <c r="H322">
        <v>32.5</v>
      </c>
      <c r="I322">
        <v>28.3</v>
      </c>
      <c r="J322">
        <v>39.200000000000003</v>
      </c>
      <c r="K322">
        <v>60.8</v>
      </c>
      <c r="L322">
        <v>67.5</v>
      </c>
      <c r="M322">
        <v>71.7</v>
      </c>
      <c r="N322">
        <v>23.4</v>
      </c>
      <c r="O322">
        <v>46</v>
      </c>
      <c r="P322">
        <v>30.6</v>
      </c>
      <c r="Q322">
        <v>65.8</v>
      </c>
      <c r="R322">
        <v>78.400000000000006</v>
      </c>
      <c r="S322">
        <v>53.6</v>
      </c>
      <c r="T322">
        <v>46.4</v>
      </c>
      <c r="U322">
        <v>52.1</v>
      </c>
      <c r="V322">
        <v>58.4</v>
      </c>
      <c r="W322">
        <v>41.6</v>
      </c>
    </row>
    <row r="323" spans="2:23" hidden="1" x14ac:dyDescent="0.25">
      <c r="B323" t="s">
        <v>796</v>
      </c>
      <c r="C323" t="s">
        <v>396</v>
      </c>
      <c r="D323" s="13">
        <v>0.85416666666666663</v>
      </c>
      <c r="E323" t="s">
        <v>848</v>
      </c>
      <c r="F323" t="s">
        <v>849</v>
      </c>
      <c r="H323">
        <v>53.4</v>
      </c>
      <c r="I323">
        <v>24.3</v>
      </c>
      <c r="J323">
        <v>22.3</v>
      </c>
      <c r="K323">
        <v>77.7</v>
      </c>
      <c r="L323">
        <v>46.6</v>
      </c>
      <c r="M323">
        <v>75.7</v>
      </c>
      <c r="N323">
        <v>44.1</v>
      </c>
      <c r="O323">
        <v>34.1</v>
      </c>
      <c r="P323">
        <v>21.8</v>
      </c>
      <c r="Q323">
        <v>82.5</v>
      </c>
      <c r="R323">
        <v>90.4</v>
      </c>
      <c r="S323">
        <v>73.900000000000006</v>
      </c>
      <c r="T323">
        <v>26.1</v>
      </c>
      <c r="U323">
        <v>32</v>
      </c>
      <c r="V323">
        <v>71.5</v>
      </c>
      <c r="W323">
        <v>28.5</v>
      </c>
    </row>
    <row r="324" spans="2:23" hidden="1" x14ac:dyDescent="0.25">
      <c r="B324" t="s">
        <v>796</v>
      </c>
      <c r="C324" t="s">
        <v>396</v>
      </c>
      <c r="D324" s="13">
        <v>0.85416666666666663</v>
      </c>
      <c r="E324" t="s">
        <v>850</v>
      </c>
      <c r="F324" t="s">
        <v>851</v>
      </c>
      <c r="H324">
        <v>41.9</v>
      </c>
      <c r="I324">
        <v>26</v>
      </c>
      <c r="J324">
        <v>32.1</v>
      </c>
      <c r="K324">
        <v>67.900000000000006</v>
      </c>
      <c r="L324">
        <v>58.1</v>
      </c>
      <c r="M324">
        <v>74</v>
      </c>
      <c r="N324">
        <v>44</v>
      </c>
      <c r="O324">
        <v>36.200000000000003</v>
      </c>
      <c r="P324">
        <v>19.8</v>
      </c>
      <c r="Q324">
        <v>78.8</v>
      </c>
      <c r="R324">
        <v>86</v>
      </c>
      <c r="S324">
        <v>65.5</v>
      </c>
      <c r="T324">
        <v>34.5</v>
      </c>
      <c r="U324">
        <v>40.1</v>
      </c>
      <c r="V324">
        <v>67.400000000000006</v>
      </c>
      <c r="W324">
        <v>32.6</v>
      </c>
    </row>
    <row r="325" spans="2:23" hidden="1" x14ac:dyDescent="0.25">
      <c r="B325" t="s">
        <v>796</v>
      </c>
      <c r="C325" t="s">
        <v>396</v>
      </c>
      <c r="D325" s="13">
        <v>0.85416666666666663</v>
      </c>
      <c r="E325" t="s">
        <v>852</v>
      </c>
      <c r="F325" t="s">
        <v>853</v>
      </c>
      <c r="H325">
        <v>39.6</v>
      </c>
      <c r="I325">
        <v>26.9</v>
      </c>
      <c r="J325">
        <v>33.5</v>
      </c>
      <c r="K325">
        <v>66.5</v>
      </c>
      <c r="L325">
        <v>60.4</v>
      </c>
      <c r="M325">
        <v>73.099999999999994</v>
      </c>
      <c r="N325">
        <v>24</v>
      </c>
      <c r="O325">
        <v>41.1</v>
      </c>
      <c r="P325">
        <v>34.799999999999997</v>
      </c>
      <c r="Q325">
        <v>73.2</v>
      </c>
      <c r="R325">
        <v>82.6</v>
      </c>
      <c r="S325">
        <v>59.9</v>
      </c>
      <c r="T325">
        <v>40.1</v>
      </c>
      <c r="U325">
        <v>45.7</v>
      </c>
      <c r="V325">
        <v>63.3</v>
      </c>
      <c r="W325">
        <v>36.700000000000003</v>
      </c>
    </row>
    <row r="326" spans="2:23" hidden="1" x14ac:dyDescent="0.25">
      <c r="B326" t="s">
        <v>355</v>
      </c>
      <c r="C326" t="s">
        <v>396</v>
      </c>
      <c r="D326" s="13">
        <v>0.875</v>
      </c>
      <c r="E326" t="s">
        <v>854</v>
      </c>
      <c r="F326" t="s">
        <v>159</v>
      </c>
      <c r="H326">
        <v>46.1</v>
      </c>
      <c r="I326">
        <v>28.8</v>
      </c>
      <c r="J326">
        <v>25</v>
      </c>
      <c r="K326">
        <v>75</v>
      </c>
      <c r="L326">
        <v>53.9</v>
      </c>
      <c r="M326">
        <v>71.2</v>
      </c>
      <c r="N326">
        <v>33.799999999999997</v>
      </c>
      <c r="O326">
        <v>44.1</v>
      </c>
      <c r="P326">
        <v>22.1</v>
      </c>
      <c r="Q326">
        <v>68.2</v>
      </c>
      <c r="R326">
        <v>72</v>
      </c>
      <c r="S326">
        <v>45</v>
      </c>
      <c r="T326">
        <v>55</v>
      </c>
      <c r="U326">
        <v>60.8</v>
      </c>
      <c r="V326">
        <v>50.3</v>
      </c>
      <c r="W326">
        <v>49.7</v>
      </c>
    </row>
    <row r="327" spans="2:23" hidden="1" x14ac:dyDescent="0.25">
      <c r="B327" t="s">
        <v>651</v>
      </c>
      <c r="C327" t="s">
        <v>396</v>
      </c>
      <c r="D327" s="13">
        <v>0.875</v>
      </c>
      <c r="E327" t="s">
        <v>855</v>
      </c>
      <c r="F327" t="s">
        <v>856</v>
      </c>
      <c r="H327">
        <v>44.8</v>
      </c>
      <c r="I327">
        <v>28</v>
      </c>
      <c r="J327">
        <v>27.2</v>
      </c>
      <c r="K327">
        <v>72.8</v>
      </c>
      <c r="L327">
        <v>55.2</v>
      </c>
      <c r="M327">
        <v>72</v>
      </c>
      <c r="N327">
        <v>35.6</v>
      </c>
      <c r="O327">
        <v>41.5</v>
      </c>
      <c r="P327">
        <v>22.9</v>
      </c>
      <c r="Q327">
        <v>72.2</v>
      </c>
      <c r="R327">
        <v>76.099999999999994</v>
      </c>
      <c r="S327">
        <v>50.3</v>
      </c>
      <c r="T327">
        <v>49.7</v>
      </c>
      <c r="U327">
        <v>55.6</v>
      </c>
      <c r="V327">
        <v>54.9</v>
      </c>
      <c r="W327">
        <v>45.1</v>
      </c>
    </row>
    <row r="328" spans="2:23" hidden="1" x14ac:dyDescent="0.25">
      <c r="B328" t="s">
        <v>340</v>
      </c>
      <c r="C328" t="s">
        <v>396</v>
      </c>
      <c r="D328" s="13">
        <v>0.875</v>
      </c>
      <c r="E328" t="s">
        <v>857</v>
      </c>
      <c r="F328" t="s">
        <v>858</v>
      </c>
      <c r="H328">
        <v>22.6</v>
      </c>
      <c r="I328">
        <v>35.799999999999997</v>
      </c>
      <c r="J328">
        <v>41.6</v>
      </c>
      <c r="K328">
        <v>58.4</v>
      </c>
      <c r="L328">
        <v>77.400000000000006</v>
      </c>
      <c r="M328">
        <v>64.2</v>
      </c>
      <c r="N328">
        <v>17.8</v>
      </c>
      <c r="O328">
        <v>53.3</v>
      </c>
      <c r="P328">
        <v>28.9</v>
      </c>
      <c r="Q328">
        <v>54.8</v>
      </c>
      <c r="R328">
        <v>54</v>
      </c>
      <c r="S328">
        <v>26</v>
      </c>
      <c r="T328">
        <v>74</v>
      </c>
      <c r="U328">
        <v>78.400000000000006</v>
      </c>
      <c r="V328">
        <v>34.299999999999997</v>
      </c>
      <c r="W328">
        <v>65.7</v>
      </c>
    </row>
    <row r="329" spans="2:23" hidden="1" x14ac:dyDescent="0.25">
      <c r="B329" t="s">
        <v>49</v>
      </c>
      <c r="C329" t="s">
        <v>396</v>
      </c>
      <c r="D329" s="13">
        <v>0.875</v>
      </c>
      <c r="E329" t="s">
        <v>859</v>
      </c>
      <c r="F329" t="s">
        <v>860</v>
      </c>
      <c r="H329">
        <v>39.299999999999997</v>
      </c>
      <c r="I329">
        <v>28.1</v>
      </c>
      <c r="J329">
        <v>32.6</v>
      </c>
      <c r="K329">
        <v>67.400000000000006</v>
      </c>
      <c r="L329">
        <v>60.7</v>
      </c>
      <c r="M329">
        <v>71.900000000000006</v>
      </c>
      <c r="N329">
        <v>33.700000000000003</v>
      </c>
      <c r="O329">
        <v>43.5</v>
      </c>
      <c r="P329">
        <v>22.7</v>
      </c>
      <c r="Q329">
        <v>69.099999999999994</v>
      </c>
      <c r="R329">
        <v>78.2</v>
      </c>
      <c r="S329">
        <v>53.2</v>
      </c>
      <c r="T329">
        <v>46.8</v>
      </c>
      <c r="U329">
        <v>52.4</v>
      </c>
      <c r="V329">
        <v>58.1</v>
      </c>
      <c r="W329">
        <v>41.9</v>
      </c>
    </row>
    <row r="330" spans="2:23" hidden="1" x14ac:dyDescent="0.25">
      <c r="B330" t="s">
        <v>49</v>
      </c>
      <c r="C330" t="s">
        <v>396</v>
      </c>
      <c r="D330" s="13">
        <v>0.875</v>
      </c>
      <c r="E330" t="s">
        <v>861</v>
      </c>
      <c r="F330" t="s">
        <v>862</v>
      </c>
      <c r="H330">
        <v>41.8</v>
      </c>
      <c r="I330">
        <v>27.8</v>
      </c>
      <c r="J330">
        <v>30.4</v>
      </c>
      <c r="K330">
        <v>69.599999999999994</v>
      </c>
      <c r="L330">
        <v>58.2</v>
      </c>
      <c r="M330">
        <v>72.2</v>
      </c>
      <c r="N330">
        <v>31</v>
      </c>
      <c r="O330">
        <v>45.7</v>
      </c>
      <c r="P330">
        <v>23.3</v>
      </c>
      <c r="Q330">
        <v>66.099999999999994</v>
      </c>
      <c r="R330">
        <v>78.400000000000006</v>
      </c>
      <c r="S330">
        <v>53.6</v>
      </c>
      <c r="T330">
        <v>46.4</v>
      </c>
      <c r="U330">
        <v>52.2</v>
      </c>
      <c r="V330">
        <v>58.1</v>
      </c>
      <c r="W330">
        <v>41.9</v>
      </c>
    </row>
    <row r="331" spans="2:23" hidden="1" x14ac:dyDescent="0.25">
      <c r="B331" t="s">
        <v>863</v>
      </c>
      <c r="C331" t="s">
        <v>396</v>
      </c>
      <c r="D331" s="13">
        <v>0.875</v>
      </c>
      <c r="E331" t="s">
        <v>864</v>
      </c>
      <c r="F331" t="s">
        <v>207</v>
      </c>
      <c r="H331">
        <v>70.3</v>
      </c>
      <c r="I331">
        <v>21.4</v>
      </c>
      <c r="J331">
        <v>8.1999999999999993</v>
      </c>
      <c r="K331">
        <v>91.8</v>
      </c>
      <c r="L331">
        <v>29.7</v>
      </c>
      <c r="M331">
        <v>78.599999999999994</v>
      </c>
      <c r="N331">
        <v>48.8</v>
      </c>
      <c r="O331">
        <v>46.7</v>
      </c>
      <c r="P331">
        <v>4.5</v>
      </c>
      <c r="Q331">
        <v>56.7</v>
      </c>
      <c r="R331">
        <v>72.8</v>
      </c>
      <c r="S331">
        <v>46.5</v>
      </c>
      <c r="T331">
        <v>53.5</v>
      </c>
      <c r="U331">
        <v>64.5</v>
      </c>
      <c r="V331">
        <v>36.9</v>
      </c>
      <c r="W331">
        <v>63.1</v>
      </c>
    </row>
    <row r="332" spans="2:23" hidden="1" x14ac:dyDescent="0.25">
      <c r="B332" t="s">
        <v>808</v>
      </c>
      <c r="C332" t="s">
        <v>396</v>
      </c>
      <c r="D332" s="13">
        <v>0.88888888888888884</v>
      </c>
      <c r="E332" t="s">
        <v>865</v>
      </c>
      <c r="F332" t="s">
        <v>866</v>
      </c>
      <c r="H332">
        <v>36.700000000000003</v>
      </c>
      <c r="I332">
        <v>28.7</v>
      </c>
      <c r="J332">
        <v>34.5</v>
      </c>
      <c r="K332">
        <v>65.5</v>
      </c>
      <c r="L332">
        <v>63.3</v>
      </c>
      <c r="M332">
        <v>71.3</v>
      </c>
      <c r="N332">
        <v>26</v>
      </c>
      <c r="O332">
        <v>46.3</v>
      </c>
      <c r="P332">
        <v>27.7</v>
      </c>
      <c r="Q332">
        <v>65.5</v>
      </c>
      <c r="R332">
        <v>76.5</v>
      </c>
      <c r="S332">
        <v>50.8</v>
      </c>
      <c r="T332">
        <v>49.2</v>
      </c>
      <c r="U332">
        <v>54.7</v>
      </c>
      <c r="V332">
        <v>56.4</v>
      </c>
      <c r="W332">
        <v>43.6</v>
      </c>
    </row>
    <row r="333" spans="2:23" hidden="1" x14ac:dyDescent="0.25">
      <c r="B333" t="s">
        <v>344</v>
      </c>
      <c r="C333" t="s">
        <v>396</v>
      </c>
      <c r="D333" s="13">
        <v>0.89583333333333337</v>
      </c>
      <c r="E333" t="s">
        <v>867</v>
      </c>
      <c r="F333" t="s">
        <v>868</v>
      </c>
      <c r="H333">
        <v>32.5</v>
      </c>
      <c r="I333">
        <v>34.799999999999997</v>
      </c>
      <c r="J333">
        <v>32.700000000000003</v>
      </c>
      <c r="K333">
        <v>67.3</v>
      </c>
      <c r="L333">
        <v>67.5</v>
      </c>
      <c r="M333">
        <v>65.2</v>
      </c>
      <c r="N333">
        <v>25</v>
      </c>
      <c r="O333">
        <v>57.3</v>
      </c>
      <c r="P333">
        <v>17.7</v>
      </c>
      <c r="Q333">
        <v>49.3</v>
      </c>
      <c r="R333">
        <v>57.4</v>
      </c>
      <c r="S333">
        <v>29.1</v>
      </c>
      <c r="T333">
        <v>70.900000000000006</v>
      </c>
      <c r="U333">
        <v>75.099999999999994</v>
      </c>
      <c r="V333">
        <v>38.5</v>
      </c>
      <c r="W333">
        <v>61.5</v>
      </c>
    </row>
    <row r="334" spans="2:23" hidden="1" x14ac:dyDescent="0.25">
      <c r="B334" t="s">
        <v>344</v>
      </c>
      <c r="C334" t="s">
        <v>396</v>
      </c>
      <c r="D334" s="13">
        <v>0.89583333333333337</v>
      </c>
      <c r="E334" t="s">
        <v>869</v>
      </c>
      <c r="F334" t="s">
        <v>870</v>
      </c>
      <c r="H334">
        <v>48.2</v>
      </c>
      <c r="I334">
        <v>30.5</v>
      </c>
      <c r="J334">
        <v>21.4</v>
      </c>
      <c r="K334">
        <v>78.599999999999994</v>
      </c>
      <c r="L334">
        <v>51.8</v>
      </c>
      <c r="M334">
        <v>69.5</v>
      </c>
      <c r="N334">
        <v>38.9</v>
      </c>
      <c r="O334">
        <v>52.2</v>
      </c>
      <c r="P334">
        <v>8.9</v>
      </c>
      <c r="Q334">
        <v>53.1</v>
      </c>
      <c r="R334">
        <v>64.099999999999994</v>
      </c>
      <c r="S334">
        <v>35.9</v>
      </c>
      <c r="T334">
        <v>64.099999999999994</v>
      </c>
      <c r="U334">
        <v>69.8</v>
      </c>
      <c r="V334">
        <v>41.8</v>
      </c>
      <c r="W334">
        <v>58.2</v>
      </c>
    </row>
    <row r="335" spans="2:23" hidden="1" x14ac:dyDescent="0.25">
      <c r="B335" t="s">
        <v>796</v>
      </c>
      <c r="C335" t="s">
        <v>396</v>
      </c>
      <c r="D335" s="13">
        <v>0.89583333333333337</v>
      </c>
      <c r="E335" t="s">
        <v>871</v>
      </c>
      <c r="F335" t="s">
        <v>872</v>
      </c>
      <c r="H335">
        <v>45</v>
      </c>
      <c r="I335">
        <v>26.5</v>
      </c>
      <c r="J335">
        <v>28.6</v>
      </c>
      <c r="K335">
        <v>71.400000000000006</v>
      </c>
      <c r="L335">
        <v>55</v>
      </c>
      <c r="M335">
        <v>73.5</v>
      </c>
      <c r="N335">
        <v>37.4</v>
      </c>
      <c r="O335">
        <v>39.4</v>
      </c>
      <c r="P335">
        <v>23.1</v>
      </c>
      <c r="Q335">
        <v>75.2</v>
      </c>
      <c r="R335">
        <v>82.3</v>
      </c>
      <c r="S335">
        <v>59.5</v>
      </c>
      <c r="T335">
        <v>40.5</v>
      </c>
      <c r="U335">
        <v>46.4</v>
      </c>
      <c r="V335">
        <v>62.2</v>
      </c>
      <c r="W335">
        <v>37.799999999999997</v>
      </c>
    </row>
    <row r="336" spans="2:23" hidden="1" x14ac:dyDescent="0.25">
      <c r="B336" t="s">
        <v>796</v>
      </c>
      <c r="C336" t="s">
        <v>396</v>
      </c>
      <c r="D336" s="13">
        <v>0.89583333333333337</v>
      </c>
      <c r="E336" t="s">
        <v>873</v>
      </c>
      <c r="F336" t="s">
        <v>874</v>
      </c>
      <c r="H336">
        <v>53.7</v>
      </c>
      <c r="I336">
        <v>24.5</v>
      </c>
      <c r="J336">
        <v>21.8</v>
      </c>
      <c r="K336">
        <v>78.2</v>
      </c>
      <c r="L336">
        <v>46.3</v>
      </c>
      <c r="M336">
        <v>75.5</v>
      </c>
      <c r="N336">
        <v>42.1</v>
      </c>
      <c r="O336">
        <v>36.700000000000003</v>
      </c>
      <c r="P336">
        <v>21.2</v>
      </c>
      <c r="Q336">
        <v>78.5</v>
      </c>
      <c r="R336">
        <v>86.1</v>
      </c>
      <c r="S336">
        <v>65.900000000000006</v>
      </c>
      <c r="T336">
        <v>34.1</v>
      </c>
      <c r="U336">
        <v>40.6</v>
      </c>
      <c r="V336">
        <v>64.900000000000006</v>
      </c>
      <c r="W336">
        <v>35.1</v>
      </c>
    </row>
    <row r="337" spans="2:23" hidden="1" x14ac:dyDescent="0.25">
      <c r="B337" t="s">
        <v>796</v>
      </c>
      <c r="C337" t="s">
        <v>396</v>
      </c>
      <c r="D337" s="13">
        <v>0.89583333333333337</v>
      </c>
      <c r="E337" t="s">
        <v>875</v>
      </c>
      <c r="F337" t="s">
        <v>876</v>
      </c>
      <c r="H337">
        <v>55.5</v>
      </c>
      <c r="I337">
        <v>24</v>
      </c>
      <c r="J337">
        <v>20.5</v>
      </c>
      <c r="K337">
        <v>79.5</v>
      </c>
      <c r="L337">
        <v>44.5</v>
      </c>
      <c r="M337">
        <v>76</v>
      </c>
      <c r="N337">
        <v>43.1</v>
      </c>
      <c r="O337">
        <v>35.1</v>
      </c>
      <c r="P337">
        <v>21.8</v>
      </c>
      <c r="Q337">
        <v>81.099999999999994</v>
      </c>
      <c r="R337">
        <v>89.3</v>
      </c>
      <c r="S337">
        <v>71.7</v>
      </c>
      <c r="T337">
        <v>28.3</v>
      </c>
      <c r="U337">
        <v>34.6</v>
      </c>
      <c r="V337">
        <v>69</v>
      </c>
      <c r="W337">
        <v>31</v>
      </c>
    </row>
    <row r="338" spans="2:23" hidden="1" x14ac:dyDescent="0.25">
      <c r="B338" t="s">
        <v>796</v>
      </c>
      <c r="C338" t="s">
        <v>396</v>
      </c>
      <c r="D338" s="13">
        <v>0.89583333333333337</v>
      </c>
      <c r="E338" t="s">
        <v>877</v>
      </c>
      <c r="F338" t="s">
        <v>878</v>
      </c>
      <c r="H338">
        <v>18.2</v>
      </c>
      <c r="I338">
        <v>25.9</v>
      </c>
      <c r="J338">
        <v>55.8</v>
      </c>
      <c r="K338">
        <v>44.2</v>
      </c>
      <c r="L338">
        <v>81.8</v>
      </c>
      <c r="M338">
        <v>74.099999999999994</v>
      </c>
      <c r="N338">
        <v>17.100000000000001</v>
      </c>
      <c r="O338">
        <v>37.299999999999997</v>
      </c>
      <c r="P338">
        <v>45.6</v>
      </c>
      <c r="Q338">
        <v>77.099999999999994</v>
      </c>
      <c r="R338">
        <v>81.8</v>
      </c>
      <c r="S338">
        <v>58.7</v>
      </c>
      <c r="T338">
        <v>41.3</v>
      </c>
      <c r="U338">
        <v>48.5</v>
      </c>
      <c r="V338">
        <v>57.7</v>
      </c>
      <c r="W338">
        <v>42.3</v>
      </c>
    </row>
    <row r="339" spans="2:23" hidden="1" x14ac:dyDescent="0.25">
      <c r="B339" t="s">
        <v>49</v>
      </c>
      <c r="C339" t="s">
        <v>396</v>
      </c>
      <c r="D339" s="13">
        <v>0.89583333333333337</v>
      </c>
      <c r="E339" t="s">
        <v>879</v>
      </c>
      <c r="F339" t="s">
        <v>880</v>
      </c>
      <c r="H339">
        <v>42.5</v>
      </c>
      <c r="I339">
        <v>29.3</v>
      </c>
      <c r="J339">
        <v>28.2</v>
      </c>
      <c r="K339">
        <v>71.8</v>
      </c>
      <c r="L339">
        <v>57.5</v>
      </c>
      <c r="M339">
        <v>70.7</v>
      </c>
      <c r="N339">
        <v>29.4</v>
      </c>
      <c r="O339">
        <v>51.8</v>
      </c>
      <c r="P339">
        <v>18.7</v>
      </c>
      <c r="Q339">
        <v>56.7</v>
      </c>
      <c r="R339">
        <v>72.599999999999994</v>
      </c>
      <c r="S339">
        <v>45.7</v>
      </c>
      <c r="T339">
        <v>54.3</v>
      </c>
      <c r="U339">
        <v>59.9</v>
      </c>
      <c r="V339">
        <v>51.6</v>
      </c>
      <c r="W339">
        <v>48.4</v>
      </c>
    </row>
    <row r="340" spans="2:23" hidden="1" x14ac:dyDescent="0.25">
      <c r="B340" t="s">
        <v>334</v>
      </c>
      <c r="C340" t="s">
        <v>396</v>
      </c>
      <c r="D340" s="13">
        <v>0.89583333333333337</v>
      </c>
      <c r="E340" t="s">
        <v>149</v>
      </c>
      <c r="F340" t="s">
        <v>881</v>
      </c>
      <c r="H340">
        <v>52.5</v>
      </c>
      <c r="I340">
        <v>28.6</v>
      </c>
      <c r="J340">
        <v>19</v>
      </c>
      <c r="K340">
        <v>81</v>
      </c>
      <c r="L340">
        <v>47.5</v>
      </c>
      <c r="M340">
        <v>71.400000000000006</v>
      </c>
      <c r="N340">
        <v>33</v>
      </c>
      <c r="O340">
        <v>50.6</v>
      </c>
      <c r="P340">
        <v>16.399999999999999</v>
      </c>
      <c r="Q340">
        <v>57.8</v>
      </c>
      <c r="R340">
        <v>67.400000000000006</v>
      </c>
      <c r="S340">
        <v>39.5</v>
      </c>
      <c r="T340">
        <v>60.5</v>
      </c>
      <c r="U340">
        <v>67</v>
      </c>
      <c r="V340">
        <v>43.3</v>
      </c>
      <c r="W340">
        <v>56.7</v>
      </c>
    </row>
    <row r="341" spans="2:23" hidden="1" x14ac:dyDescent="0.25">
      <c r="B341" t="s">
        <v>347</v>
      </c>
      <c r="C341" t="s">
        <v>396</v>
      </c>
      <c r="D341" s="13">
        <v>0.91666666666666663</v>
      </c>
      <c r="E341" t="s">
        <v>882</v>
      </c>
      <c r="F341" t="s">
        <v>205</v>
      </c>
      <c r="H341">
        <v>33.200000000000003</v>
      </c>
      <c r="I341">
        <v>33.9</v>
      </c>
      <c r="J341">
        <v>32.9</v>
      </c>
      <c r="K341">
        <v>67.099999999999994</v>
      </c>
      <c r="L341">
        <v>66.8</v>
      </c>
      <c r="M341">
        <v>66.099999999999994</v>
      </c>
      <c r="N341">
        <v>29.9</v>
      </c>
      <c r="O341">
        <v>46.8</v>
      </c>
      <c r="P341">
        <v>23.3</v>
      </c>
      <c r="Q341">
        <v>64.5</v>
      </c>
      <c r="R341">
        <v>60</v>
      </c>
      <c r="S341">
        <v>31.6</v>
      </c>
      <c r="T341">
        <v>68.400000000000006</v>
      </c>
      <c r="U341">
        <v>72.900000000000006</v>
      </c>
      <c r="V341">
        <v>40.700000000000003</v>
      </c>
      <c r="W341">
        <v>59.3</v>
      </c>
    </row>
    <row r="342" spans="2:23" hidden="1" x14ac:dyDescent="0.25">
      <c r="B342" t="s">
        <v>49</v>
      </c>
      <c r="C342" t="s">
        <v>396</v>
      </c>
      <c r="D342" s="13">
        <v>0.91666666666666663</v>
      </c>
      <c r="E342" t="s">
        <v>883</v>
      </c>
      <c r="F342" t="s">
        <v>884</v>
      </c>
      <c r="H342">
        <v>52.8</v>
      </c>
      <c r="I342">
        <v>26.1</v>
      </c>
      <c r="J342">
        <v>21.1</v>
      </c>
      <c r="K342">
        <v>78.900000000000006</v>
      </c>
      <c r="L342">
        <v>47.2</v>
      </c>
      <c r="M342">
        <v>73.900000000000006</v>
      </c>
      <c r="N342">
        <v>45.2</v>
      </c>
      <c r="O342">
        <v>39.5</v>
      </c>
      <c r="P342">
        <v>15.3</v>
      </c>
      <c r="Q342">
        <v>72.2</v>
      </c>
      <c r="R342">
        <v>78.099999999999994</v>
      </c>
      <c r="S342">
        <v>53.2</v>
      </c>
      <c r="T342">
        <v>46.8</v>
      </c>
      <c r="U342">
        <v>53.6</v>
      </c>
      <c r="V342">
        <v>54.9</v>
      </c>
      <c r="W342">
        <v>45.1</v>
      </c>
    </row>
    <row r="343" spans="2:23" hidden="1" x14ac:dyDescent="0.25">
      <c r="B343" t="s">
        <v>393</v>
      </c>
      <c r="C343" t="s">
        <v>396</v>
      </c>
      <c r="D343" s="13">
        <v>0.91666666666666663</v>
      </c>
      <c r="E343" t="s">
        <v>885</v>
      </c>
      <c r="F343" t="s">
        <v>886</v>
      </c>
      <c r="H343">
        <v>28.5</v>
      </c>
      <c r="I343">
        <v>32.200000000000003</v>
      </c>
      <c r="J343">
        <v>39.299999999999997</v>
      </c>
      <c r="K343">
        <v>60.7</v>
      </c>
      <c r="L343">
        <v>71.5</v>
      </c>
      <c r="M343">
        <v>67.8</v>
      </c>
      <c r="N343">
        <v>17.7</v>
      </c>
      <c r="O343">
        <v>39.299999999999997</v>
      </c>
      <c r="P343">
        <v>43</v>
      </c>
      <c r="Q343">
        <v>74.400000000000006</v>
      </c>
      <c r="R343">
        <v>65.599999999999994</v>
      </c>
      <c r="S343">
        <v>37.4</v>
      </c>
      <c r="T343">
        <v>62.6</v>
      </c>
      <c r="U343">
        <v>67.599999999999994</v>
      </c>
      <c r="V343">
        <v>45.2</v>
      </c>
      <c r="W343">
        <v>54.8</v>
      </c>
    </row>
    <row r="344" spans="2:23" hidden="1" x14ac:dyDescent="0.25">
      <c r="B344" t="s">
        <v>385</v>
      </c>
      <c r="C344" t="s">
        <v>396</v>
      </c>
      <c r="D344" s="13">
        <v>0.91666666666666663</v>
      </c>
      <c r="E344" t="s">
        <v>887</v>
      </c>
      <c r="F344" t="s">
        <v>888</v>
      </c>
      <c r="H344">
        <v>55.7</v>
      </c>
      <c r="I344">
        <v>24</v>
      </c>
      <c r="J344">
        <v>20.3</v>
      </c>
      <c r="K344">
        <v>79.7</v>
      </c>
      <c r="L344">
        <v>44.3</v>
      </c>
      <c r="M344">
        <v>76</v>
      </c>
      <c r="N344">
        <v>44.1</v>
      </c>
      <c r="O344">
        <v>36.6</v>
      </c>
      <c r="P344">
        <v>19.3</v>
      </c>
      <c r="Q344">
        <v>78.099999999999994</v>
      </c>
      <c r="R344">
        <v>88.4</v>
      </c>
      <c r="S344">
        <v>70</v>
      </c>
      <c r="T344">
        <v>30</v>
      </c>
      <c r="U344">
        <v>36.5</v>
      </c>
      <c r="V344">
        <v>67.5</v>
      </c>
      <c r="W344">
        <v>32.5</v>
      </c>
    </row>
    <row r="345" spans="2:23" hidden="1" x14ac:dyDescent="0.25">
      <c r="B345" t="s">
        <v>863</v>
      </c>
      <c r="C345" t="s">
        <v>396</v>
      </c>
      <c r="D345" s="13">
        <v>0.91666666666666663</v>
      </c>
      <c r="E345" t="s">
        <v>208</v>
      </c>
      <c r="F345" t="s">
        <v>889</v>
      </c>
      <c r="H345">
        <v>44.2</v>
      </c>
      <c r="I345">
        <v>27.4</v>
      </c>
      <c r="J345">
        <v>28.4</v>
      </c>
      <c r="K345">
        <v>71.599999999999994</v>
      </c>
      <c r="L345">
        <v>55.8</v>
      </c>
      <c r="M345">
        <v>72.599999999999994</v>
      </c>
      <c r="N345">
        <v>36.6</v>
      </c>
      <c r="O345">
        <v>42.8</v>
      </c>
      <c r="P345">
        <v>20.6</v>
      </c>
      <c r="Q345">
        <v>69.7</v>
      </c>
      <c r="R345">
        <v>79</v>
      </c>
      <c r="S345">
        <v>54.4</v>
      </c>
      <c r="T345">
        <v>45.6</v>
      </c>
      <c r="U345">
        <v>51.5</v>
      </c>
      <c r="V345">
        <v>58.4</v>
      </c>
      <c r="W345">
        <v>41.6</v>
      </c>
    </row>
    <row r="346" spans="2:23" hidden="1" x14ac:dyDescent="0.25">
      <c r="B346" t="s">
        <v>380</v>
      </c>
      <c r="C346" t="s">
        <v>396</v>
      </c>
      <c r="D346" s="13">
        <v>0.92013888888888884</v>
      </c>
      <c r="E346" t="s">
        <v>890</v>
      </c>
      <c r="F346" t="s">
        <v>891</v>
      </c>
      <c r="H346">
        <v>59.6</v>
      </c>
      <c r="I346">
        <v>24.1</v>
      </c>
      <c r="J346">
        <v>16.3</v>
      </c>
      <c r="K346">
        <v>83.7</v>
      </c>
      <c r="L346">
        <v>40.4</v>
      </c>
      <c r="M346">
        <v>75.900000000000006</v>
      </c>
      <c r="N346">
        <v>36</v>
      </c>
      <c r="O346">
        <v>40.299999999999997</v>
      </c>
      <c r="P346">
        <v>23.7</v>
      </c>
      <c r="Q346">
        <v>74.099999999999994</v>
      </c>
      <c r="R346">
        <v>80.099999999999994</v>
      </c>
      <c r="S346">
        <v>56.2</v>
      </c>
      <c r="T346">
        <v>43.8</v>
      </c>
      <c r="U346">
        <v>51.7</v>
      </c>
      <c r="V346">
        <v>54.1</v>
      </c>
      <c r="W346">
        <v>45.9</v>
      </c>
    </row>
    <row r="347" spans="2:23" hidden="1" x14ac:dyDescent="0.25">
      <c r="B347" t="s">
        <v>74</v>
      </c>
      <c r="C347" t="s">
        <v>396</v>
      </c>
      <c r="D347" s="13">
        <v>0.9375</v>
      </c>
      <c r="E347" t="s">
        <v>112</v>
      </c>
      <c r="F347" t="s">
        <v>105</v>
      </c>
      <c r="H347">
        <v>19.8</v>
      </c>
      <c r="I347">
        <v>30.4</v>
      </c>
      <c r="J347">
        <v>49.8</v>
      </c>
      <c r="K347">
        <v>50.2</v>
      </c>
      <c r="L347">
        <v>80.2</v>
      </c>
      <c r="M347">
        <v>69.599999999999994</v>
      </c>
      <c r="N347">
        <v>22.2</v>
      </c>
      <c r="O347">
        <v>48.1</v>
      </c>
      <c r="P347">
        <v>29.7</v>
      </c>
      <c r="Q347">
        <v>62.7</v>
      </c>
      <c r="R347">
        <v>67.8</v>
      </c>
      <c r="S347">
        <v>40</v>
      </c>
      <c r="T347">
        <v>60</v>
      </c>
      <c r="U347">
        <v>66.2</v>
      </c>
      <c r="V347">
        <v>44.5</v>
      </c>
      <c r="W347">
        <v>55.5</v>
      </c>
    </row>
    <row r="348" spans="2:23" hidden="1" x14ac:dyDescent="0.25">
      <c r="B348" t="s">
        <v>796</v>
      </c>
      <c r="C348" t="s">
        <v>396</v>
      </c>
      <c r="D348" s="13">
        <v>0.9375</v>
      </c>
      <c r="E348" t="s">
        <v>892</v>
      </c>
      <c r="F348" t="s">
        <v>893</v>
      </c>
      <c r="H348">
        <v>45.2</v>
      </c>
      <c r="I348">
        <v>26.8</v>
      </c>
      <c r="J348">
        <v>28</v>
      </c>
      <c r="K348">
        <v>72</v>
      </c>
      <c r="L348">
        <v>54.8</v>
      </c>
      <c r="M348">
        <v>73.2</v>
      </c>
      <c r="N348">
        <v>29.7</v>
      </c>
      <c r="O348">
        <v>40.799999999999997</v>
      </c>
      <c r="P348">
        <v>29.4</v>
      </c>
      <c r="Q348">
        <v>74</v>
      </c>
      <c r="R348">
        <v>80.8</v>
      </c>
      <c r="S348">
        <v>57.1</v>
      </c>
      <c r="T348">
        <v>42.9</v>
      </c>
      <c r="U348">
        <v>48.8</v>
      </c>
      <c r="V348">
        <v>60.3</v>
      </c>
      <c r="W348">
        <v>39.700000000000003</v>
      </c>
    </row>
    <row r="349" spans="2:23" hidden="1" x14ac:dyDescent="0.25">
      <c r="B349" t="s">
        <v>49</v>
      </c>
      <c r="C349" t="s">
        <v>396</v>
      </c>
      <c r="D349" s="13">
        <v>0.9375</v>
      </c>
      <c r="E349" t="s">
        <v>75</v>
      </c>
      <c r="F349" t="s">
        <v>894</v>
      </c>
      <c r="H349">
        <v>48.3</v>
      </c>
      <c r="I349">
        <v>28.4</v>
      </c>
      <c r="J349">
        <v>23.2</v>
      </c>
      <c r="K349">
        <v>76.8</v>
      </c>
      <c r="L349">
        <v>51.7</v>
      </c>
      <c r="M349">
        <v>71.599999999999994</v>
      </c>
      <c r="N349">
        <v>32.9</v>
      </c>
      <c r="O349">
        <v>47.1</v>
      </c>
      <c r="P349">
        <v>20</v>
      </c>
      <c r="Q349">
        <v>63.4</v>
      </c>
      <c r="R349">
        <v>71.900000000000006</v>
      </c>
      <c r="S349">
        <v>44.9</v>
      </c>
      <c r="T349">
        <v>55.1</v>
      </c>
      <c r="U349">
        <v>61.2</v>
      </c>
      <c r="V349">
        <v>49.6</v>
      </c>
      <c r="W349">
        <v>50.4</v>
      </c>
    </row>
    <row r="350" spans="2:23" hidden="1" x14ac:dyDescent="0.25">
      <c r="B350" t="s">
        <v>388</v>
      </c>
      <c r="C350" t="s">
        <v>396</v>
      </c>
      <c r="D350" s="13">
        <v>0.9375</v>
      </c>
      <c r="E350" t="s">
        <v>895</v>
      </c>
      <c r="F350" t="s">
        <v>78</v>
      </c>
      <c r="H350">
        <v>34.9</v>
      </c>
      <c r="I350">
        <v>27</v>
      </c>
      <c r="J350">
        <v>38.1</v>
      </c>
      <c r="K350">
        <v>61.9</v>
      </c>
      <c r="L350">
        <v>65.099999999999994</v>
      </c>
      <c r="M350">
        <v>73</v>
      </c>
      <c r="N350">
        <v>33.700000000000003</v>
      </c>
      <c r="O350">
        <v>39.1</v>
      </c>
      <c r="P350">
        <v>27.2</v>
      </c>
      <c r="Q350">
        <v>76.400000000000006</v>
      </c>
      <c r="R350">
        <v>82.9</v>
      </c>
      <c r="S350">
        <v>60.3</v>
      </c>
      <c r="T350">
        <v>39.700000000000003</v>
      </c>
      <c r="U350">
        <v>45.3</v>
      </c>
      <c r="V350">
        <v>63.7</v>
      </c>
      <c r="W350">
        <v>36.299999999999997</v>
      </c>
    </row>
    <row r="351" spans="2:23" hidden="1" x14ac:dyDescent="0.25">
      <c r="B351" t="s">
        <v>390</v>
      </c>
      <c r="C351" t="s">
        <v>396</v>
      </c>
      <c r="D351" s="13">
        <v>0.95833333333333337</v>
      </c>
      <c r="E351" t="s">
        <v>896</v>
      </c>
      <c r="F351" t="s">
        <v>897</v>
      </c>
      <c r="H351">
        <v>18.8</v>
      </c>
      <c r="I351">
        <v>33.200000000000003</v>
      </c>
      <c r="J351">
        <v>48</v>
      </c>
      <c r="K351">
        <v>52</v>
      </c>
      <c r="L351">
        <v>81.2</v>
      </c>
      <c r="M351">
        <v>66.8</v>
      </c>
      <c r="N351">
        <v>22.6</v>
      </c>
      <c r="O351">
        <v>58.1</v>
      </c>
      <c r="P351">
        <v>19.3</v>
      </c>
      <c r="Q351">
        <v>48.4</v>
      </c>
      <c r="R351">
        <v>59.2</v>
      </c>
      <c r="S351">
        <v>30.9</v>
      </c>
      <c r="T351">
        <v>69.099999999999994</v>
      </c>
      <c r="U351">
        <v>74.7</v>
      </c>
      <c r="V351">
        <v>36.799999999999997</v>
      </c>
      <c r="W351">
        <v>63.2</v>
      </c>
    </row>
    <row r="352" spans="2:23" hidden="1" x14ac:dyDescent="0.25">
      <c r="B352" t="s">
        <v>49</v>
      </c>
      <c r="C352" t="s">
        <v>396</v>
      </c>
      <c r="D352" s="13">
        <v>0.95833333333333337</v>
      </c>
      <c r="E352" t="s">
        <v>898</v>
      </c>
      <c r="F352" t="s">
        <v>899</v>
      </c>
      <c r="H352">
        <v>29.6</v>
      </c>
      <c r="I352">
        <v>30.3</v>
      </c>
      <c r="J352">
        <v>40.1</v>
      </c>
      <c r="K352">
        <v>59.9</v>
      </c>
      <c r="L352">
        <v>70.400000000000006</v>
      </c>
      <c r="M352">
        <v>69.7</v>
      </c>
      <c r="N352">
        <v>29.3</v>
      </c>
      <c r="O352">
        <v>46.9</v>
      </c>
      <c r="P352">
        <v>23.8</v>
      </c>
      <c r="Q352">
        <v>64.3</v>
      </c>
      <c r="R352">
        <v>71.599999999999994</v>
      </c>
      <c r="S352">
        <v>44.4</v>
      </c>
      <c r="T352">
        <v>55.6</v>
      </c>
      <c r="U352">
        <v>61</v>
      </c>
      <c r="V352">
        <v>50.9</v>
      </c>
      <c r="W352">
        <v>49.1</v>
      </c>
    </row>
    <row r="353" spans="2:23" hidden="1" x14ac:dyDescent="0.25">
      <c r="B353" t="s">
        <v>796</v>
      </c>
      <c r="C353" t="s">
        <v>396</v>
      </c>
      <c r="D353" s="13">
        <v>0.97916666666666663</v>
      </c>
      <c r="E353" t="s">
        <v>900</v>
      </c>
      <c r="F353" t="s">
        <v>901</v>
      </c>
      <c r="H353">
        <v>51.3</v>
      </c>
      <c r="I353">
        <v>25</v>
      </c>
      <c r="J353">
        <v>23.7</v>
      </c>
      <c r="K353">
        <v>76.3</v>
      </c>
      <c r="L353">
        <v>48.7</v>
      </c>
      <c r="M353">
        <v>75</v>
      </c>
      <c r="N353">
        <v>34.200000000000003</v>
      </c>
      <c r="O353">
        <v>37.799999999999997</v>
      </c>
      <c r="P353">
        <v>27.9</v>
      </c>
      <c r="Q353">
        <v>78.5</v>
      </c>
      <c r="R353">
        <v>85.5</v>
      </c>
      <c r="S353">
        <v>64.7</v>
      </c>
      <c r="T353">
        <v>35.299999999999997</v>
      </c>
      <c r="U353">
        <v>41.5</v>
      </c>
      <c r="V353">
        <v>64.8</v>
      </c>
      <c r="W353">
        <v>35.200000000000003</v>
      </c>
    </row>
    <row r="354" spans="2:23" hidden="1" x14ac:dyDescent="0.25">
      <c r="B354" t="s">
        <v>796</v>
      </c>
      <c r="C354" t="s">
        <v>396</v>
      </c>
      <c r="D354" s="13">
        <v>0.97916666666666663</v>
      </c>
      <c r="E354" t="s">
        <v>902</v>
      </c>
      <c r="F354" t="s">
        <v>903</v>
      </c>
      <c r="H354">
        <v>48.1</v>
      </c>
      <c r="I354">
        <v>26.4</v>
      </c>
      <c r="J354">
        <v>25.5</v>
      </c>
      <c r="K354">
        <v>74.5</v>
      </c>
      <c r="L354">
        <v>51.9</v>
      </c>
      <c r="M354">
        <v>73.599999999999994</v>
      </c>
      <c r="N354">
        <v>37.799999999999997</v>
      </c>
      <c r="O354">
        <v>38.200000000000003</v>
      </c>
      <c r="P354">
        <v>24</v>
      </c>
      <c r="Q354">
        <v>77.2</v>
      </c>
      <c r="R354">
        <v>80.8</v>
      </c>
      <c r="S354">
        <v>57.2</v>
      </c>
      <c r="T354">
        <v>42.8</v>
      </c>
      <c r="U354">
        <v>49</v>
      </c>
      <c r="V354">
        <v>59.7</v>
      </c>
      <c r="W354">
        <v>40.299999999999997</v>
      </c>
    </row>
    <row r="355" spans="2:23" hidden="1" x14ac:dyDescent="0.25">
      <c r="B355" t="s">
        <v>49</v>
      </c>
      <c r="C355" t="s">
        <v>396</v>
      </c>
      <c r="D355" s="13">
        <v>0.97916666666666663</v>
      </c>
      <c r="E355" t="s">
        <v>904</v>
      </c>
      <c r="F355" t="s">
        <v>905</v>
      </c>
      <c r="H355">
        <v>35.6</v>
      </c>
      <c r="I355">
        <v>27.7</v>
      </c>
      <c r="J355">
        <v>36.700000000000003</v>
      </c>
      <c r="K355">
        <v>63.3</v>
      </c>
      <c r="L355">
        <v>64.400000000000006</v>
      </c>
      <c r="M355">
        <v>72.3</v>
      </c>
      <c r="N355">
        <v>25.5</v>
      </c>
      <c r="O355">
        <v>42.8</v>
      </c>
      <c r="P355">
        <v>31.7</v>
      </c>
      <c r="Q355">
        <v>70.900000000000006</v>
      </c>
      <c r="R355">
        <v>80.2</v>
      </c>
      <c r="S355">
        <v>56.2</v>
      </c>
      <c r="T355">
        <v>43.8</v>
      </c>
      <c r="U355">
        <v>49.4</v>
      </c>
      <c r="V355">
        <v>60.5</v>
      </c>
      <c r="W355">
        <v>39.5</v>
      </c>
    </row>
    <row r="356" spans="2:23" hidden="1" x14ac:dyDescent="0.25">
      <c r="B356" t="s">
        <v>49</v>
      </c>
      <c r="C356" t="s">
        <v>396</v>
      </c>
      <c r="D356" s="13">
        <v>0.97916666666666663</v>
      </c>
      <c r="E356" t="s">
        <v>906</v>
      </c>
      <c r="F356" t="s">
        <v>907</v>
      </c>
      <c r="H356">
        <v>42.9</v>
      </c>
      <c r="I356">
        <v>29.1</v>
      </c>
      <c r="J356">
        <v>28</v>
      </c>
      <c r="K356">
        <v>72</v>
      </c>
      <c r="L356">
        <v>57.1</v>
      </c>
      <c r="M356">
        <v>70.900000000000006</v>
      </c>
      <c r="N356">
        <v>24.7</v>
      </c>
      <c r="O356">
        <v>52.2</v>
      </c>
      <c r="P356">
        <v>23.1</v>
      </c>
      <c r="Q356">
        <v>56.7</v>
      </c>
      <c r="R356">
        <v>73</v>
      </c>
      <c r="S356">
        <v>46.2</v>
      </c>
      <c r="T356">
        <v>53.8</v>
      </c>
      <c r="U356">
        <v>59.4</v>
      </c>
      <c r="V356">
        <v>52</v>
      </c>
      <c r="W356">
        <v>48</v>
      </c>
    </row>
    <row r="1045993" x14ac:dyDescent="0.25"/>
    <row r="1045994" x14ac:dyDescent="0.25"/>
    <row r="1045995" x14ac:dyDescent="0.25"/>
    <row r="1045996" x14ac:dyDescent="0.25"/>
    <row r="1045997" x14ac:dyDescent="0.25"/>
    <row r="1045998" x14ac:dyDescent="0.25"/>
    <row r="1045999" x14ac:dyDescent="0.25"/>
    <row r="1046000" x14ac:dyDescent="0.25"/>
    <row r="1046001" x14ac:dyDescent="0.25"/>
    <row r="1046002" x14ac:dyDescent="0.25"/>
    <row r="1046003" x14ac:dyDescent="0.25"/>
    <row r="1046004" x14ac:dyDescent="0.25"/>
    <row r="1046005" x14ac:dyDescent="0.25"/>
    <row r="1046006" x14ac:dyDescent="0.25"/>
    <row r="1046007" x14ac:dyDescent="0.25"/>
    <row r="1046008" x14ac:dyDescent="0.25"/>
    <row r="1046009" x14ac:dyDescent="0.25"/>
    <row r="1046010" x14ac:dyDescent="0.25"/>
    <row r="1046011" x14ac:dyDescent="0.25"/>
    <row r="1046012" x14ac:dyDescent="0.25"/>
    <row r="1046013" x14ac:dyDescent="0.25"/>
    <row r="1046014" x14ac:dyDescent="0.25"/>
    <row r="1046015" x14ac:dyDescent="0.25"/>
    <row r="1046016" x14ac:dyDescent="0.25"/>
    <row r="1046017" x14ac:dyDescent="0.25"/>
    <row r="1046018" x14ac:dyDescent="0.25"/>
    <row r="1046019" x14ac:dyDescent="0.25"/>
    <row r="1046020" x14ac:dyDescent="0.25"/>
    <row r="1046021" x14ac:dyDescent="0.25"/>
    <row r="1046022" x14ac:dyDescent="0.25"/>
    <row r="1046023" x14ac:dyDescent="0.25"/>
    <row r="1046024" x14ac:dyDescent="0.25"/>
    <row r="1046025" x14ac:dyDescent="0.25"/>
    <row r="1046026" x14ac:dyDescent="0.25"/>
    <row r="1046027" x14ac:dyDescent="0.25"/>
    <row r="1046028" x14ac:dyDescent="0.25"/>
    <row r="1046029" x14ac:dyDescent="0.25"/>
    <row r="1046030" x14ac:dyDescent="0.25"/>
    <row r="1046031" x14ac:dyDescent="0.25"/>
    <row r="1046032" x14ac:dyDescent="0.25"/>
    <row r="1046033" x14ac:dyDescent="0.25"/>
    <row r="1046034" x14ac:dyDescent="0.25"/>
    <row r="1046035" x14ac:dyDescent="0.25"/>
    <row r="1046036" x14ac:dyDescent="0.25"/>
    <row r="1046037" x14ac:dyDescent="0.25"/>
    <row r="1046038" x14ac:dyDescent="0.25"/>
    <row r="1046039" x14ac:dyDescent="0.25"/>
    <row r="1046040" x14ac:dyDescent="0.25"/>
    <row r="1046041" x14ac:dyDescent="0.25"/>
    <row r="1046042" x14ac:dyDescent="0.25"/>
    <row r="1046043" x14ac:dyDescent="0.25"/>
    <row r="1046044" x14ac:dyDescent="0.25"/>
    <row r="1046045" x14ac:dyDescent="0.25"/>
    <row r="1046046" x14ac:dyDescent="0.25"/>
    <row r="1046047" x14ac:dyDescent="0.25"/>
    <row r="1046048" x14ac:dyDescent="0.25"/>
    <row r="1046049" x14ac:dyDescent="0.25"/>
    <row r="1046050" x14ac:dyDescent="0.25"/>
    <row r="1046051" x14ac:dyDescent="0.25"/>
    <row r="1046052" x14ac:dyDescent="0.25"/>
    <row r="1046053" x14ac:dyDescent="0.25"/>
    <row r="1046054" x14ac:dyDescent="0.25"/>
    <row r="1046055" x14ac:dyDescent="0.25"/>
    <row r="1046056" x14ac:dyDescent="0.25"/>
    <row r="1046057" x14ac:dyDescent="0.25"/>
    <row r="1046058" x14ac:dyDescent="0.25"/>
    <row r="1046059" x14ac:dyDescent="0.25"/>
    <row r="1046060" x14ac:dyDescent="0.25"/>
    <row r="1046061" x14ac:dyDescent="0.25"/>
    <row r="1046062" x14ac:dyDescent="0.25"/>
    <row r="1046063" x14ac:dyDescent="0.25"/>
    <row r="1046064" x14ac:dyDescent="0.25"/>
    <row r="1046065" x14ac:dyDescent="0.25"/>
    <row r="1046066" x14ac:dyDescent="0.25"/>
    <row r="1046067" x14ac:dyDescent="0.25"/>
    <row r="1046068" x14ac:dyDescent="0.25"/>
    <row r="1046069" x14ac:dyDescent="0.25"/>
    <row r="1046070" x14ac:dyDescent="0.25"/>
    <row r="1046071" x14ac:dyDescent="0.25"/>
    <row r="1046072" x14ac:dyDescent="0.25"/>
    <row r="1046073" x14ac:dyDescent="0.25"/>
    <row r="1046074" x14ac:dyDescent="0.25"/>
    <row r="1046075" x14ac:dyDescent="0.25"/>
    <row r="1046076" x14ac:dyDescent="0.25"/>
    <row r="1046077" x14ac:dyDescent="0.25"/>
    <row r="1046078" x14ac:dyDescent="0.25"/>
    <row r="1046079" x14ac:dyDescent="0.25"/>
    <row r="1046080" x14ac:dyDescent="0.25"/>
    <row r="1046081" x14ac:dyDescent="0.25"/>
    <row r="1046082" x14ac:dyDescent="0.25"/>
    <row r="1046083" x14ac:dyDescent="0.25"/>
    <row r="1046084" x14ac:dyDescent="0.25"/>
    <row r="1046085" x14ac:dyDescent="0.25"/>
    <row r="1046086" x14ac:dyDescent="0.25"/>
    <row r="1046087" x14ac:dyDescent="0.25"/>
    <row r="1046088" x14ac:dyDescent="0.25"/>
    <row r="1046089" x14ac:dyDescent="0.25"/>
    <row r="1046090" x14ac:dyDescent="0.25"/>
    <row r="1046091" x14ac:dyDescent="0.25"/>
    <row r="1046092" x14ac:dyDescent="0.25"/>
    <row r="1046093" x14ac:dyDescent="0.25"/>
    <row r="1046094" x14ac:dyDescent="0.25"/>
    <row r="1046095" x14ac:dyDescent="0.25"/>
    <row r="1046096" x14ac:dyDescent="0.25"/>
    <row r="1046097" x14ac:dyDescent="0.25"/>
    <row r="1046098" x14ac:dyDescent="0.25"/>
    <row r="1046099" x14ac:dyDescent="0.25"/>
    <row r="1046100" x14ac:dyDescent="0.25"/>
    <row r="1046101" x14ac:dyDescent="0.25"/>
    <row r="1046102" x14ac:dyDescent="0.25"/>
    <row r="1046103" x14ac:dyDescent="0.25"/>
    <row r="1046104" x14ac:dyDescent="0.25"/>
    <row r="1046105" x14ac:dyDescent="0.25"/>
    <row r="1046106" x14ac:dyDescent="0.25"/>
    <row r="1046107" x14ac:dyDescent="0.25"/>
    <row r="1046108" x14ac:dyDescent="0.25"/>
    <row r="1046109" x14ac:dyDescent="0.25"/>
    <row r="1046110" x14ac:dyDescent="0.25"/>
    <row r="1046111" x14ac:dyDescent="0.25"/>
    <row r="1046112" x14ac:dyDescent="0.25"/>
    <row r="1046113" x14ac:dyDescent="0.25"/>
    <row r="1046114" x14ac:dyDescent="0.25"/>
    <row r="1046115" x14ac:dyDescent="0.25"/>
    <row r="1046116" x14ac:dyDescent="0.25"/>
    <row r="1046117" x14ac:dyDescent="0.25"/>
    <row r="1046118" x14ac:dyDescent="0.25"/>
    <row r="1046119" x14ac:dyDescent="0.25"/>
    <row r="1046120" x14ac:dyDescent="0.25"/>
    <row r="1046121" x14ac:dyDescent="0.25"/>
    <row r="1046122" x14ac:dyDescent="0.25"/>
    <row r="1046123" x14ac:dyDescent="0.25"/>
    <row r="1046124" x14ac:dyDescent="0.25"/>
    <row r="1046125" x14ac:dyDescent="0.25"/>
    <row r="1046126" x14ac:dyDescent="0.25"/>
    <row r="1046127" x14ac:dyDescent="0.25"/>
    <row r="1046128" x14ac:dyDescent="0.25"/>
    <row r="1046129" x14ac:dyDescent="0.25"/>
    <row r="1046130" x14ac:dyDescent="0.25"/>
    <row r="1046131" x14ac:dyDescent="0.25"/>
    <row r="1046132" x14ac:dyDescent="0.25"/>
    <row r="1046133" x14ac:dyDescent="0.25"/>
    <row r="1046134" x14ac:dyDescent="0.25"/>
    <row r="1046135" x14ac:dyDescent="0.25"/>
    <row r="1046136" x14ac:dyDescent="0.25"/>
    <row r="1046137" x14ac:dyDescent="0.25"/>
    <row r="1046138" x14ac:dyDescent="0.25"/>
    <row r="1046139" x14ac:dyDescent="0.25"/>
    <row r="1046140" x14ac:dyDescent="0.25"/>
    <row r="1046141" x14ac:dyDescent="0.25"/>
    <row r="1046142" x14ac:dyDescent="0.25"/>
    <row r="1046143" x14ac:dyDescent="0.25"/>
    <row r="1046144" x14ac:dyDescent="0.25"/>
    <row r="1046145" x14ac:dyDescent="0.25"/>
    <row r="1046146" x14ac:dyDescent="0.25"/>
    <row r="1046147" x14ac:dyDescent="0.25"/>
    <row r="1046148" x14ac:dyDescent="0.25"/>
    <row r="1046149" x14ac:dyDescent="0.25"/>
    <row r="1046150" x14ac:dyDescent="0.25"/>
    <row r="1046151" x14ac:dyDescent="0.25"/>
    <row r="1046152" x14ac:dyDescent="0.25"/>
    <row r="1046153" x14ac:dyDescent="0.25"/>
    <row r="1046154" x14ac:dyDescent="0.25"/>
    <row r="1046155" x14ac:dyDescent="0.25"/>
    <row r="1046156" x14ac:dyDescent="0.25"/>
    <row r="1046157" x14ac:dyDescent="0.25"/>
    <row r="1046158" x14ac:dyDescent="0.25"/>
    <row r="1046159" x14ac:dyDescent="0.25"/>
    <row r="1046160" x14ac:dyDescent="0.25"/>
    <row r="1046161" x14ac:dyDescent="0.25"/>
    <row r="1046162" x14ac:dyDescent="0.25"/>
    <row r="1046163" x14ac:dyDescent="0.25"/>
    <row r="1046164" x14ac:dyDescent="0.25"/>
    <row r="1046165" x14ac:dyDescent="0.25"/>
    <row r="1046166" x14ac:dyDescent="0.25"/>
    <row r="1046167" x14ac:dyDescent="0.25"/>
    <row r="1046168" x14ac:dyDescent="0.25"/>
    <row r="1046169" x14ac:dyDescent="0.25"/>
    <row r="1046170" x14ac:dyDescent="0.25"/>
    <row r="1046171" x14ac:dyDescent="0.25"/>
    <row r="1046172" x14ac:dyDescent="0.25"/>
    <row r="1046173" x14ac:dyDescent="0.25"/>
    <row r="1046174" x14ac:dyDescent="0.25"/>
    <row r="1046175" x14ac:dyDescent="0.25"/>
    <row r="1046176" x14ac:dyDescent="0.25"/>
    <row r="1046177" x14ac:dyDescent="0.25"/>
    <row r="1046178" x14ac:dyDescent="0.25"/>
    <row r="1046179" x14ac:dyDescent="0.25"/>
    <row r="1046180" x14ac:dyDescent="0.25"/>
    <row r="1046181" x14ac:dyDescent="0.25"/>
    <row r="1046182" x14ac:dyDescent="0.25"/>
    <row r="1046183" x14ac:dyDescent="0.25"/>
    <row r="1046184" x14ac:dyDescent="0.25"/>
    <row r="1046185" x14ac:dyDescent="0.25"/>
    <row r="1046186" x14ac:dyDescent="0.25"/>
    <row r="1046187" x14ac:dyDescent="0.25"/>
    <row r="1046188" x14ac:dyDescent="0.25"/>
    <row r="1046189" x14ac:dyDescent="0.25"/>
    <row r="1046190" x14ac:dyDescent="0.25"/>
    <row r="1046191" x14ac:dyDescent="0.25"/>
    <row r="1046192" x14ac:dyDescent="0.25"/>
    <row r="1046193" x14ac:dyDescent="0.25"/>
    <row r="1046194" x14ac:dyDescent="0.25"/>
    <row r="1046195" x14ac:dyDescent="0.25"/>
    <row r="1046196" x14ac:dyDescent="0.25"/>
    <row r="1046197" x14ac:dyDescent="0.25"/>
    <row r="1046198" x14ac:dyDescent="0.25"/>
    <row r="1046199" x14ac:dyDescent="0.25"/>
    <row r="1046200" x14ac:dyDescent="0.25"/>
    <row r="1046201" x14ac:dyDescent="0.25"/>
    <row r="1046202" x14ac:dyDescent="0.25"/>
    <row r="1046203" x14ac:dyDescent="0.25"/>
    <row r="1046204" x14ac:dyDescent="0.25"/>
    <row r="1046205" x14ac:dyDescent="0.25"/>
    <row r="1046206" x14ac:dyDescent="0.25"/>
    <row r="1046207" x14ac:dyDescent="0.25"/>
    <row r="1046208" x14ac:dyDescent="0.25"/>
    <row r="1046209" x14ac:dyDescent="0.25"/>
    <row r="1046210" x14ac:dyDescent="0.25"/>
    <row r="1046211" x14ac:dyDescent="0.25"/>
    <row r="1046212" x14ac:dyDescent="0.25"/>
    <row r="1046213" x14ac:dyDescent="0.25"/>
    <row r="1046214" x14ac:dyDescent="0.25"/>
    <row r="1046215" x14ac:dyDescent="0.25"/>
    <row r="1046216" x14ac:dyDescent="0.25"/>
    <row r="1046217" x14ac:dyDescent="0.25"/>
    <row r="1046218" x14ac:dyDescent="0.25"/>
    <row r="1046219" x14ac:dyDescent="0.25"/>
    <row r="1046220" x14ac:dyDescent="0.25"/>
    <row r="1046221" x14ac:dyDescent="0.25"/>
    <row r="1046222" x14ac:dyDescent="0.25"/>
    <row r="1046223" x14ac:dyDescent="0.25"/>
    <row r="1046224" x14ac:dyDescent="0.25"/>
    <row r="1046225" x14ac:dyDescent="0.25"/>
    <row r="1046226" x14ac:dyDescent="0.25"/>
    <row r="1046227" x14ac:dyDescent="0.25"/>
    <row r="1046228" x14ac:dyDescent="0.25"/>
    <row r="1046229" x14ac:dyDescent="0.25"/>
    <row r="1046230" x14ac:dyDescent="0.25"/>
    <row r="1046231" x14ac:dyDescent="0.25"/>
    <row r="1046232" x14ac:dyDescent="0.25"/>
    <row r="1046233" x14ac:dyDescent="0.25"/>
    <row r="1046234" x14ac:dyDescent="0.25"/>
    <row r="1046235" x14ac:dyDescent="0.25"/>
    <row r="1046236" x14ac:dyDescent="0.25"/>
    <row r="1046237" x14ac:dyDescent="0.25"/>
    <row r="1046238" x14ac:dyDescent="0.25"/>
    <row r="1046239" x14ac:dyDescent="0.25"/>
    <row r="1046240" x14ac:dyDescent="0.25"/>
    <row r="1046241" x14ac:dyDescent="0.25"/>
    <row r="1046242" x14ac:dyDescent="0.25"/>
    <row r="1046243" x14ac:dyDescent="0.25"/>
    <row r="1046244" x14ac:dyDescent="0.25"/>
    <row r="1046245" x14ac:dyDescent="0.25"/>
    <row r="1046246" x14ac:dyDescent="0.25"/>
    <row r="1046247" x14ac:dyDescent="0.25"/>
    <row r="1046248" x14ac:dyDescent="0.25"/>
    <row r="1046249" x14ac:dyDescent="0.25"/>
    <row r="1046250" x14ac:dyDescent="0.25"/>
    <row r="1046251" x14ac:dyDescent="0.25"/>
    <row r="1046252" x14ac:dyDescent="0.25"/>
    <row r="1046253" x14ac:dyDescent="0.25"/>
    <row r="1046254" x14ac:dyDescent="0.25"/>
    <row r="1046255" x14ac:dyDescent="0.25"/>
    <row r="1046256" x14ac:dyDescent="0.25"/>
    <row r="1046257" x14ac:dyDescent="0.25"/>
    <row r="1046258" x14ac:dyDescent="0.25"/>
    <row r="1046259" x14ac:dyDescent="0.25"/>
    <row r="1046260" x14ac:dyDescent="0.25"/>
    <row r="1046261" x14ac:dyDescent="0.25"/>
    <row r="1046262" x14ac:dyDescent="0.25"/>
    <row r="1046263" x14ac:dyDescent="0.25"/>
    <row r="1046264" x14ac:dyDescent="0.25"/>
    <row r="1046265" x14ac:dyDescent="0.25"/>
    <row r="1046266" x14ac:dyDescent="0.25"/>
    <row r="1046267" x14ac:dyDescent="0.25"/>
    <row r="1046268" x14ac:dyDescent="0.25"/>
    <row r="1046269" x14ac:dyDescent="0.25"/>
    <row r="1046270" x14ac:dyDescent="0.25"/>
    <row r="1046271" x14ac:dyDescent="0.25"/>
    <row r="1046272" x14ac:dyDescent="0.25"/>
    <row r="1046273" x14ac:dyDescent="0.25"/>
    <row r="1046274" x14ac:dyDescent="0.25"/>
    <row r="1046275" x14ac:dyDescent="0.25"/>
    <row r="1046276" x14ac:dyDescent="0.25"/>
    <row r="1046277" x14ac:dyDescent="0.25"/>
    <row r="1046278" x14ac:dyDescent="0.25"/>
    <row r="1046279" x14ac:dyDescent="0.25"/>
    <row r="1046280" x14ac:dyDescent="0.25"/>
    <row r="1046281" x14ac:dyDescent="0.25"/>
    <row r="1046282" x14ac:dyDescent="0.25"/>
    <row r="1046283" x14ac:dyDescent="0.25"/>
    <row r="1046284" x14ac:dyDescent="0.25"/>
    <row r="1046285" x14ac:dyDescent="0.25"/>
    <row r="1046286" x14ac:dyDescent="0.25"/>
    <row r="1046287" x14ac:dyDescent="0.25"/>
    <row r="1046288" x14ac:dyDescent="0.25"/>
    <row r="1046289" x14ac:dyDescent="0.25"/>
    <row r="1046290" x14ac:dyDescent="0.25"/>
    <row r="1046291" x14ac:dyDescent="0.25"/>
    <row r="1046292" x14ac:dyDescent="0.25"/>
    <row r="1046293" x14ac:dyDescent="0.25"/>
    <row r="1046294" x14ac:dyDescent="0.25"/>
    <row r="1046295" x14ac:dyDescent="0.25"/>
    <row r="1046296" x14ac:dyDescent="0.25"/>
    <row r="1046297" x14ac:dyDescent="0.25"/>
    <row r="1046298" x14ac:dyDescent="0.25"/>
    <row r="1046299" x14ac:dyDescent="0.25"/>
    <row r="1046300" x14ac:dyDescent="0.25"/>
    <row r="1046301" x14ac:dyDescent="0.25"/>
    <row r="1046302" x14ac:dyDescent="0.25"/>
    <row r="1046303" x14ac:dyDescent="0.25"/>
    <row r="1046304" x14ac:dyDescent="0.25"/>
    <row r="1046305" x14ac:dyDescent="0.25"/>
    <row r="1046306" x14ac:dyDescent="0.25"/>
    <row r="1046307" x14ac:dyDescent="0.25"/>
    <row r="1046308" x14ac:dyDescent="0.25"/>
    <row r="1046309" x14ac:dyDescent="0.25"/>
    <row r="1046310" x14ac:dyDescent="0.25"/>
    <row r="1046311" x14ac:dyDescent="0.25"/>
    <row r="1046312" x14ac:dyDescent="0.25"/>
    <row r="1046313" x14ac:dyDescent="0.25"/>
    <row r="1046314" x14ac:dyDescent="0.25"/>
    <row r="1046315" x14ac:dyDescent="0.25"/>
    <row r="1046316" x14ac:dyDescent="0.25"/>
    <row r="1046317" x14ac:dyDescent="0.25"/>
    <row r="1046318" x14ac:dyDescent="0.25"/>
    <row r="1046319" x14ac:dyDescent="0.25"/>
    <row r="1046320" x14ac:dyDescent="0.25"/>
    <row r="1046321" x14ac:dyDescent="0.25"/>
    <row r="1046322" x14ac:dyDescent="0.25"/>
    <row r="1046323" x14ac:dyDescent="0.25"/>
    <row r="1046324" x14ac:dyDescent="0.25"/>
    <row r="1046325" x14ac:dyDescent="0.25"/>
    <row r="1046326" x14ac:dyDescent="0.25"/>
    <row r="1046327" x14ac:dyDescent="0.25"/>
    <row r="1046328" x14ac:dyDescent="0.25"/>
    <row r="1046329" x14ac:dyDescent="0.25"/>
    <row r="1046330" x14ac:dyDescent="0.25"/>
    <row r="1046331" x14ac:dyDescent="0.25"/>
    <row r="1046332" x14ac:dyDescent="0.25"/>
    <row r="1046333" x14ac:dyDescent="0.25"/>
    <row r="1046334" x14ac:dyDescent="0.25"/>
    <row r="1046335" x14ac:dyDescent="0.25"/>
    <row r="1046336" x14ac:dyDescent="0.25"/>
    <row r="1046337" x14ac:dyDescent="0.25"/>
    <row r="1046338" x14ac:dyDescent="0.25"/>
    <row r="1046339" x14ac:dyDescent="0.25"/>
    <row r="1046340" x14ac:dyDescent="0.25"/>
    <row r="1046341" x14ac:dyDescent="0.25"/>
    <row r="1046342" x14ac:dyDescent="0.25"/>
    <row r="1046343" x14ac:dyDescent="0.25"/>
    <row r="1046344" x14ac:dyDescent="0.25"/>
    <row r="1046345" x14ac:dyDescent="0.25"/>
    <row r="1046346" x14ac:dyDescent="0.25"/>
    <row r="1046347" x14ac:dyDescent="0.25"/>
    <row r="1046348" x14ac:dyDescent="0.25"/>
    <row r="1046349" x14ac:dyDescent="0.25"/>
    <row r="1046350" x14ac:dyDescent="0.25"/>
    <row r="1046351" x14ac:dyDescent="0.25"/>
    <row r="1046352" x14ac:dyDescent="0.25"/>
    <row r="1046353" x14ac:dyDescent="0.25"/>
    <row r="1046354" x14ac:dyDescent="0.25"/>
    <row r="1046355" x14ac:dyDescent="0.25"/>
    <row r="1046356" x14ac:dyDescent="0.25"/>
    <row r="1046357" x14ac:dyDescent="0.25"/>
    <row r="1046358" x14ac:dyDescent="0.25"/>
    <row r="1046359" x14ac:dyDescent="0.25"/>
    <row r="1046360" x14ac:dyDescent="0.25"/>
    <row r="1046361" x14ac:dyDescent="0.25"/>
    <row r="1046362" x14ac:dyDescent="0.25"/>
    <row r="1046363" x14ac:dyDescent="0.25"/>
    <row r="1046364" x14ac:dyDescent="0.25"/>
    <row r="1046365" x14ac:dyDescent="0.25"/>
    <row r="1046366" x14ac:dyDescent="0.25"/>
    <row r="1046367" x14ac:dyDescent="0.25"/>
    <row r="1046368" x14ac:dyDescent="0.25"/>
    <row r="1046369" x14ac:dyDescent="0.25"/>
    <row r="1046370" x14ac:dyDescent="0.25"/>
    <row r="1046371" x14ac:dyDescent="0.25"/>
    <row r="1046372" x14ac:dyDescent="0.25"/>
    <row r="1046373" x14ac:dyDescent="0.25"/>
    <row r="1046374" x14ac:dyDescent="0.25"/>
    <row r="1046375" x14ac:dyDescent="0.25"/>
    <row r="1046376" x14ac:dyDescent="0.25"/>
    <row r="1046377" x14ac:dyDescent="0.25"/>
    <row r="1046378" x14ac:dyDescent="0.25"/>
    <row r="1046379" x14ac:dyDescent="0.25"/>
    <row r="1046380" x14ac:dyDescent="0.25"/>
    <row r="1046381" x14ac:dyDescent="0.25"/>
    <row r="1046382" x14ac:dyDescent="0.25"/>
    <row r="1046383" x14ac:dyDescent="0.25"/>
    <row r="1046384" x14ac:dyDescent="0.25"/>
    <row r="1046385" x14ac:dyDescent="0.25"/>
    <row r="1046386" x14ac:dyDescent="0.25"/>
    <row r="1046387" x14ac:dyDescent="0.25"/>
    <row r="1046388" x14ac:dyDescent="0.25"/>
    <row r="1046389" x14ac:dyDescent="0.25"/>
    <row r="1046390" x14ac:dyDescent="0.25"/>
    <row r="1046391" x14ac:dyDescent="0.25"/>
    <row r="1046392" x14ac:dyDescent="0.25"/>
    <row r="1046393" x14ac:dyDescent="0.25"/>
    <row r="1046394" x14ac:dyDescent="0.25"/>
    <row r="1046395" x14ac:dyDescent="0.25"/>
    <row r="1046396" x14ac:dyDescent="0.25"/>
    <row r="1046397" x14ac:dyDescent="0.25"/>
    <row r="1046398" x14ac:dyDescent="0.25"/>
    <row r="1046399" x14ac:dyDescent="0.25"/>
    <row r="1046400" x14ac:dyDescent="0.25"/>
    <row r="1046401" x14ac:dyDescent="0.25"/>
    <row r="1046402" x14ac:dyDescent="0.25"/>
    <row r="1046403" x14ac:dyDescent="0.25"/>
    <row r="1046404" x14ac:dyDescent="0.25"/>
    <row r="1046405" x14ac:dyDescent="0.25"/>
    <row r="1046406" x14ac:dyDescent="0.25"/>
    <row r="1046407" x14ac:dyDescent="0.25"/>
    <row r="1046408" x14ac:dyDescent="0.25"/>
    <row r="1046409" x14ac:dyDescent="0.25"/>
    <row r="1046410" x14ac:dyDescent="0.25"/>
    <row r="1046411" x14ac:dyDescent="0.25"/>
    <row r="1046412" x14ac:dyDescent="0.25"/>
    <row r="1046413" x14ac:dyDescent="0.25"/>
    <row r="1046414" x14ac:dyDescent="0.25"/>
    <row r="1046415" x14ac:dyDescent="0.25"/>
    <row r="1046416" x14ac:dyDescent="0.25"/>
    <row r="1046417" x14ac:dyDescent="0.25"/>
    <row r="1046418" x14ac:dyDescent="0.25"/>
    <row r="1046419" x14ac:dyDescent="0.25"/>
    <row r="1046420" x14ac:dyDescent="0.25"/>
    <row r="1046421" x14ac:dyDescent="0.25"/>
    <row r="1046422" x14ac:dyDescent="0.25"/>
    <row r="1046423" x14ac:dyDescent="0.25"/>
    <row r="1046424" x14ac:dyDescent="0.25"/>
    <row r="1046425" x14ac:dyDescent="0.25"/>
    <row r="1046426" x14ac:dyDescent="0.25"/>
    <row r="1046427" x14ac:dyDescent="0.25"/>
    <row r="1046428" x14ac:dyDescent="0.25"/>
    <row r="1046429" x14ac:dyDescent="0.25"/>
    <row r="1046430" x14ac:dyDescent="0.25"/>
    <row r="1046431" x14ac:dyDescent="0.25"/>
    <row r="1046432" x14ac:dyDescent="0.25"/>
    <row r="1046433" x14ac:dyDescent="0.25"/>
    <row r="1046434" x14ac:dyDescent="0.25"/>
    <row r="1046435" x14ac:dyDescent="0.25"/>
    <row r="1046436" x14ac:dyDescent="0.25"/>
    <row r="1046437" x14ac:dyDescent="0.25"/>
    <row r="1046438" x14ac:dyDescent="0.25"/>
    <row r="1046439" x14ac:dyDescent="0.25"/>
    <row r="1046440" x14ac:dyDescent="0.25"/>
    <row r="1046441" x14ac:dyDescent="0.25"/>
    <row r="1046442" x14ac:dyDescent="0.25"/>
    <row r="1046443" x14ac:dyDescent="0.25"/>
    <row r="1046444" x14ac:dyDescent="0.25"/>
    <row r="1046445" x14ac:dyDescent="0.25"/>
    <row r="1046446" x14ac:dyDescent="0.25"/>
    <row r="1046447" x14ac:dyDescent="0.25"/>
    <row r="1046448" x14ac:dyDescent="0.25"/>
    <row r="1046449" x14ac:dyDescent="0.25"/>
    <row r="1046450" x14ac:dyDescent="0.25"/>
    <row r="1046451" x14ac:dyDescent="0.25"/>
    <row r="1046452" x14ac:dyDescent="0.25"/>
    <row r="1046453" x14ac:dyDescent="0.25"/>
    <row r="1046454" x14ac:dyDescent="0.25"/>
    <row r="1046455" x14ac:dyDescent="0.25"/>
    <row r="1046456" x14ac:dyDescent="0.25"/>
    <row r="1046457" x14ac:dyDescent="0.25"/>
    <row r="1046458" x14ac:dyDescent="0.25"/>
    <row r="1046459" x14ac:dyDescent="0.25"/>
    <row r="1046460" x14ac:dyDescent="0.25"/>
    <row r="1046461" x14ac:dyDescent="0.25"/>
    <row r="1046462" x14ac:dyDescent="0.25"/>
    <row r="1046463" x14ac:dyDescent="0.25"/>
    <row r="1046464" x14ac:dyDescent="0.25"/>
    <row r="1046465" x14ac:dyDescent="0.25"/>
    <row r="1046466" x14ac:dyDescent="0.25"/>
    <row r="1046467" x14ac:dyDescent="0.25"/>
    <row r="1046468" x14ac:dyDescent="0.25"/>
    <row r="1046469" x14ac:dyDescent="0.25"/>
    <row r="1046470" x14ac:dyDescent="0.25"/>
    <row r="1046471" x14ac:dyDescent="0.25"/>
    <row r="1046472" x14ac:dyDescent="0.25"/>
    <row r="1046473" x14ac:dyDescent="0.25"/>
    <row r="1046474" x14ac:dyDescent="0.25"/>
    <row r="1046475" x14ac:dyDescent="0.25"/>
    <row r="1046476" x14ac:dyDescent="0.25"/>
    <row r="1046477" x14ac:dyDescent="0.25"/>
    <row r="1046478" x14ac:dyDescent="0.25"/>
    <row r="1046479" x14ac:dyDescent="0.25"/>
    <row r="1046480" x14ac:dyDescent="0.25"/>
    <row r="1046481" x14ac:dyDescent="0.25"/>
    <row r="1046482" x14ac:dyDescent="0.25"/>
    <row r="1046483" x14ac:dyDescent="0.25"/>
    <row r="1046484" x14ac:dyDescent="0.25"/>
    <row r="1046485" x14ac:dyDescent="0.25"/>
    <row r="1046486" x14ac:dyDescent="0.25"/>
    <row r="1046487" x14ac:dyDescent="0.25"/>
    <row r="1046488" x14ac:dyDescent="0.25"/>
    <row r="1046489" x14ac:dyDescent="0.25"/>
    <row r="1046490" x14ac:dyDescent="0.25"/>
    <row r="1046491" x14ac:dyDescent="0.25"/>
    <row r="1046492" x14ac:dyDescent="0.25"/>
    <row r="1046493" x14ac:dyDescent="0.25"/>
    <row r="1046494" x14ac:dyDescent="0.25"/>
    <row r="1046495" x14ac:dyDescent="0.25"/>
    <row r="1046496" x14ac:dyDescent="0.25"/>
    <row r="1046497" x14ac:dyDescent="0.25"/>
    <row r="1046498" x14ac:dyDescent="0.25"/>
    <row r="1046499" x14ac:dyDescent="0.25"/>
    <row r="1046500" x14ac:dyDescent="0.25"/>
    <row r="1046501" x14ac:dyDescent="0.25"/>
    <row r="1046502" x14ac:dyDescent="0.25"/>
    <row r="1046503" x14ac:dyDescent="0.25"/>
    <row r="1046504" x14ac:dyDescent="0.25"/>
    <row r="1046505" x14ac:dyDescent="0.25"/>
    <row r="1046506" x14ac:dyDescent="0.25"/>
    <row r="1046507" x14ac:dyDescent="0.25"/>
    <row r="1046508" x14ac:dyDescent="0.25"/>
    <row r="1046509" x14ac:dyDescent="0.25"/>
    <row r="1046510" x14ac:dyDescent="0.25"/>
    <row r="1046511" x14ac:dyDescent="0.25"/>
    <row r="1046512" x14ac:dyDescent="0.25"/>
    <row r="1046513" x14ac:dyDescent="0.25"/>
    <row r="1046514" x14ac:dyDescent="0.25"/>
    <row r="1046515" x14ac:dyDescent="0.25"/>
    <row r="1046516" x14ac:dyDescent="0.25"/>
    <row r="1046517" x14ac:dyDescent="0.25"/>
    <row r="1046518" x14ac:dyDescent="0.25"/>
    <row r="1046519" x14ac:dyDescent="0.25"/>
    <row r="1046520" x14ac:dyDescent="0.25"/>
    <row r="1046521" x14ac:dyDescent="0.25"/>
    <row r="1046522" x14ac:dyDescent="0.25"/>
    <row r="1046523" x14ac:dyDescent="0.25"/>
    <row r="1046524" x14ac:dyDescent="0.25"/>
    <row r="1046525" x14ac:dyDescent="0.25"/>
    <row r="1046526" x14ac:dyDescent="0.25"/>
    <row r="1046527" x14ac:dyDescent="0.25"/>
    <row r="1046528" x14ac:dyDescent="0.25"/>
    <row r="1046529" x14ac:dyDescent="0.25"/>
    <row r="1046530" x14ac:dyDescent="0.25"/>
    <row r="1046531" x14ac:dyDescent="0.25"/>
    <row r="1046532" x14ac:dyDescent="0.25"/>
    <row r="1046533" x14ac:dyDescent="0.25"/>
    <row r="1046534" x14ac:dyDescent="0.25"/>
    <row r="1046535" x14ac:dyDescent="0.25"/>
    <row r="1046536" x14ac:dyDescent="0.25"/>
    <row r="1046537" x14ac:dyDescent="0.25"/>
    <row r="1046538" x14ac:dyDescent="0.25"/>
    <row r="1046539" x14ac:dyDescent="0.25"/>
    <row r="1046540" x14ac:dyDescent="0.25"/>
    <row r="1046541" x14ac:dyDescent="0.25"/>
    <row r="1046542" x14ac:dyDescent="0.25"/>
    <row r="1046543" x14ac:dyDescent="0.25"/>
    <row r="1046544" x14ac:dyDescent="0.25"/>
    <row r="1046545" x14ac:dyDescent="0.25"/>
    <row r="1046546" x14ac:dyDescent="0.25"/>
    <row r="1046547" x14ac:dyDescent="0.25"/>
    <row r="1046548" x14ac:dyDescent="0.25"/>
    <row r="1046549" x14ac:dyDescent="0.25"/>
    <row r="1046550" x14ac:dyDescent="0.25"/>
    <row r="1046551" x14ac:dyDescent="0.25"/>
    <row r="1046552" x14ac:dyDescent="0.25"/>
    <row r="1046553" x14ac:dyDescent="0.25"/>
    <row r="1046554" x14ac:dyDescent="0.25"/>
    <row r="1046555" x14ac:dyDescent="0.25"/>
    <row r="1046556" x14ac:dyDescent="0.25"/>
    <row r="1046557" x14ac:dyDescent="0.25"/>
    <row r="1046558" x14ac:dyDescent="0.25"/>
    <row r="1046559" x14ac:dyDescent="0.25"/>
    <row r="1046560" x14ac:dyDescent="0.25"/>
    <row r="1046561" x14ac:dyDescent="0.25"/>
    <row r="1046562" x14ac:dyDescent="0.25"/>
    <row r="1046563" x14ac:dyDescent="0.25"/>
    <row r="1046564" x14ac:dyDescent="0.25"/>
    <row r="1046565" x14ac:dyDescent="0.25"/>
    <row r="1046566" x14ac:dyDescent="0.25"/>
    <row r="1046567" x14ac:dyDescent="0.25"/>
    <row r="1046568" x14ac:dyDescent="0.25"/>
    <row r="1046569" x14ac:dyDescent="0.25"/>
    <row r="1046570" x14ac:dyDescent="0.25"/>
    <row r="1046571" x14ac:dyDescent="0.25"/>
    <row r="1046572" x14ac:dyDescent="0.25"/>
    <row r="1046573" x14ac:dyDescent="0.25"/>
    <row r="1046574" x14ac:dyDescent="0.25"/>
    <row r="1046575" x14ac:dyDescent="0.25"/>
    <row r="1046576" x14ac:dyDescent="0.25"/>
    <row r="1046577" x14ac:dyDescent="0.25"/>
    <row r="1046578" x14ac:dyDescent="0.25"/>
    <row r="1046579" x14ac:dyDescent="0.25"/>
    <row r="1046580" x14ac:dyDescent="0.25"/>
    <row r="1046581" x14ac:dyDescent="0.25"/>
    <row r="1046582" x14ac:dyDescent="0.25"/>
    <row r="1046583" x14ac:dyDescent="0.25"/>
    <row r="1046584" x14ac:dyDescent="0.25"/>
    <row r="1046585" x14ac:dyDescent="0.25"/>
    <row r="1046586" x14ac:dyDescent="0.25"/>
    <row r="1046587" x14ac:dyDescent="0.25"/>
    <row r="1046588" x14ac:dyDescent="0.25"/>
    <row r="1046589" x14ac:dyDescent="0.25"/>
    <row r="1046590" x14ac:dyDescent="0.25"/>
    <row r="1046591" x14ac:dyDescent="0.25"/>
    <row r="1046592" x14ac:dyDescent="0.25"/>
    <row r="1046593" x14ac:dyDescent="0.25"/>
    <row r="1046594" x14ac:dyDescent="0.25"/>
    <row r="1046595" x14ac:dyDescent="0.25"/>
    <row r="1046596" x14ac:dyDescent="0.25"/>
    <row r="1046597" x14ac:dyDescent="0.25"/>
    <row r="1046598" x14ac:dyDescent="0.25"/>
    <row r="1046599" x14ac:dyDescent="0.25"/>
    <row r="1046600" x14ac:dyDescent="0.25"/>
    <row r="1046601" x14ac:dyDescent="0.25"/>
    <row r="1046602" x14ac:dyDescent="0.25"/>
    <row r="1046603" x14ac:dyDescent="0.25"/>
    <row r="1046604" x14ac:dyDescent="0.25"/>
    <row r="1046605" x14ac:dyDescent="0.25"/>
    <row r="1046606" x14ac:dyDescent="0.25"/>
    <row r="1046607" x14ac:dyDescent="0.25"/>
    <row r="1046608" x14ac:dyDescent="0.25"/>
    <row r="1046609" x14ac:dyDescent="0.25"/>
    <row r="1046610" x14ac:dyDescent="0.25"/>
    <row r="1046611" x14ac:dyDescent="0.25"/>
    <row r="1046612" x14ac:dyDescent="0.25"/>
    <row r="1046613" x14ac:dyDescent="0.25"/>
    <row r="1046614" x14ac:dyDescent="0.25"/>
    <row r="1046615" x14ac:dyDescent="0.25"/>
    <row r="1046616" x14ac:dyDescent="0.25"/>
    <row r="1046617" x14ac:dyDescent="0.25"/>
    <row r="1046618" x14ac:dyDescent="0.25"/>
    <row r="1046619" x14ac:dyDescent="0.25"/>
    <row r="1046620" x14ac:dyDescent="0.25"/>
    <row r="1046621" x14ac:dyDescent="0.25"/>
    <row r="1046622" x14ac:dyDescent="0.25"/>
    <row r="1046623" x14ac:dyDescent="0.25"/>
    <row r="1046624" x14ac:dyDescent="0.25"/>
    <row r="1046625" x14ac:dyDescent="0.25"/>
    <row r="1046626" x14ac:dyDescent="0.25"/>
    <row r="1046627" x14ac:dyDescent="0.25"/>
    <row r="1046628" x14ac:dyDescent="0.25"/>
    <row r="1046629" x14ac:dyDescent="0.25"/>
    <row r="1046630" x14ac:dyDescent="0.25"/>
    <row r="1046631" x14ac:dyDescent="0.25"/>
    <row r="1046632" x14ac:dyDescent="0.25"/>
    <row r="1046633" x14ac:dyDescent="0.25"/>
    <row r="1046634" x14ac:dyDescent="0.25"/>
    <row r="1046635" x14ac:dyDescent="0.25"/>
    <row r="1046636" x14ac:dyDescent="0.25"/>
    <row r="1046637" x14ac:dyDescent="0.25"/>
    <row r="1046638" x14ac:dyDescent="0.25"/>
    <row r="1046639" x14ac:dyDescent="0.25"/>
    <row r="1046640" x14ac:dyDescent="0.25"/>
    <row r="1046641" x14ac:dyDescent="0.25"/>
    <row r="1046642" x14ac:dyDescent="0.25"/>
    <row r="1046643" x14ac:dyDescent="0.25"/>
    <row r="1046644" x14ac:dyDescent="0.25"/>
    <row r="1046645" x14ac:dyDescent="0.25"/>
    <row r="1046646" x14ac:dyDescent="0.25"/>
    <row r="1046647" x14ac:dyDescent="0.25"/>
    <row r="1046648" x14ac:dyDescent="0.25"/>
    <row r="1046649" x14ac:dyDescent="0.25"/>
    <row r="1046650" x14ac:dyDescent="0.25"/>
    <row r="1046651" x14ac:dyDescent="0.25"/>
    <row r="1046652" x14ac:dyDescent="0.25"/>
    <row r="1046653" x14ac:dyDescent="0.25"/>
    <row r="1046654" x14ac:dyDescent="0.25"/>
    <row r="1046655" x14ac:dyDescent="0.25"/>
    <row r="1046656" x14ac:dyDescent="0.25"/>
    <row r="1046657" x14ac:dyDescent="0.25"/>
    <row r="1046658" x14ac:dyDescent="0.25"/>
    <row r="1046659" x14ac:dyDescent="0.25"/>
    <row r="1046660" x14ac:dyDescent="0.25"/>
    <row r="1046661" x14ac:dyDescent="0.25"/>
    <row r="1046662" x14ac:dyDescent="0.25"/>
    <row r="1046663" x14ac:dyDescent="0.25"/>
    <row r="1046664" x14ac:dyDescent="0.25"/>
    <row r="1046665" x14ac:dyDescent="0.25"/>
    <row r="1046666" x14ac:dyDescent="0.25"/>
    <row r="1046667" x14ac:dyDescent="0.25"/>
    <row r="1046668" x14ac:dyDescent="0.25"/>
    <row r="1046669" x14ac:dyDescent="0.25"/>
    <row r="1046670" x14ac:dyDescent="0.25"/>
    <row r="1046671" x14ac:dyDescent="0.25"/>
    <row r="1046672" x14ac:dyDescent="0.25"/>
    <row r="1046673" x14ac:dyDescent="0.25"/>
    <row r="1046674" x14ac:dyDescent="0.25"/>
    <row r="1046675" x14ac:dyDescent="0.25"/>
    <row r="1046676" x14ac:dyDescent="0.25"/>
    <row r="1046677" x14ac:dyDescent="0.25"/>
    <row r="1046678" x14ac:dyDescent="0.25"/>
    <row r="1046679" x14ac:dyDescent="0.25"/>
    <row r="1046680" x14ac:dyDescent="0.25"/>
    <row r="1046681" x14ac:dyDescent="0.25"/>
    <row r="1046682" x14ac:dyDescent="0.25"/>
    <row r="1046683" x14ac:dyDescent="0.25"/>
    <row r="1046684" x14ac:dyDescent="0.25"/>
    <row r="1046685" x14ac:dyDescent="0.25"/>
    <row r="1046686" x14ac:dyDescent="0.25"/>
    <row r="1046687" x14ac:dyDescent="0.25"/>
    <row r="1046688" x14ac:dyDescent="0.25"/>
    <row r="1046689" x14ac:dyDescent="0.25"/>
    <row r="1046690" x14ac:dyDescent="0.25"/>
    <row r="1046691" x14ac:dyDescent="0.25"/>
    <row r="1046692" x14ac:dyDescent="0.25"/>
    <row r="1046693" x14ac:dyDescent="0.25"/>
    <row r="1046694" x14ac:dyDescent="0.25"/>
    <row r="1046695" x14ac:dyDescent="0.25"/>
    <row r="1046696" x14ac:dyDescent="0.25"/>
    <row r="1046697" x14ac:dyDescent="0.25"/>
    <row r="1046698" x14ac:dyDescent="0.25"/>
    <row r="1046699" x14ac:dyDescent="0.25"/>
    <row r="1046700" x14ac:dyDescent="0.25"/>
    <row r="1046701" x14ac:dyDescent="0.25"/>
    <row r="1046702" x14ac:dyDescent="0.25"/>
    <row r="1046703" x14ac:dyDescent="0.25"/>
    <row r="1046704" x14ac:dyDescent="0.25"/>
    <row r="1046705" x14ac:dyDescent="0.25"/>
    <row r="1046706" x14ac:dyDescent="0.25"/>
    <row r="1046707" x14ac:dyDescent="0.25"/>
    <row r="1046708" x14ac:dyDescent="0.25"/>
    <row r="1046709" x14ac:dyDescent="0.25"/>
    <row r="1046710" x14ac:dyDescent="0.25"/>
    <row r="1046711" x14ac:dyDescent="0.25"/>
    <row r="1046712" x14ac:dyDescent="0.25"/>
    <row r="1046713" x14ac:dyDescent="0.25"/>
    <row r="1046714" x14ac:dyDescent="0.25"/>
    <row r="1046715" x14ac:dyDescent="0.25"/>
    <row r="1046716" x14ac:dyDescent="0.25"/>
    <row r="1046717" x14ac:dyDescent="0.25"/>
    <row r="1046718" x14ac:dyDescent="0.25"/>
    <row r="1046719" x14ac:dyDescent="0.25"/>
    <row r="1046720" x14ac:dyDescent="0.25"/>
    <row r="1046721" x14ac:dyDescent="0.25"/>
    <row r="1046722" x14ac:dyDescent="0.25"/>
    <row r="1046723" x14ac:dyDescent="0.25"/>
    <row r="1046724" x14ac:dyDescent="0.25"/>
    <row r="1046725" x14ac:dyDescent="0.25"/>
    <row r="1046726" x14ac:dyDescent="0.25"/>
    <row r="1046727" x14ac:dyDescent="0.25"/>
    <row r="1046728" x14ac:dyDescent="0.25"/>
    <row r="1046729" x14ac:dyDescent="0.25"/>
    <row r="1046730" x14ac:dyDescent="0.25"/>
    <row r="1046731" x14ac:dyDescent="0.25"/>
    <row r="1046732" x14ac:dyDescent="0.25"/>
    <row r="1046733" x14ac:dyDescent="0.25"/>
    <row r="1046734" x14ac:dyDescent="0.25"/>
    <row r="1046735" x14ac:dyDescent="0.25"/>
    <row r="1046736" x14ac:dyDescent="0.25"/>
    <row r="1046737" x14ac:dyDescent="0.25"/>
    <row r="1046738" x14ac:dyDescent="0.25"/>
    <row r="1046739" x14ac:dyDescent="0.25"/>
    <row r="1046740" x14ac:dyDescent="0.25"/>
    <row r="1046741" x14ac:dyDescent="0.25"/>
    <row r="1046742" x14ac:dyDescent="0.25"/>
    <row r="1046743" x14ac:dyDescent="0.25"/>
    <row r="1046744" x14ac:dyDescent="0.25"/>
    <row r="1046745" x14ac:dyDescent="0.25"/>
    <row r="1046746" x14ac:dyDescent="0.25"/>
    <row r="1046747" x14ac:dyDescent="0.25"/>
    <row r="1046748" x14ac:dyDescent="0.25"/>
    <row r="1046749" x14ac:dyDescent="0.25"/>
    <row r="1046750" x14ac:dyDescent="0.25"/>
    <row r="1046751" x14ac:dyDescent="0.25"/>
    <row r="1046752" x14ac:dyDescent="0.25"/>
    <row r="1046753" x14ac:dyDescent="0.25"/>
    <row r="1046754" x14ac:dyDescent="0.25"/>
    <row r="1046755" x14ac:dyDescent="0.25"/>
    <row r="1046756" x14ac:dyDescent="0.25"/>
    <row r="1046757" x14ac:dyDescent="0.25"/>
    <row r="1046758" x14ac:dyDescent="0.25"/>
    <row r="1046759" x14ac:dyDescent="0.25"/>
    <row r="1046760" x14ac:dyDescent="0.25"/>
    <row r="1046761" x14ac:dyDescent="0.25"/>
    <row r="1046762" x14ac:dyDescent="0.25"/>
    <row r="1046763" x14ac:dyDescent="0.25"/>
    <row r="1046764" x14ac:dyDescent="0.25"/>
    <row r="1046765" x14ac:dyDescent="0.25"/>
    <row r="1046766" x14ac:dyDescent="0.25"/>
    <row r="1046767" x14ac:dyDescent="0.25"/>
    <row r="1046768" x14ac:dyDescent="0.25"/>
    <row r="1046769" x14ac:dyDescent="0.25"/>
    <row r="1046770" x14ac:dyDescent="0.25"/>
    <row r="1046771" x14ac:dyDescent="0.25"/>
    <row r="1046772" x14ac:dyDescent="0.25"/>
    <row r="1046773" x14ac:dyDescent="0.25"/>
    <row r="1046774" x14ac:dyDescent="0.25"/>
    <row r="1046775" x14ac:dyDescent="0.25"/>
    <row r="1046776" x14ac:dyDescent="0.25"/>
    <row r="1046777" x14ac:dyDescent="0.25"/>
    <row r="1046778" x14ac:dyDescent="0.25"/>
    <row r="1046779" x14ac:dyDescent="0.25"/>
    <row r="1046780" x14ac:dyDescent="0.25"/>
    <row r="1046781" x14ac:dyDescent="0.25"/>
    <row r="1046782" x14ac:dyDescent="0.25"/>
    <row r="1046783" x14ac:dyDescent="0.25"/>
    <row r="1046784" x14ac:dyDescent="0.25"/>
    <row r="1046785" x14ac:dyDescent="0.25"/>
    <row r="1046786" x14ac:dyDescent="0.25"/>
    <row r="1046787" x14ac:dyDescent="0.25"/>
    <row r="1046788" x14ac:dyDescent="0.25"/>
    <row r="1046789" x14ac:dyDescent="0.25"/>
    <row r="1046790" x14ac:dyDescent="0.25"/>
    <row r="1046791" x14ac:dyDescent="0.25"/>
    <row r="1046792" x14ac:dyDescent="0.25"/>
    <row r="1046793" x14ac:dyDescent="0.25"/>
    <row r="1046794" x14ac:dyDescent="0.25"/>
    <row r="1046795" x14ac:dyDescent="0.25"/>
    <row r="1046796" x14ac:dyDescent="0.25"/>
    <row r="1046797" x14ac:dyDescent="0.25"/>
    <row r="1046798" x14ac:dyDescent="0.25"/>
    <row r="1046799" x14ac:dyDescent="0.25"/>
    <row r="1046800" x14ac:dyDescent="0.25"/>
    <row r="1046801" x14ac:dyDescent="0.25"/>
    <row r="1046802" x14ac:dyDescent="0.25"/>
    <row r="1046803" x14ac:dyDescent="0.25"/>
    <row r="1046804" x14ac:dyDescent="0.25"/>
    <row r="1046805" x14ac:dyDescent="0.25"/>
    <row r="1046806" x14ac:dyDescent="0.25"/>
    <row r="1046807" x14ac:dyDescent="0.25"/>
    <row r="1046808" x14ac:dyDescent="0.25"/>
    <row r="1046809" x14ac:dyDescent="0.25"/>
    <row r="1046810" x14ac:dyDescent="0.25"/>
    <row r="1046811" x14ac:dyDescent="0.25"/>
    <row r="1046812" x14ac:dyDescent="0.25"/>
    <row r="1046813" x14ac:dyDescent="0.25"/>
    <row r="1046814" x14ac:dyDescent="0.25"/>
    <row r="1046815" x14ac:dyDescent="0.25"/>
    <row r="1046816" x14ac:dyDescent="0.25"/>
    <row r="1046817" x14ac:dyDescent="0.25"/>
    <row r="1046818" x14ac:dyDescent="0.25"/>
    <row r="1046819" x14ac:dyDescent="0.25"/>
    <row r="1046820" x14ac:dyDescent="0.25"/>
    <row r="1046821" x14ac:dyDescent="0.25"/>
    <row r="1046822" x14ac:dyDescent="0.25"/>
    <row r="1046823" x14ac:dyDescent="0.25"/>
    <row r="1046824" x14ac:dyDescent="0.25"/>
    <row r="1046825" x14ac:dyDescent="0.25"/>
    <row r="1046826" x14ac:dyDescent="0.25"/>
    <row r="1046827" x14ac:dyDescent="0.25"/>
    <row r="1046828" x14ac:dyDescent="0.25"/>
    <row r="1046829" x14ac:dyDescent="0.25"/>
    <row r="1046830" x14ac:dyDescent="0.25"/>
    <row r="1046831" x14ac:dyDescent="0.25"/>
    <row r="1046832" x14ac:dyDescent="0.25"/>
    <row r="1046833" x14ac:dyDescent="0.25"/>
    <row r="1046834" x14ac:dyDescent="0.25"/>
    <row r="1046835" x14ac:dyDescent="0.25"/>
    <row r="1046836" x14ac:dyDescent="0.25"/>
    <row r="1046837" x14ac:dyDescent="0.25"/>
    <row r="1046838" x14ac:dyDescent="0.25"/>
    <row r="1046839" x14ac:dyDescent="0.25"/>
    <row r="1046840" x14ac:dyDescent="0.25"/>
    <row r="1046841" x14ac:dyDescent="0.25"/>
    <row r="1046842" x14ac:dyDescent="0.25"/>
    <row r="1046843" x14ac:dyDescent="0.25"/>
    <row r="1046844" x14ac:dyDescent="0.25"/>
    <row r="1046845" x14ac:dyDescent="0.25"/>
    <row r="1046846" x14ac:dyDescent="0.25"/>
    <row r="1046847" x14ac:dyDescent="0.25"/>
    <row r="1046848" x14ac:dyDescent="0.25"/>
    <row r="1046849" x14ac:dyDescent="0.25"/>
    <row r="1046850" x14ac:dyDescent="0.25"/>
    <row r="1046851" x14ac:dyDescent="0.25"/>
    <row r="1046852" x14ac:dyDescent="0.25"/>
    <row r="1046853" x14ac:dyDescent="0.25"/>
    <row r="1046854" x14ac:dyDescent="0.25"/>
    <row r="1046855" x14ac:dyDescent="0.25"/>
    <row r="1046856" x14ac:dyDescent="0.25"/>
    <row r="1046857" x14ac:dyDescent="0.25"/>
    <row r="1046858" x14ac:dyDescent="0.25"/>
    <row r="1046859" x14ac:dyDescent="0.25"/>
    <row r="1046860" x14ac:dyDescent="0.25"/>
    <row r="1046861" x14ac:dyDescent="0.25"/>
    <row r="1046862" x14ac:dyDescent="0.25"/>
    <row r="1046863" x14ac:dyDescent="0.25"/>
    <row r="1046864" x14ac:dyDescent="0.25"/>
    <row r="1046865" x14ac:dyDescent="0.25"/>
    <row r="1046866" x14ac:dyDescent="0.25"/>
    <row r="1046867" x14ac:dyDescent="0.25"/>
    <row r="1046868" x14ac:dyDescent="0.25"/>
    <row r="1046869" x14ac:dyDescent="0.25"/>
    <row r="1046870" x14ac:dyDescent="0.25"/>
    <row r="1046871" x14ac:dyDescent="0.25"/>
    <row r="1046872" x14ac:dyDescent="0.25"/>
    <row r="1046873" x14ac:dyDescent="0.25"/>
    <row r="1046874" x14ac:dyDescent="0.25"/>
    <row r="1046875" x14ac:dyDescent="0.25"/>
    <row r="1046876" x14ac:dyDescent="0.25"/>
    <row r="1046877" x14ac:dyDescent="0.25"/>
    <row r="1046878" x14ac:dyDescent="0.25"/>
    <row r="1046879" x14ac:dyDescent="0.25"/>
    <row r="1046880" x14ac:dyDescent="0.25"/>
    <row r="1046881" x14ac:dyDescent="0.25"/>
    <row r="1046882" x14ac:dyDescent="0.25"/>
    <row r="1046883" x14ac:dyDescent="0.25"/>
    <row r="1046884" x14ac:dyDescent="0.25"/>
    <row r="1046885" x14ac:dyDescent="0.25"/>
    <row r="1046886" x14ac:dyDescent="0.25"/>
    <row r="1046887" x14ac:dyDescent="0.25"/>
    <row r="1046888" x14ac:dyDescent="0.25"/>
    <row r="1046889" x14ac:dyDescent="0.25"/>
    <row r="1046890" x14ac:dyDescent="0.25"/>
    <row r="1046891" x14ac:dyDescent="0.25"/>
    <row r="1046892" x14ac:dyDescent="0.25"/>
    <row r="1046893" x14ac:dyDescent="0.25"/>
    <row r="1046894" x14ac:dyDescent="0.25"/>
    <row r="1046895" x14ac:dyDescent="0.25"/>
    <row r="1046896" x14ac:dyDescent="0.25"/>
    <row r="1046897" x14ac:dyDescent="0.25"/>
    <row r="1046898" x14ac:dyDescent="0.25"/>
    <row r="1046899" x14ac:dyDescent="0.25"/>
    <row r="1046900" x14ac:dyDescent="0.25"/>
    <row r="1046901" x14ac:dyDescent="0.25"/>
    <row r="1046902" x14ac:dyDescent="0.25"/>
    <row r="1046903" x14ac:dyDescent="0.25"/>
    <row r="1046904" x14ac:dyDescent="0.25"/>
    <row r="1046905" x14ac:dyDescent="0.25"/>
    <row r="1046906" x14ac:dyDescent="0.25"/>
    <row r="1046907" x14ac:dyDescent="0.25"/>
    <row r="1046908" x14ac:dyDescent="0.25"/>
    <row r="1046909" x14ac:dyDescent="0.25"/>
    <row r="1046910" x14ac:dyDescent="0.25"/>
    <row r="1046911" x14ac:dyDescent="0.25"/>
    <row r="1046912" x14ac:dyDescent="0.25"/>
    <row r="1046913" x14ac:dyDescent="0.25"/>
    <row r="1046914" x14ac:dyDescent="0.25"/>
    <row r="1046915" x14ac:dyDescent="0.25"/>
    <row r="1046916" x14ac:dyDescent="0.25"/>
    <row r="1046917" x14ac:dyDescent="0.25"/>
    <row r="1046918" x14ac:dyDescent="0.25"/>
    <row r="1046919" x14ac:dyDescent="0.25"/>
    <row r="1046920" x14ac:dyDescent="0.25"/>
    <row r="1046921" x14ac:dyDescent="0.25"/>
    <row r="1046922" x14ac:dyDescent="0.25"/>
    <row r="1046923" x14ac:dyDescent="0.25"/>
    <row r="1046924" x14ac:dyDescent="0.25"/>
    <row r="1046925" x14ac:dyDescent="0.25"/>
    <row r="1046926" x14ac:dyDescent="0.25"/>
    <row r="1046927" x14ac:dyDescent="0.25"/>
    <row r="1046928" x14ac:dyDescent="0.25"/>
    <row r="1046929" x14ac:dyDescent="0.25"/>
    <row r="1046930" x14ac:dyDescent="0.25"/>
    <row r="1046931" x14ac:dyDescent="0.25"/>
    <row r="1046932" x14ac:dyDescent="0.25"/>
    <row r="1046933" x14ac:dyDescent="0.25"/>
    <row r="1046934" x14ac:dyDescent="0.25"/>
    <row r="1046935" x14ac:dyDescent="0.25"/>
    <row r="1046936" x14ac:dyDescent="0.25"/>
    <row r="1046937" x14ac:dyDescent="0.25"/>
    <row r="1046938" x14ac:dyDescent="0.25"/>
    <row r="1046939" x14ac:dyDescent="0.25"/>
    <row r="1046940" x14ac:dyDescent="0.25"/>
    <row r="1046941" x14ac:dyDescent="0.25"/>
    <row r="1046942" x14ac:dyDescent="0.25"/>
    <row r="1046943" x14ac:dyDescent="0.25"/>
    <row r="1046944" x14ac:dyDescent="0.25"/>
    <row r="1046945" x14ac:dyDescent="0.25"/>
    <row r="1046946" x14ac:dyDescent="0.25"/>
    <row r="1046947" x14ac:dyDescent="0.25"/>
    <row r="1046948" x14ac:dyDescent="0.25"/>
    <row r="1046949" x14ac:dyDescent="0.25"/>
    <row r="1046950" x14ac:dyDescent="0.25"/>
    <row r="1046951" x14ac:dyDescent="0.25"/>
    <row r="1046952" x14ac:dyDescent="0.25"/>
    <row r="1046953" x14ac:dyDescent="0.25"/>
    <row r="1046954" x14ac:dyDescent="0.25"/>
    <row r="1046955" x14ac:dyDescent="0.25"/>
    <row r="1046956" x14ac:dyDescent="0.25"/>
    <row r="1046957" x14ac:dyDescent="0.25"/>
    <row r="1046958" x14ac:dyDescent="0.25"/>
    <row r="1046959" x14ac:dyDescent="0.25"/>
    <row r="1046960" x14ac:dyDescent="0.25"/>
    <row r="1046961" x14ac:dyDescent="0.25"/>
    <row r="1046962" x14ac:dyDescent="0.25"/>
    <row r="1046963" x14ac:dyDescent="0.25"/>
    <row r="1046964" x14ac:dyDescent="0.25"/>
    <row r="1046965" x14ac:dyDescent="0.25"/>
    <row r="1046966" x14ac:dyDescent="0.25"/>
    <row r="1046967" x14ac:dyDescent="0.25"/>
    <row r="1046968" x14ac:dyDescent="0.25"/>
    <row r="1046969" x14ac:dyDescent="0.25"/>
    <row r="1046970" x14ac:dyDescent="0.25"/>
    <row r="1046971" x14ac:dyDescent="0.25"/>
    <row r="1046972" x14ac:dyDescent="0.25"/>
    <row r="1046973" x14ac:dyDescent="0.25"/>
    <row r="1046974" x14ac:dyDescent="0.25"/>
    <row r="1046975" x14ac:dyDescent="0.25"/>
    <row r="1046976" x14ac:dyDescent="0.25"/>
    <row r="1046977" x14ac:dyDescent="0.25"/>
    <row r="1046978" x14ac:dyDescent="0.25"/>
    <row r="1046979" x14ac:dyDescent="0.25"/>
    <row r="1046980" x14ac:dyDescent="0.25"/>
    <row r="1046981" x14ac:dyDescent="0.25"/>
    <row r="1046982" x14ac:dyDescent="0.25"/>
    <row r="1046983" x14ac:dyDescent="0.25"/>
    <row r="1046984" x14ac:dyDescent="0.25"/>
    <row r="1046985" x14ac:dyDescent="0.25"/>
    <row r="1046986" x14ac:dyDescent="0.25"/>
    <row r="1046987" x14ac:dyDescent="0.25"/>
    <row r="1046988" x14ac:dyDescent="0.25"/>
    <row r="1046989" x14ac:dyDescent="0.25"/>
    <row r="1046990" x14ac:dyDescent="0.25"/>
    <row r="1046991" x14ac:dyDescent="0.25"/>
    <row r="1046992" x14ac:dyDescent="0.25"/>
    <row r="1046993" x14ac:dyDescent="0.25"/>
    <row r="1046994" x14ac:dyDescent="0.25"/>
    <row r="1046995" x14ac:dyDescent="0.25"/>
    <row r="1046996" x14ac:dyDescent="0.25"/>
    <row r="1046997" x14ac:dyDescent="0.25"/>
    <row r="1046998" x14ac:dyDescent="0.25"/>
    <row r="1046999" x14ac:dyDescent="0.25"/>
    <row r="1047000" x14ac:dyDescent="0.25"/>
    <row r="1047001" x14ac:dyDescent="0.25"/>
    <row r="1047002" x14ac:dyDescent="0.25"/>
    <row r="1047003" x14ac:dyDescent="0.25"/>
    <row r="1047004" x14ac:dyDescent="0.25"/>
    <row r="1047005" x14ac:dyDescent="0.25"/>
    <row r="1047006" x14ac:dyDescent="0.25"/>
    <row r="1047007" x14ac:dyDescent="0.25"/>
    <row r="1047008" x14ac:dyDescent="0.25"/>
    <row r="1047009" x14ac:dyDescent="0.25"/>
    <row r="1047010" x14ac:dyDescent="0.25"/>
    <row r="1047011" x14ac:dyDescent="0.25"/>
    <row r="1047012" x14ac:dyDescent="0.25"/>
    <row r="1047013" x14ac:dyDescent="0.25"/>
    <row r="1047014" x14ac:dyDescent="0.25"/>
    <row r="1047015" x14ac:dyDescent="0.25"/>
    <row r="1047016" x14ac:dyDescent="0.25"/>
    <row r="1047017" x14ac:dyDescent="0.25"/>
    <row r="1047018" x14ac:dyDescent="0.25"/>
    <row r="1047019" x14ac:dyDescent="0.25"/>
    <row r="1047020" x14ac:dyDescent="0.25"/>
    <row r="1047021" x14ac:dyDescent="0.25"/>
    <row r="1047022" x14ac:dyDescent="0.25"/>
    <row r="1047023" x14ac:dyDescent="0.25"/>
    <row r="1047024" x14ac:dyDescent="0.25"/>
    <row r="1047025" x14ac:dyDescent="0.25"/>
    <row r="1047026" x14ac:dyDescent="0.25"/>
    <row r="1047027" x14ac:dyDescent="0.25"/>
    <row r="1047028" x14ac:dyDescent="0.25"/>
    <row r="1047029" x14ac:dyDescent="0.25"/>
    <row r="1047030" x14ac:dyDescent="0.25"/>
    <row r="1047031" x14ac:dyDescent="0.25"/>
    <row r="1047032" x14ac:dyDescent="0.25"/>
    <row r="1047033" x14ac:dyDescent="0.25"/>
    <row r="1047034" x14ac:dyDescent="0.25"/>
    <row r="1047035" x14ac:dyDescent="0.25"/>
    <row r="1047036" x14ac:dyDescent="0.25"/>
    <row r="1047037" x14ac:dyDescent="0.25"/>
    <row r="1047038" x14ac:dyDescent="0.25"/>
    <row r="1047039" x14ac:dyDescent="0.25"/>
    <row r="1047040" x14ac:dyDescent="0.25"/>
    <row r="1047041" x14ac:dyDescent="0.25"/>
    <row r="1047042" x14ac:dyDescent="0.25"/>
    <row r="1047043" x14ac:dyDescent="0.25"/>
    <row r="1047044" x14ac:dyDescent="0.25"/>
    <row r="1047045" x14ac:dyDescent="0.25"/>
    <row r="1047046" x14ac:dyDescent="0.25"/>
    <row r="1047047" x14ac:dyDescent="0.25"/>
    <row r="1047048" x14ac:dyDescent="0.25"/>
    <row r="1047049" x14ac:dyDescent="0.25"/>
    <row r="1047050" x14ac:dyDescent="0.25"/>
    <row r="1047051" x14ac:dyDescent="0.25"/>
    <row r="1047052" x14ac:dyDescent="0.25"/>
    <row r="1047053" x14ac:dyDescent="0.25"/>
    <row r="1047054" x14ac:dyDescent="0.25"/>
    <row r="1047055" x14ac:dyDescent="0.25"/>
    <row r="1047056" x14ac:dyDescent="0.25"/>
    <row r="1047057" x14ac:dyDescent="0.25"/>
    <row r="1047058" x14ac:dyDescent="0.25"/>
    <row r="1047059" x14ac:dyDescent="0.25"/>
    <row r="1047060" x14ac:dyDescent="0.25"/>
    <row r="1047061" x14ac:dyDescent="0.25"/>
    <row r="1047062" x14ac:dyDescent="0.25"/>
    <row r="1047063" x14ac:dyDescent="0.25"/>
    <row r="1047064" x14ac:dyDescent="0.25"/>
    <row r="1047065" x14ac:dyDescent="0.25"/>
    <row r="1047066" x14ac:dyDescent="0.25"/>
    <row r="1047067" x14ac:dyDescent="0.25"/>
    <row r="1047068" x14ac:dyDescent="0.25"/>
    <row r="1047069" x14ac:dyDescent="0.25"/>
    <row r="1047070" x14ac:dyDescent="0.25"/>
    <row r="1047071" x14ac:dyDescent="0.25"/>
    <row r="1047072" x14ac:dyDescent="0.25"/>
    <row r="1047073" x14ac:dyDescent="0.25"/>
    <row r="1047074" x14ac:dyDescent="0.25"/>
    <row r="1047075" x14ac:dyDescent="0.25"/>
    <row r="1047076" x14ac:dyDescent="0.25"/>
    <row r="1047077" x14ac:dyDescent="0.25"/>
    <row r="1047078" x14ac:dyDescent="0.25"/>
    <row r="1047079" x14ac:dyDescent="0.25"/>
    <row r="1047080" x14ac:dyDescent="0.25"/>
    <row r="1047081" x14ac:dyDescent="0.25"/>
    <row r="1047082" x14ac:dyDescent="0.25"/>
    <row r="1047083" x14ac:dyDescent="0.25"/>
    <row r="1047084" x14ac:dyDescent="0.25"/>
    <row r="1047085" x14ac:dyDescent="0.25"/>
    <row r="1047086" x14ac:dyDescent="0.25"/>
    <row r="1047087" x14ac:dyDescent="0.25"/>
    <row r="1047088" x14ac:dyDescent="0.25"/>
    <row r="1047089" x14ac:dyDescent="0.25"/>
    <row r="1047090" x14ac:dyDescent="0.25"/>
    <row r="1047091" x14ac:dyDescent="0.25"/>
    <row r="1047092" x14ac:dyDescent="0.25"/>
    <row r="1047093" x14ac:dyDescent="0.25"/>
    <row r="1047094" x14ac:dyDescent="0.25"/>
    <row r="1047095" x14ac:dyDescent="0.25"/>
    <row r="1047096" x14ac:dyDescent="0.25"/>
    <row r="1047097" x14ac:dyDescent="0.25"/>
    <row r="1047098" x14ac:dyDescent="0.25"/>
    <row r="1047099" x14ac:dyDescent="0.25"/>
    <row r="1047100" x14ac:dyDescent="0.25"/>
    <row r="1047101" x14ac:dyDescent="0.25"/>
    <row r="1047102" x14ac:dyDescent="0.25"/>
    <row r="1047103" x14ac:dyDescent="0.25"/>
    <row r="1047104" x14ac:dyDescent="0.25"/>
    <row r="1047105" x14ac:dyDescent="0.25"/>
    <row r="1047106" x14ac:dyDescent="0.25"/>
    <row r="1047107" x14ac:dyDescent="0.25"/>
    <row r="1047108" x14ac:dyDescent="0.25"/>
    <row r="1047109" x14ac:dyDescent="0.25"/>
    <row r="1047110" x14ac:dyDescent="0.25"/>
    <row r="1047111" x14ac:dyDescent="0.25"/>
    <row r="1047112" x14ac:dyDescent="0.25"/>
    <row r="1047113" x14ac:dyDescent="0.25"/>
    <row r="1047114" x14ac:dyDescent="0.25"/>
    <row r="1047115" x14ac:dyDescent="0.25"/>
    <row r="1047116" x14ac:dyDescent="0.25"/>
    <row r="1047117" x14ac:dyDescent="0.25"/>
    <row r="1047118" x14ac:dyDescent="0.25"/>
    <row r="1047119" x14ac:dyDescent="0.25"/>
    <row r="1047120" x14ac:dyDescent="0.25"/>
    <row r="1047121" x14ac:dyDescent="0.25"/>
    <row r="1047122" x14ac:dyDescent="0.25"/>
    <row r="1047123" x14ac:dyDescent="0.25"/>
    <row r="1047124" x14ac:dyDescent="0.25"/>
    <row r="1047125" x14ac:dyDescent="0.25"/>
    <row r="1047126" x14ac:dyDescent="0.25"/>
    <row r="1047127" x14ac:dyDescent="0.25"/>
    <row r="1047128" x14ac:dyDescent="0.25"/>
    <row r="1047129" x14ac:dyDescent="0.25"/>
    <row r="1047130" x14ac:dyDescent="0.25"/>
    <row r="1047131" x14ac:dyDescent="0.25"/>
    <row r="1047132" x14ac:dyDescent="0.25"/>
    <row r="1047133" x14ac:dyDescent="0.25"/>
    <row r="1047134" x14ac:dyDescent="0.25"/>
    <row r="1047135" x14ac:dyDescent="0.25"/>
    <row r="1047136" x14ac:dyDescent="0.25"/>
    <row r="1047137" x14ac:dyDescent="0.25"/>
    <row r="1047138" x14ac:dyDescent="0.25"/>
    <row r="1047139" x14ac:dyDescent="0.25"/>
    <row r="1047140" x14ac:dyDescent="0.25"/>
    <row r="1047141" x14ac:dyDescent="0.25"/>
    <row r="1047142" x14ac:dyDescent="0.25"/>
    <row r="1047143" x14ac:dyDescent="0.25"/>
    <row r="1047144" x14ac:dyDescent="0.25"/>
    <row r="1047145" x14ac:dyDescent="0.25"/>
    <row r="1047146" x14ac:dyDescent="0.25"/>
    <row r="1047147" x14ac:dyDescent="0.25"/>
    <row r="1047148" x14ac:dyDescent="0.25"/>
    <row r="1047149" x14ac:dyDescent="0.25"/>
    <row r="1047150" x14ac:dyDescent="0.25"/>
    <row r="1047151" x14ac:dyDescent="0.25"/>
    <row r="1047152" x14ac:dyDescent="0.25"/>
    <row r="1047153" x14ac:dyDescent="0.25"/>
    <row r="1047154" x14ac:dyDescent="0.25"/>
    <row r="1047155" x14ac:dyDescent="0.25"/>
    <row r="1047156" x14ac:dyDescent="0.25"/>
    <row r="1047157" x14ac:dyDescent="0.25"/>
    <row r="1047158" x14ac:dyDescent="0.25"/>
    <row r="1047159" x14ac:dyDescent="0.25"/>
    <row r="1047160" x14ac:dyDescent="0.25"/>
    <row r="1047161" x14ac:dyDescent="0.25"/>
    <row r="1047162" x14ac:dyDescent="0.25"/>
    <row r="1047163" x14ac:dyDescent="0.25"/>
    <row r="1047164" x14ac:dyDescent="0.25"/>
    <row r="1047165" x14ac:dyDescent="0.25"/>
    <row r="1047166" x14ac:dyDescent="0.25"/>
    <row r="1047167" x14ac:dyDescent="0.25"/>
    <row r="1047168" x14ac:dyDescent="0.25"/>
    <row r="1047169" x14ac:dyDescent="0.25"/>
    <row r="1047170" x14ac:dyDescent="0.25"/>
    <row r="1047171" x14ac:dyDescent="0.25"/>
    <row r="1047172" x14ac:dyDescent="0.25"/>
    <row r="1047173" x14ac:dyDescent="0.25"/>
    <row r="1047174" x14ac:dyDescent="0.25"/>
    <row r="1047175" x14ac:dyDescent="0.25"/>
    <row r="1047176" x14ac:dyDescent="0.25"/>
    <row r="1047177" x14ac:dyDescent="0.25"/>
    <row r="1047178" x14ac:dyDescent="0.25"/>
    <row r="1047179" x14ac:dyDescent="0.25"/>
    <row r="1047180" x14ac:dyDescent="0.25"/>
    <row r="1047181" x14ac:dyDescent="0.25"/>
    <row r="1047182" x14ac:dyDescent="0.25"/>
    <row r="1047183" x14ac:dyDescent="0.25"/>
    <row r="1047184" x14ac:dyDescent="0.25"/>
    <row r="1047185" x14ac:dyDescent="0.25"/>
    <row r="1047186" x14ac:dyDescent="0.25"/>
    <row r="1047187" x14ac:dyDescent="0.25"/>
    <row r="1047188" x14ac:dyDescent="0.25"/>
    <row r="1047189" x14ac:dyDescent="0.25"/>
    <row r="1047190" x14ac:dyDescent="0.25"/>
    <row r="1047191" x14ac:dyDescent="0.25"/>
    <row r="1047192" x14ac:dyDescent="0.25"/>
    <row r="1047193" x14ac:dyDescent="0.25"/>
    <row r="1047194" x14ac:dyDescent="0.25"/>
    <row r="1047195" x14ac:dyDescent="0.25"/>
    <row r="1047196" x14ac:dyDescent="0.25"/>
    <row r="1047197" x14ac:dyDescent="0.25"/>
    <row r="1047198" x14ac:dyDescent="0.25"/>
    <row r="1047199" x14ac:dyDescent="0.25"/>
    <row r="1047200" x14ac:dyDescent="0.25"/>
    <row r="1047201" x14ac:dyDescent="0.25"/>
    <row r="1047202" x14ac:dyDescent="0.25"/>
    <row r="1047203" x14ac:dyDescent="0.25"/>
    <row r="1047204" x14ac:dyDescent="0.25"/>
    <row r="1047205" x14ac:dyDescent="0.25"/>
    <row r="1047206" x14ac:dyDescent="0.25"/>
    <row r="1047207" x14ac:dyDescent="0.25"/>
    <row r="1047208" x14ac:dyDescent="0.25"/>
    <row r="1047209" x14ac:dyDescent="0.25"/>
    <row r="1047210" x14ac:dyDescent="0.25"/>
    <row r="1047211" x14ac:dyDescent="0.25"/>
    <row r="1047212" x14ac:dyDescent="0.25"/>
    <row r="1047213" x14ac:dyDescent="0.25"/>
    <row r="1047214" x14ac:dyDescent="0.25"/>
    <row r="1047215" x14ac:dyDescent="0.25"/>
    <row r="1047216" x14ac:dyDescent="0.25"/>
    <row r="1047217" x14ac:dyDescent="0.25"/>
    <row r="1047218" x14ac:dyDescent="0.25"/>
    <row r="1047219" x14ac:dyDescent="0.25"/>
    <row r="1047220" x14ac:dyDescent="0.25"/>
    <row r="1047221" x14ac:dyDescent="0.25"/>
    <row r="1047222" x14ac:dyDescent="0.25"/>
    <row r="1047223" x14ac:dyDescent="0.25"/>
    <row r="1047224" x14ac:dyDescent="0.25"/>
    <row r="1047225" x14ac:dyDescent="0.25"/>
    <row r="1047226" x14ac:dyDescent="0.25"/>
    <row r="1047227" x14ac:dyDescent="0.25"/>
    <row r="1047228" x14ac:dyDescent="0.25"/>
    <row r="1047229" x14ac:dyDescent="0.25"/>
    <row r="1047230" x14ac:dyDescent="0.25"/>
    <row r="1047231" x14ac:dyDescent="0.25"/>
    <row r="1047232" x14ac:dyDescent="0.25"/>
    <row r="1047233" x14ac:dyDescent="0.25"/>
    <row r="1047234" x14ac:dyDescent="0.25"/>
    <row r="1047235" x14ac:dyDescent="0.25"/>
    <row r="1047236" x14ac:dyDescent="0.25"/>
    <row r="1047237" x14ac:dyDescent="0.25"/>
    <row r="1047238" x14ac:dyDescent="0.25"/>
    <row r="1047239" x14ac:dyDescent="0.25"/>
    <row r="1047240" x14ac:dyDescent="0.25"/>
    <row r="1047241" x14ac:dyDescent="0.25"/>
    <row r="1047242" x14ac:dyDescent="0.25"/>
    <row r="1047243" x14ac:dyDescent="0.25"/>
    <row r="1047244" x14ac:dyDescent="0.25"/>
    <row r="1047245" x14ac:dyDescent="0.25"/>
    <row r="1047246" x14ac:dyDescent="0.25"/>
    <row r="1047247" x14ac:dyDescent="0.25"/>
    <row r="1047248" x14ac:dyDescent="0.25"/>
    <row r="1047249" x14ac:dyDescent="0.25"/>
    <row r="1047250" x14ac:dyDescent="0.25"/>
    <row r="1047251" x14ac:dyDescent="0.25"/>
    <row r="1047252" x14ac:dyDescent="0.25"/>
    <row r="1047253" x14ac:dyDescent="0.25"/>
    <row r="1047254" x14ac:dyDescent="0.25"/>
    <row r="1047255" x14ac:dyDescent="0.25"/>
    <row r="1047256" x14ac:dyDescent="0.25"/>
    <row r="1047257" x14ac:dyDescent="0.25"/>
    <row r="1047258" x14ac:dyDescent="0.25"/>
    <row r="1047259" x14ac:dyDescent="0.25"/>
    <row r="1047260" x14ac:dyDescent="0.25"/>
    <row r="1047261" x14ac:dyDescent="0.25"/>
    <row r="1047262" x14ac:dyDescent="0.25"/>
    <row r="1047263" x14ac:dyDescent="0.25"/>
    <row r="1047264" x14ac:dyDescent="0.25"/>
    <row r="1047265" x14ac:dyDescent="0.25"/>
    <row r="1047266" x14ac:dyDescent="0.25"/>
    <row r="1047267" x14ac:dyDescent="0.25"/>
    <row r="1047268" x14ac:dyDescent="0.25"/>
    <row r="1047269" x14ac:dyDescent="0.25"/>
    <row r="1047270" x14ac:dyDescent="0.25"/>
    <row r="1047271" x14ac:dyDescent="0.25"/>
    <row r="1047272" x14ac:dyDescent="0.25"/>
    <row r="1047273" x14ac:dyDescent="0.25"/>
    <row r="1047274" x14ac:dyDescent="0.25"/>
    <row r="1047275" x14ac:dyDescent="0.25"/>
    <row r="1047276" x14ac:dyDescent="0.25"/>
    <row r="1047277" x14ac:dyDescent="0.25"/>
    <row r="1047278" x14ac:dyDescent="0.25"/>
    <row r="1047279" x14ac:dyDescent="0.25"/>
    <row r="1047280" x14ac:dyDescent="0.25"/>
    <row r="1047281" x14ac:dyDescent="0.25"/>
    <row r="1047282" x14ac:dyDescent="0.25"/>
    <row r="1047283" x14ac:dyDescent="0.25"/>
    <row r="1047284" x14ac:dyDescent="0.25"/>
    <row r="1047285" x14ac:dyDescent="0.25"/>
    <row r="1047286" x14ac:dyDescent="0.25"/>
    <row r="1047287" x14ac:dyDescent="0.25"/>
    <row r="1047288" x14ac:dyDescent="0.25"/>
    <row r="1047289" x14ac:dyDescent="0.25"/>
    <row r="1047290" x14ac:dyDescent="0.25"/>
    <row r="1047291" x14ac:dyDescent="0.25"/>
    <row r="1047292" x14ac:dyDescent="0.25"/>
    <row r="1047293" x14ac:dyDescent="0.25"/>
    <row r="1047294" x14ac:dyDescent="0.25"/>
    <row r="1047295" x14ac:dyDescent="0.25"/>
    <row r="1047296" x14ac:dyDescent="0.25"/>
    <row r="1047297" x14ac:dyDescent="0.25"/>
    <row r="1047298" x14ac:dyDescent="0.25"/>
    <row r="1047299" x14ac:dyDescent="0.25"/>
    <row r="1047300" x14ac:dyDescent="0.25"/>
    <row r="1047301" x14ac:dyDescent="0.25"/>
    <row r="1047302" x14ac:dyDescent="0.25"/>
    <row r="1047303" x14ac:dyDescent="0.25"/>
    <row r="1047304" x14ac:dyDescent="0.25"/>
    <row r="1047305" x14ac:dyDescent="0.25"/>
    <row r="1047306" x14ac:dyDescent="0.25"/>
    <row r="1047307" x14ac:dyDescent="0.25"/>
    <row r="1047308" x14ac:dyDescent="0.25"/>
    <row r="1047309" x14ac:dyDescent="0.25"/>
    <row r="1047310" x14ac:dyDescent="0.25"/>
    <row r="1047311" x14ac:dyDescent="0.25"/>
    <row r="1047312" x14ac:dyDescent="0.25"/>
    <row r="1047313" x14ac:dyDescent="0.25"/>
    <row r="1047314" x14ac:dyDescent="0.25"/>
    <row r="1047315" x14ac:dyDescent="0.25"/>
    <row r="1047316" x14ac:dyDescent="0.25"/>
    <row r="1047317" x14ac:dyDescent="0.25"/>
    <row r="1047318" x14ac:dyDescent="0.25"/>
    <row r="1047319" x14ac:dyDescent="0.25"/>
    <row r="1047320" x14ac:dyDescent="0.25"/>
    <row r="1047321" x14ac:dyDescent="0.25"/>
    <row r="1047322" x14ac:dyDescent="0.25"/>
    <row r="1047323" x14ac:dyDescent="0.25"/>
    <row r="1047324" x14ac:dyDescent="0.25"/>
    <row r="1047325" x14ac:dyDescent="0.25"/>
    <row r="1047326" x14ac:dyDescent="0.25"/>
    <row r="1047327" x14ac:dyDescent="0.25"/>
    <row r="1047328" x14ac:dyDescent="0.25"/>
    <row r="1047329" x14ac:dyDescent="0.25"/>
    <row r="1047330" x14ac:dyDescent="0.25"/>
    <row r="1047331" x14ac:dyDescent="0.25"/>
    <row r="1047332" x14ac:dyDescent="0.25"/>
    <row r="1047333" x14ac:dyDescent="0.25"/>
    <row r="1047334" x14ac:dyDescent="0.25"/>
    <row r="1047335" x14ac:dyDescent="0.25"/>
    <row r="1047336" x14ac:dyDescent="0.25"/>
    <row r="1047337" x14ac:dyDescent="0.25"/>
    <row r="1047338" x14ac:dyDescent="0.25"/>
    <row r="1047339" x14ac:dyDescent="0.25"/>
    <row r="1047340" x14ac:dyDescent="0.25"/>
    <row r="1047341" x14ac:dyDescent="0.25"/>
    <row r="1047342" x14ac:dyDescent="0.25"/>
    <row r="1047343" x14ac:dyDescent="0.25"/>
    <row r="1047344" x14ac:dyDescent="0.25"/>
    <row r="1047345" x14ac:dyDescent="0.25"/>
    <row r="1047346" x14ac:dyDescent="0.25"/>
    <row r="1047347" x14ac:dyDescent="0.25"/>
    <row r="1047348" x14ac:dyDescent="0.25"/>
    <row r="1047349" x14ac:dyDescent="0.25"/>
    <row r="1047350" x14ac:dyDescent="0.25"/>
    <row r="1047351" x14ac:dyDescent="0.25"/>
    <row r="1047352" x14ac:dyDescent="0.25"/>
    <row r="1047353" x14ac:dyDescent="0.25"/>
    <row r="1047354" x14ac:dyDescent="0.25"/>
    <row r="1047355" x14ac:dyDescent="0.25"/>
    <row r="1047356" x14ac:dyDescent="0.25"/>
    <row r="1047357" x14ac:dyDescent="0.25"/>
    <row r="1047358" x14ac:dyDescent="0.25"/>
    <row r="1047359" x14ac:dyDescent="0.25"/>
    <row r="1047360" x14ac:dyDescent="0.25"/>
    <row r="1047361" x14ac:dyDescent="0.25"/>
    <row r="1047362" x14ac:dyDescent="0.25"/>
    <row r="1047363" x14ac:dyDescent="0.25"/>
    <row r="1047364" x14ac:dyDescent="0.25"/>
    <row r="1047365" x14ac:dyDescent="0.25"/>
    <row r="1047366" x14ac:dyDescent="0.25"/>
    <row r="1047367" x14ac:dyDescent="0.25"/>
    <row r="1047368" x14ac:dyDescent="0.25"/>
    <row r="1047369" x14ac:dyDescent="0.25"/>
    <row r="1047370" x14ac:dyDescent="0.25"/>
    <row r="1047371" x14ac:dyDescent="0.25"/>
    <row r="1047372" x14ac:dyDescent="0.25"/>
    <row r="1047373" x14ac:dyDescent="0.25"/>
    <row r="1047374" x14ac:dyDescent="0.25"/>
    <row r="1047375" x14ac:dyDescent="0.25"/>
    <row r="1047376" x14ac:dyDescent="0.25"/>
    <row r="1047377" x14ac:dyDescent="0.25"/>
    <row r="1047378" x14ac:dyDescent="0.25"/>
    <row r="1047379" x14ac:dyDescent="0.25"/>
    <row r="1047380" x14ac:dyDescent="0.25"/>
    <row r="1047381" x14ac:dyDescent="0.25"/>
    <row r="1047382" x14ac:dyDescent="0.25"/>
    <row r="1047383" x14ac:dyDescent="0.25"/>
    <row r="1047384" x14ac:dyDescent="0.25"/>
    <row r="1047385" x14ac:dyDescent="0.25"/>
    <row r="1047386" x14ac:dyDescent="0.25"/>
    <row r="1047387" x14ac:dyDescent="0.25"/>
    <row r="1047388" x14ac:dyDescent="0.25"/>
    <row r="1047389" x14ac:dyDescent="0.25"/>
    <row r="1047390" x14ac:dyDescent="0.25"/>
    <row r="1047391" x14ac:dyDescent="0.25"/>
    <row r="1047392" x14ac:dyDescent="0.25"/>
    <row r="1047393" x14ac:dyDescent="0.25"/>
    <row r="1047394" x14ac:dyDescent="0.25"/>
    <row r="1047395" x14ac:dyDescent="0.25"/>
    <row r="1047396" x14ac:dyDescent="0.25"/>
    <row r="1047397" x14ac:dyDescent="0.25"/>
    <row r="1047398" x14ac:dyDescent="0.25"/>
    <row r="1047399" x14ac:dyDescent="0.25"/>
    <row r="1047400" x14ac:dyDescent="0.25"/>
    <row r="1047401" x14ac:dyDescent="0.25"/>
    <row r="1047402" x14ac:dyDescent="0.25"/>
    <row r="1047403" x14ac:dyDescent="0.25"/>
    <row r="1047404" x14ac:dyDescent="0.25"/>
    <row r="1047405" x14ac:dyDescent="0.25"/>
    <row r="1047406" x14ac:dyDescent="0.25"/>
    <row r="1047407" x14ac:dyDescent="0.25"/>
    <row r="1047408" x14ac:dyDescent="0.25"/>
    <row r="1047409" x14ac:dyDescent="0.25"/>
    <row r="1047410" x14ac:dyDescent="0.25"/>
    <row r="1047411" x14ac:dyDescent="0.25"/>
    <row r="1047412" x14ac:dyDescent="0.25"/>
    <row r="1047413" x14ac:dyDescent="0.25"/>
    <row r="1047414" x14ac:dyDescent="0.25"/>
    <row r="1047415" x14ac:dyDescent="0.25"/>
    <row r="1047416" x14ac:dyDescent="0.25"/>
    <row r="1047417" x14ac:dyDescent="0.25"/>
    <row r="1047418" x14ac:dyDescent="0.25"/>
    <row r="1047419" x14ac:dyDescent="0.25"/>
    <row r="1047420" x14ac:dyDescent="0.25"/>
    <row r="1047421" x14ac:dyDescent="0.25"/>
    <row r="1047422" x14ac:dyDescent="0.25"/>
    <row r="1047423" x14ac:dyDescent="0.25"/>
    <row r="1047424" x14ac:dyDescent="0.25"/>
    <row r="1047425" x14ac:dyDescent="0.25"/>
    <row r="1047426" x14ac:dyDescent="0.25"/>
    <row r="1047427" x14ac:dyDescent="0.25"/>
    <row r="1047428" x14ac:dyDescent="0.25"/>
    <row r="1047429" x14ac:dyDescent="0.25"/>
    <row r="1047430" x14ac:dyDescent="0.25"/>
    <row r="1047431" x14ac:dyDescent="0.25"/>
    <row r="1047432" x14ac:dyDescent="0.25"/>
    <row r="1047433" x14ac:dyDescent="0.25"/>
    <row r="1047434" x14ac:dyDescent="0.25"/>
    <row r="1047435" x14ac:dyDescent="0.25"/>
    <row r="1047436" x14ac:dyDescent="0.25"/>
    <row r="1047437" x14ac:dyDescent="0.25"/>
    <row r="1047438" x14ac:dyDescent="0.25"/>
    <row r="1047439" x14ac:dyDescent="0.25"/>
    <row r="1047440" x14ac:dyDescent="0.25"/>
    <row r="1047441" x14ac:dyDescent="0.25"/>
    <row r="1047442" x14ac:dyDescent="0.25"/>
    <row r="1047443" x14ac:dyDescent="0.25"/>
    <row r="1047444" x14ac:dyDescent="0.25"/>
    <row r="1047445" x14ac:dyDescent="0.25"/>
    <row r="1047446" x14ac:dyDescent="0.25"/>
    <row r="1047447" x14ac:dyDescent="0.25"/>
    <row r="1047448" x14ac:dyDescent="0.25"/>
    <row r="1047449" x14ac:dyDescent="0.25"/>
    <row r="1047450" x14ac:dyDescent="0.25"/>
    <row r="1047451" x14ac:dyDescent="0.25"/>
    <row r="1047452" x14ac:dyDescent="0.25"/>
    <row r="1047453" x14ac:dyDescent="0.25"/>
    <row r="1047454" x14ac:dyDescent="0.25"/>
    <row r="1047455" x14ac:dyDescent="0.25"/>
    <row r="1047456" x14ac:dyDescent="0.25"/>
    <row r="1047457" x14ac:dyDescent="0.25"/>
    <row r="1047458" x14ac:dyDescent="0.25"/>
    <row r="1047459" x14ac:dyDescent="0.25"/>
    <row r="1047460" x14ac:dyDescent="0.25"/>
    <row r="1047461" x14ac:dyDescent="0.25"/>
    <row r="1047462" x14ac:dyDescent="0.25"/>
    <row r="1047463" x14ac:dyDescent="0.25"/>
    <row r="1047464" x14ac:dyDescent="0.25"/>
    <row r="1047465" x14ac:dyDescent="0.25"/>
    <row r="1047466" x14ac:dyDescent="0.25"/>
    <row r="1047467" x14ac:dyDescent="0.25"/>
    <row r="1047468" x14ac:dyDescent="0.25"/>
    <row r="1047469" x14ac:dyDescent="0.25"/>
    <row r="1047470" x14ac:dyDescent="0.25"/>
    <row r="1047471" x14ac:dyDescent="0.25"/>
    <row r="1047472" x14ac:dyDescent="0.25"/>
    <row r="1047473" x14ac:dyDescent="0.25"/>
    <row r="1047474" x14ac:dyDescent="0.25"/>
    <row r="1047475" x14ac:dyDescent="0.25"/>
    <row r="1047476" x14ac:dyDescent="0.25"/>
    <row r="1047477" x14ac:dyDescent="0.25"/>
    <row r="1047478" x14ac:dyDescent="0.25"/>
    <row r="1047479" x14ac:dyDescent="0.25"/>
    <row r="1047480" x14ac:dyDescent="0.25"/>
    <row r="1047481" x14ac:dyDescent="0.25"/>
    <row r="1047482" x14ac:dyDescent="0.25"/>
    <row r="1047483" x14ac:dyDescent="0.25"/>
    <row r="1047484" x14ac:dyDescent="0.25"/>
    <row r="1047485" x14ac:dyDescent="0.25"/>
    <row r="1047486" x14ac:dyDescent="0.25"/>
    <row r="1047487" x14ac:dyDescent="0.25"/>
    <row r="1047488" x14ac:dyDescent="0.25"/>
    <row r="1047489" x14ac:dyDescent="0.25"/>
    <row r="1047490" x14ac:dyDescent="0.25"/>
    <row r="1047491" x14ac:dyDescent="0.25"/>
    <row r="1047492" x14ac:dyDescent="0.25"/>
    <row r="1047493" x14ac:dyDescent="0.25"/>
    <row r="1047494" x14ac:dyDescent="0.25"/>
    <row r="1047495" x14ac:dyDescent="0.25"/>
    <row r="1047496" x14ac:dyDescent="0.25"/>
    <row r="1047497" x14ac:dyDescent="0.25"/>
    <row r="1047498" x14ac:dyDescent="0.25"/>
    <row r="1047499" x14ac:dyDescent="0.25"/>
    <row r="1047500" x14ac:dyDescent="0.25"/>
    <row r="1047501" x14ac:dyDescent="0.25"/>
    <row r="1047502" x14ac:dyDescent="0.25"/>
    <row r="1047503" x14ac:dyDescent="0.25"/>
    <row r="1047504" x14ac:dyDescent="0.25"/>
    <row r="1047505" x14ac:dyDescent="0.25"/>
    <row r="1047506" x14ac:dyDescent="0.25"/>
    <row r="1047507" x14ac:dyDescent="0.25"/>
    <row r="1047508" x14ac:dyDescent="0.25"/>
    <row r="1047509" x14ac:dyDescent="0.25"/>
    <row r="1047510" x14ac:dyDescent="0.25"/>
    <row r="1047511" x14ac:dyDescent="0.25"/>
    <row r="1047512" x14ac:dyDescent="0.25"/>
    <row r="1047513" x14ac:dyDescent="0.25"/>
    <row r="1047514" x14ac:dyDescent="0.25"/>
    <row r="1047515" x14ac:dyDescent="0.25"/>
    <row r="1047516" x14ac:dyDescent="0.25"/>
    <row r="1047517" x14ac:dyDescent="0.25"/>
    <row r="1047518" x14ac:dyDescent="0.25"/>
    <row r="1047519" x14ac:dyDescent="0.25"/>
    <row r="1047520" x14ac:dyDescent="0.25"/>
    <row r="1047521" x14ac:dyDescent="0.25"/>
    <row r="1047522" x14ac:dyDescent="0.25"/>
    <row r="1047523" x14ac:dyDescent="0.25"/>
    <row r="1047524" x14ac:dyDescent="0.25"/>
    <row r="1047525" x14ac:dyDescent="0.25"/>
    <row r="1047526" x14ac:dyDescent="0.25"/>
    <row r="1047527" x14ac:dyDescent="0.25"/>
    <row r="1047528" x14ac:dyDescent="0.25"/>
    <row r="1047529" x14ac:dyDescent="0.25"/>
    <row r="1047530" x14ac:dyDescent="0.25"/>
    <row r="1047531" x14ac:dyDescent="0.25"/>
    <row r="1047532" x14ac:dyDescent="0.25"/>
    <row r="1047533" x14ac:dyDescent="0.25"/>
    <row r="1047534" x14ac:dyDescent="0.25"/>
    <row r="1047535" x14ac:dyDescent="0.25"/>
    <row r="1047536" x14ac:dyDescent="0.25"/>
    <row r="1047537" x14ac:dyDescent="0.25"/>
    <row r="1047538" x14ac:dyDescent="0.25"/>
    <row r="1047539" x14ac:dyDescent="0.25"/>
    <row r="1047540" x14ac:dyDescent="0.25"/>
    <row r="1047541" x14ac:dyDescent="0.25"/>
    <row r="1047542" x14ac:dyDescent="0.25"/>
    <row r="1047543" x14ac:dyDescent="0.25"/>
    <row r="1047544" x14ac:dyDescent="0.25"/>
    <row r="1047545" x14ac:dyDescent="0.25"/>
    <row r="1047546" x14ac:dyDescent="0.25"/>
    <row r="1047547" x14ac:dyDescent="0.25"/>
    <row r="1047548" x14ac:dyDescent="0.25"/>
    <row r="1047549" x14ac:dyDescent="0.25"/>
    <row r="1047550" x14ac:dyDescent="0.25"/>
    <row r="1047551" x14ac:dyDescent="0.25"/>
    <row r="1047552" x14ac:dyDescent="0.25"/>
    <row r="1047553" x14ac:dyDescent="0.25"/>
    <row r="1047554" x14ac:dyDescent="0.25"/>
    <row r="1047555" x14ac:dyDescent="0.25"/>
    <row r="1047556" x14ac:dyDescent="0.25"/>
    <row r="1047557" x14ac:dyDescent="0.25"/>
    <row r="1047558" x14ac:dyDescent="0.25"/>
    <row r="1047559" x14ac:dyDescent="0.25"/>
    <row r="1047560" x14ac:dyDescent="0.25"/>
    <row r="1047561" x14ac:dyDescent="0.25"/>
    <row r="1047562" x14ac:dyDescent="0.25"/>
    <row r="1047563" x14ac:dyDescent="0.25"/>
    <row r="1047564" x14ac:dyDescent="0.25"/>
    <row r="1047565" x14ac:dyDescent="0.25"/>
    <row r="1047566" x14ac:dyDescent="0.25"/>
    <row r="1047567" x14ac:dyDescent="0.25"/>
    <row r="1047568" x14ac:dyDescent="0.25"/>
    <row r="1047569" x14ac:dyDescent="0.25"/>
    <row r="1047570" x14ac:dyDescent="0.25"/>
    <row r="1047571" x14ac:dyDescent="0.25"/>
    <row r="1047572" x14ac:dyDescent="0.25"/>
    <row r="1047573" x14ac:dyDescent="0.25"/>
    <row r="1047574" x14ac:dyDescent="0.25"/>
    <row r="1047575" x14ac:dyDescent="0.25"/>
    <row r="1047576" x14ac:dyDescent="0.25"/>
    <row r="1047577" x14ac:dyDescent="0.25"/>
    <row r="1047578" x14ac:dyDescent="0.25"/>
    <row r="1047579" x14ac:dyDescent="0.25"/>
    <row r="1047580" x14ac:dyDescent="0.25"/>
    <row r="1047581" x14ac:dyDescent="0.25"/>
    <row r="1047582" x14ac:dyDescent="0.25"/>
    <row r="1047583" x14ac:dyDescent="0.25"/>
    <row r="1047584" x14ac:dyDescent="0.25"/>
    <row r="1047585" x14ac:dyDescent="0.25"/>
    <row r="1047586" x14ac:dyDescent="0.25"/>
    <row r="1047587" x14ac:dyDescent="0.25"/>
    <row r="1047588" x14ac:dyDescent="0.25"/>
    <row r="1047589" x14ac:dyDescent="0.25"/>
    <row r="1047590" x14ac:dyDescent="0.25"/>
    <row r="1047591" x14ac:dyDescent="0.25"/>
    <row r="1047592" x14ac:dyDescent="0.25"/>
    <row r="1047593" x14ac:dyDescent="0.25"/>
    <row r="1047594" x14ac:dyDescent="0.25"/>
    <row r="1047595" x14ac:dyDescent="0.25"/>
    <row r="1047596" x14ac:dyDescent="0.25"/>
    <row r="1047597" x14ac:dyDescent="0.25"/>
    <row r="1047598" x14ac:dyDescent="0.25"/>
    <row r="1047599" x14ac:dyDescent="0.25"/>
    <row r="1047600" x14ac:dyDescent="0.25"/>
    <row r="1047601" x14ac:dyDescent="0.25"/>
    <row r="1047602" x14ac:dyDescent="0.25"/>
    <row r="1047603" x14ac:dyDescent="0.25"/>
    <row r="1047604" x14ac:dyDescent="0.25"/>
    <row r="1047605" x14ac:dyDescent="0.25"/>
    <row r="1047606" x14ac:dyDescent="0.25"/>
    <row r="1047607" x14ac:dyDescent="0.25"/>
    <row r="1047608" x14ac:dyDescent="0.25"/>
    <row r="1047609" x14ac:dyDescent="0.25"/>
    <row r="1047610" x14ac:dyDescent="0.25"/>
    <row r="1047611" x14ac:dyDescent="0.25"/>
    <row r="1047612" x14ac:dyDescent="0.25"/>
    <row r="1047613" x14ac:dyDescent="0.25"/>
    <row r="1047614" x14ac:dyDescent="0.25"/>
    <row r="1047615" x14ac:dyDescent="0.25"/>
    <row r="1047616" x14ac:dyDescent="0.25"/>
    <row r="1047617" x14ac:dyDescent="0.25"/>
    <row r="1047618" x14ac:dyDescent="0.25"/>
    <row r="1047619" x14ac:dyDescent="0.25"/>
    <row r="1047620" x14ac:dyDescent="0.25"/>
    <row r="1047621" x14ac:dyDescent="0.25"/>
    <row r="1047622" x14ac:dyDescent="0.25"/>
    <row r="1047623" x14ac:dyDescent="0.25"/>
    <row r="1047624" x14ac:dyDescent="0.25"/>
    <row r="1047625" x14ac:dyDescent="0.25"/>
    <row r="1047626" x14ac:dyDescent="0.25"/>
    <row r="1047627" x14ac:dyDescent="0.25"/>
    <row r="1047628" x14ac:dyDescent="0.25"/>
    <row r="1047629" x14ac:dyDescent="0.25"/>
    <row r="1047630" x14ac:dyDescent="0.25"/>
    <row r="1047631" x14ac:dyDescent="0.25"/>
    <row r="1047632" x14ac:dyDescent="0.25"/>
    <row r="1047633" x14ac:dyDescent="0.25"/>
    <row r="1047634" x14ac:dyDescent="0.25"/>
    <row r="1047635" x14ac:dyDescent="0.25"/>
    <row r="1047636" x14ac:dyDescent="0.25"/>
    <row r="1047637" x14ac:dyDescent="0.25"/>
    <row r="1047638" x14ac:dyDescent="0.25"/>
    <row r="1047639" x14ac:dyDescent="0.25"/>
    <row r="1047640" x14ac:dyDescent="0.25"/>
    <row r="1047641" x14ac:dyDescent="0.25"/>
    <row r="1047642" x14ac:dyDescent="0.25"/>
    <row r="1047643" x14ac:dyDescent="0.25"/>
    <row r="1047644" x14ac:dyDescent="0.25"/>
    <row r="1047645" x14ac:dyDescent="0.25"/>
    <row r="1047646" x14ac:dyDescent="0.25"/>
    <row r="1047647" x14ac:dyDescent="0.25"/>
    <row r="1047648" x14ac:dyDescent="0.25"/>
    <row r="1047649" x14ac:dyDescent="0.25"/>
    <row r="1047650" x14ac:dyDescent="0.25"/>
    <row r="1047651" x14ac:dyDescent="0.25"/>
    <row r="1047652" x14ac:dyDescent="0.25"/>
    <row r="1047653" x14ac:dyDescent="0.25"/>
    <row r="1047654" x14ac:dyDescent="0.25"/>
    <row r="1047655" x14ac:dyDescent="0.25"/>
    <row r="1047656" x14ac:dyDescent="0.25"/>
    <row r="1047657" x14ac:dyDescent="0.25"/>
    <row r="1047658" x14ac:dyDescent="0.25"/>
    <row r="1047659" x14ac:dyDescent="0.25"/>
    <row r="1047660" x14ac:dyDescent="0.25"/>
    <row r="1047661" x14ac:dyDescent="0.25"/>
    <row r="1047662" x14ac:dyDescent="0.25"/>
    <row r="1047663" x14ac:dyDescent="0.25"/>
    <row r="1047664" x14ac:dyDescent="0.25"/>
    <row r="1047665" x14ac:dyDescent="0.25"/>
    <row r="1047666" x14ac:dyDescent="0.25"/>
    <row r="1047667" x14ac:dyDescent="0.25"/>
    <row r="1047668" x14ac:dyDescent="0.25"/>
    <row r="1047669" x14ac:dyDescent="0.25"/>
    <row r="1047670" x14ac:dyDescent="0.25"/>
    <row r="1047671" x14ac:dyDescent="0.25"/>
    <row r="1047672" x14ac:dyDescent="0.25"/>
    <row r="1047673" x14ac:dyDescent="0.25"/>
    <row r="1047674" x14ac:dyDescent="0.25"/>
    <row r="1047675" x14ac:dyDescent="0.25"/>
    <row r="1047676" x14ac:dyDescent="0.25"/>
    <row r="1047677" x14ac:dyDescent="0.25"/>
    <row r="1047678" x14ac:dyDescent="0.25"/>
    <row r="1047679" x14ac:dyDescent="0.25"/>
    <row r="1047680" x14ac:dyDescent="0.25"/>
    <row r="1047681" x14ac:dyDescent="0.25"/>
    <row r="1047682" x14ac:dyDescent="0.25"/>
    <row r="1047683" x14ac:dyDescent="0.25"/>
    <row r="1047684" x14ac:dyDescent="0.25"/>
    <row r="1047685" x14ac:dyDescent="0.25"/>
    <row r="1047686" x14ac:dyDescent="0.25"/>
    <row r="1047687" x14ac:dyDescent="0.25"/>
    <row r="1047688" x14ac:dyDescent="0.25"/>
    <row r="1047689" x14ac:dyDescent="0.25"/>
    <row r="1047690" x14ac:dyDescent="0.25"/>
    <row r="1047691" x14ac:dyDescent="0.25"/>
    <row r="1047692" x14ac:dyDescent="0.25"/>
    <row r="1047693" x14ac:dyDescent="0.25"/>
    <row r="1047694" x14ac:dyDescent="0.25"/>
    <row r="1047695" x14ac:dyDescent="0.25"/>
    <row r="1047696" x14ac:dyDescent="0.25"/>
    <row r="1047697" x14ac:dyDescent="0.25"/>
    <row r="1047698" x14ac:dyDescent="0.25"/>
    <row r="1047699" x14ac:dyDescent="0.25"/>
    <row r="1047700" x14ac:dyDescent="0.25"/>
    <row r="1047701" x14ac:dyDescent="0.25"/>
    <row r="1047702" x14ac:dyDescent="0.25"/>
    <row r="1047703" x14ac:dyDescent="0.25"/>
    <row r="1047704" x14ac:dyDescent="0.25"/>
    <row r="1047705" x14ac:dyDescent="0.25"/>
    <row r="1047706" x14ac:dyDescent="0.25"/>
    <row r="1047707" x14ac:dyDescent="0.25"/>
    <row r="1047708" x14ac:dyDescent="0.25"/>
    <row r="1047709" x14ac:dyDescent="0.25"/>
    <row r="1047710" x14ac:dyDescent="0.25"/>
    <row r="1047711" x14ac:dyDescent="0.25"/>
    <row r="1047712" x14ac:dyDescent="0.25"/>
    <row r="1047713" x14ac:dyDescent="0.25"/>
    <row r="1047714" x14ac:dyDescent="0.25"/>
    <row r="1047715" x14ac:dyDescent="0.25"/>
    <row r="1047716" x14ac:dyDescent="0.25"/>
    <row r="1047717" x14ac:dyDescent="0.25"/>
    <row r="1047718" x14ac:dyDescent="0.25"/>
    <row r="1047719" x14ac:dyDescent="0.25"/>
    <row r="1047720" x14ac:dyDescent="0.25"/>
    <row r="1047721" x14ac:dyDescent="0.25"/>
    <row r="1047722" x14ac:dyDescent="0.25"/>
    <row r="1047723" x14ac:dyDescent="0.25"/>
    <row r="1047724" x14ac:dyDescent="0.25"/>
    <row r="1047725" x14ac:dyDescent="0.25"/>
    <row r="1047726" x14ac:dyDescent="0.25"/>
    <row r="1047727" x14ac:dyDescent="0.25"/>
    <row r="1047728" x14ac:dyDescent="0.25"/>
    <row r="1047729" x14ac:dyDescent="0.25"/>
    <row r="1047730" x14ac:dyDescent="0.25"/>
    <row r="1047731" x14ac:dyDescent="0.25"/>
    <row r="1047732" x14ac:dyDescent="0.25"/>
    <row r="1047733" x14ac:dyDescent="0.25"/>
    <row r="1047734" x14ac:dyDescent="0.25"/>
    <row r="1047735" x14ac:dyDescent="0.25"/>
    <row r="1047736" x14ac:dyDescent="0.25"/>
    <row r="1047737" x14ac:dyDescent="0.25"/>
    <row r="1047738" x14ac:dyDescent="0.25"/>
    <row r="1047739" x14ac:dyDescent="0.25"/>
    <row r="1047740" x14ac:dyDescent="0.25"/>
    <row r="1047741" x14ac:dyDescent="0.25"/>
    <row r="1047742" x14ac:dyDescent="0.25"/>
    <row r="1047743" x14ac:dyDescent="0.25"/>
    <row r="1047744" x14ac:dyDescent="0.25"/>
    <row r="1047745" x14ac:dyDescent="0.25"/>
    <row r="1047746" x14ac:dyDescent="0.25"/>
    <row r="1047747" x14ac:dyDescent="0.25"/>
    <row r="1047748" x14ac:dyDescent="0.25"/>
    <row r="1047749" x14ac:dyDescent="0.25"/>
    <row r="1047750" x14ac:dyDescent="0.25"/>
    <row r="1047751" x14ac:dyDescent="0.25"/>
    <row r="1047752" x14ac:dyDescent="0.25"/>
    <row r="1047753" x14ac:dyDescent="0.25"/>
    <row r="1047754" x14ac:dyDescent="0.25"/>
    <row r="1047755" x14ac:dyDescent="0.25"/>
    <row r="1047756" x14ac:dyDescent="0.25"/>
    <row r="1047757" x14ac:dyDescent="0.25"/>
    <row r="1047758" x14ac:dyDescent="0.25"/>
    <row r="1047759" x14ac:dyDescent="0.25"/>
    <row r="1047760" x14ac:dyDescent="0.25"/>
    <row r="1047761" x14ac:dyDescent="0.25"/>
    <row r="1047762" x14ac:dyDescent="0.25"/>
    <row r="1047763" x14ac:dyDescent="0.25"/>
    <row r="1047764" x14ac:dyDescent="0.25"/>
    <row r="1047765" x14ac:dyDescent="0.25"/>
    <row r="1047766" x14ac:dyDescent="0.25"/>
    <row r="1047767" x14ac:dyDescent="0.25"/>
    <row r="1047768" x14ac:dyDescent="0.25"/>
    <row r="1047769" x14ac:dyDescent="0.25"/>
    <row r="1047770" x14ac:dyDescent="0.25"/>
    <row r="1047771" x14ac:dyDescent="0.25"/>
    <row r="1047772" x14ac:dyDescent="0.25"/>
    <row r="1047773" x14ac:dyDescent="0.25"/>
    <row r="1047774" x14ac:dyDescent="0.25"/>
    <row r="1047775" x14ac:dyDescent="0.25"/>
    <row r="1047776" x14ac:dyDescent="0.25"/>
    <row r="1047777" x14ac:dyDescent="0.25"/>
    <row r="1047778" x14ac:dyDescent="0.25"/>
    <row r="1047779" x14ac:dyDescent="0.25"/>
    <row r="1047780" x14ac:dyDescent="0.25"/>
    <row r="1047781" x14ac:dyDescent="0.25"/>
    <row r="1047782" x14ac:dyDescent="0.25"/>
    <row r="1047783" x14ac:dyDescent="0.25"/>
    <row r="1047784" x14ac:dyDescent="0.25"/>
    <row r="1047785" x14ac:dyDescent="0.25"/>
    <row r="1047786" x14ac:dyDescent="0.25"/>
    <row r="1047787" x14ac:dyDescent="0.25"/>
    <row r="1047788" x14ac:dyDescent="0.25"/>
    <row r="1047789" x14ac:dyDescent="0.25"/>
    <row r="1047790" x14ac:dyDescent="0.25"/>
    <row r="1047791" x14ac:dyDescent="0.25"/>
    <row r="1047792" x14ac:dyDescent="0.25"/>
    <row r="1047793" x14ac:dyDescent="0.25"/>
    <row r="1047794" x14ac:dyDescent="0.25"/>
    <row r="1047795" x14ac:dyDescent="0.25"/>
    <row r="1047796" x14ac:dyDescent="0.25"/>
    <row r="1047797" x14ac:dyDescent="0.25"/>
    <row r="1047798" x14ac:dyDescent="0.25"/>
    <row r="1047799" x14ac:dyDescent="0.25"/>
    <row r="1047800" x14ac:dyDescent="0.25"/>
    <row r="1047801" x14ac:dyDescent="0.25"/>
    <row r="1047802" x14ac:dyDescent="0.25"/>
    <row r="1047803" x14ac:dyDescent="0.25"/>
    <row r="1047804" x14ac:dyDescent="0.25"/>
    <row r="1047805" x14ac:dyDescent="0.25"/>
    <row r="1047806" x14ac:dyDescent="0.25"/>
    <row r="1047807" x14ac:dyDescent="0.25"/>
    <row r="1047808" x14ac:dyDescent="0.25"/>
    <row r="1047809" x14ac:dyDescent="0.25"/>
    <row r="1047810" x14ac:dyDescent="0.25"/>
    <row r="1047811" x14ac:dyDescent="0.25"/>
    <row r="1047812" x14ac:dyDescent="0.25"/>
    <row r="1047813" x14ac:dyDescent="0.25"/>
    <row r="1047814" x14ac:dyDescent="0.25"/>
    <row r="1047815" x14ac:dyDescent="0.25"/>
    <row r="1047816" x14ac:dyDescent="0.25"/>
    <row r="1047817" x14ac:dyDescent="0.25"/>
    <row r="1047818" x14ac:dyDescent="0.25"/>
    <row r="1047819" x14ac:dyDescent="0.25"/>
    <row r="1047820" x14ac:dyDescent="0.25"/>
    <row r="1047821" x14ac:dyDescent="0.25"/>
    <row r="1047822" x14ac:dyDescent="0.25"/>
    <row r="1047823" x14ac:dyDescent="0.25"/>
    <row r="1047824" x14ac:dyDescent="0.25"/>
    <row r="1047825" x14ac:dyDescent="0.25"/>
    <row r="1047826" x14ac:dyDescent="0.25"/>
    <row r="1047827" x14ac:dyDescent="0.25"/>
    <row r="1047828" x14ac:dyDescent="0.25"/>
    <row r="1047829" x14ac:dyDescent="0.25"/>
    <row r="1047830" x14ac:dyDescent="0.25"/>
    <row r="1047831" x14ac:dyDescent="0.25"/>
    <row r="1047832" x14ac:dyDescent="0.25"/>
    <row r="1047833" x14ac:dyDescent="0.25"/>
    <row r="1047834" x14ac:dyDescent="0.25"/>
    <row r="1047835" x14ac:dyDescent="0.25"/>
    <row r="1047836" x14ac:dyDescent="0.25"/>
    <row r="1047837" x14ac:dyDescent="0.25"/>
    <row r="1047838" x14ac:dyDescent="0.25"/>
    <row r="1047839" x14ac:dyDescent="0.25"/>
    <row r="1047840" x14ac:dyDescent="0.25"/>
    <row r="1047841" x14ac:dyDescent="0.25"/>
    <row r="1047842" x14ac:dyDescent="0.25"/>
    <row r="1047843" x14ac:dyDescent="0.25"/>
    <row r="1047844" x14ac:dyDescent="0.25"/>
    <row r="1047845" x14ac:dyDescent="0.25"/>
    <row r="1047846" x14ac:dyDescent="0.25"/>
    <row r="1047847" x14ac:dyDescent="0.25"/>
    <row r="1047848" x14ac:dyDescent="0.25"/>
    <row r="1047849" x14ac:dyDescent="0.25"/>
    <row r="1047850" x14ac:dyDescent="0.25"/>
    <row r="1047851" x14ac:dyDescent="0.25"/>
    <row r="1047852" x14ac:dyDescent="0.25"/>
    <row r="1047853" x14ac:dyDescent="0.25"/>
    <row r="1047854" x14ac:dyDescent="0.25"/>
    <row r="1047855" x14ac:dyDescent="0.25"/>
    <row r="1047856" x14ac:dyDescent="0.25"/>
    <row r="1047857" x14ac:dyDescent="0.25"/>
    <row r="1047858" x14ac:dyDescent="0.25"/>
    <row r="1047859" x14ac:dyDescent="0.25"/>
    <row r="1047860" x14ac:dyDescent="0.25"/>
    <row r="1047861" x14ac:dyDescent="0.25"/>
    <row r="1047862" x14ac:dyDescent="0.25"/>
    <row r="1047863" x14ac:dyDescent="0.25"/>
    <row r="1047864" x14ac:dyDescent="0.25"/>
    <row r="1047865" x14ac:dyDescent="0.25"/>
    <row r="1047866" x14ac:dyDescent="0.25"/>
    <row r="1047867" x14ac:dyDescent="0.25"/>
    <row r="1047868" x14ac:dyDescent="0.25"/>
    <row r="1047869" x14ac:dyDescent="0.25"/>
    <row r="1047870" x14ac:dyDescent="0.25"/>
    <row r="1047871" x14ac:dyDescent="0.25"/>
    <row r="1047872" x14ac:dyDescent="0.25"/>
    <row r="1047873" x14ac:dyDescent="0.25"/>
    <row r="1047874" x14ac:dyDescent="0.25"/>
    <row r="1047875" x14ac:dyDescent="0.25"/>
    <row r="1047876" x14ac:dyDescent="0.25"/>
    <row r="1047877" x14ac:dyDescent="0.25"/>
    <row r="1047878" x14ac:dyDescent="0.25"/>
    <row r="1047879" x14ac:dyDescent="0.25"/>
    <row r="1047880" x14ac:dyDescent="0.25"/>
    <row r="1047881" x14ac:dyDescent="0.25"/>
    <row r="1047882" x14ac:dyDescent="0.25"/>
    <row r="1047883" x14ac:dyDescent="0.25"/>
    <row r="1047884" x14ac:dyDescent="0.25"/>
    <row r="1047885" x14ac:dyDescent="0.25"/>
    <row r="1047886" x14ac:dyDescent="0.25"/>
    <row r="1047887" x14ac:dyDescent="0.25"/>
    <row r="1047888" x14ac:dyDescent="0.25"/>
    <row r="1047889" x14ac:dyDescent="0.25"/>
    <row r="1047890" x14ac:dyDescent="0.25"/>
    <row r="1047891" x14ac:dyDescent="0.25"/>
    <row r="1047892" x14ac:dyDescent="0.25"/>
    <row r="1047893" x14ac:dyDescent="0.25"/>
    <row r="1047894" x14ac:dyDescent="0.25"/>
    <row r="1047895" x14ac:dyDescent="0.25"/>
    <row r="1047896" x14ac:dyDescent="0.25"/>
    <row r="1047897" x14ac:dyDescent="0.25"/>
    <row r="1047898" x14ac:dyDescent="0.25"/>
    <row r="1047899" x14ac:dyDescent="0.25"/>
    <row r="1047900" x14ac:dyDescent="0.25"/>
    <row r="1047901" x14ac:dyDescent="0.25"/>
    <row r="1047902" x14ac:dyDescent="0.25"/>
    <row r="1047903" x14ac:dyDescent="0.25"/>
    <row r="1047904" x14ac:dyDescent="0.25"/>
    <row r="1047905" x14ac:dyDescent="0.25"/>
    <row r="1047906" x14ac:dyDescent="0.25"/>
    <row r="1047907" x14ac:dyDescent="0.25"/>
    <row r="1047908" x14ac:dyDescent="0.25"/>
    <row r="1047909" x14ac:dyDescent="0.25"/>
    <row r="1047910" x14ac:dyDescent="0.25"/>
    <row r="1047911" x14ac:dyDescent="0.25"/>
    <row r="1047912" x14ac:dyDescent="0.25"/>
    <row r="1047913" x14ac:dyDescent="0.25"/>
    <row r="1047914" x14ac:dyDescent="0.25"/>
    <row r="1047915" x14ac:dyDescent="0.25"/>
    <row r="1047916" x14ac:dyDescent="0.25"/>
    <row r="1047917" x14ac:dyDescent="0.25"/>
    <row r="1047918" x14ac:dyDescent="0.25"/>
    <row r="1047919" x14ac:dyDescent="0.25"/>
    <row r="1047920" x14ac:dyDescent="0.25"/>
    <row r="1047921" x14ac:dyDescent="0.25"/>
    <row r="1047922" x14ac:dyDescent="0.25"/>
    <row r="1047923" x14ac:dyDescent="0.25"/>
    <row r="1047924" x14ac:dyDescent="0.25"/>
    <row r="1047925" x14ac:dyDescent="0.25"/>
    <row r="1047926" x14ac:dyDescent="0.25"/>
    <row r="1047927" x14ac:dyDescent="0.25"/>
    <row r="1047928" x14ac:dyDescent="0.25"/>
    <row r="1047929" x14ac:dyDescent="0.25"/>
    <row r="1047930" x14ac:dyDescent="0.25"/>
    <row r="1047931" x14ac:dyDescent="0.25"/>
    <row r="1047932" x14ac:dyDescent="0.25"/>
    <row r="1047933" x14ac:dyDescent="0.25"/>
    <row r="1047934" x14ac:dyDescent="0.25"/>
    <row r="1047935" x14ac:dyDescent="0.25"/>
    <row r="1047936" x14ac:dyDescent="0.25"/>
    <row r="1047937" x14ac:dyDescent="0.25"/>
    <row r="1047938" x14ac:dyDescent="0.25"/>
    <row r="1047939" x14ac:dyDescent="0.25"/>
    <row r="1047940" x14ac:dyDescent="0.25"/>
    <row r="1047941" x14ac:dyDescent="0.25"/>
    <row r="1047942" x14ac:dyDescent="0.25"/>
    <row r="1047943" x14ac:dyDescent="0.25"/>
    <row r="1047944" x14ac:dyDescent="0.25"/>
    <row r="1047945" x14ac:dyDescent="0.25"/>
    <row r="1047946" x14ac:dyDescent="0.25"/>
    <row r="1047947" x14ac:dyDescent="0.25"/>
    <row r="1047948" x14ac:dyDescent="0.25"/>
    <row r="1047949" x14ac:dyDescent="0.25"/>
    <row r="1047950" x14ac:dyDescent="0.25"/>
    <row r="1047951" x14ac:dyDescent="0.25"/>
    <row r="1047952" x14ac:dyDescent="0.25"/>
    <row r="1047953" x14ac:dyDescent="0.25"/>
    <row r="1047954" x14ac:dyDescent="0.25"/>
    <row r="1047955" x14ac:dyDescent="0.25"/>
    <row r="1047956" x14ac:dyDescent="0.25"/>
    <row r="1047957" x14ac:dyDescent="0.25"/>
    <row r="1047958" x14ac:dyDescent="0.25"/>
    <row r="1047959" x14ac:dyDescent="0.25"/>
    <row r="1047960" x14ac:dyDescent="0.25"/>
    <row r="1047961" x14ac:dyDescent="0.25"/>
    <row r="1047962" x14ac:dyDescent="0.25"/>
    <row r="1047963" x14ac:dyDescent="0.25"/>
    <row r="1047964" x14ac:dyDescent="0.25"/>
    <row r="1047965" x14ac:dyDescent="0.25"/>
    <row r="1047966" x14ac:dyDescent="0.25"/>
    <row r="1047967" x14ac:dyDescent="0.25"/>
    <row r="1047968" x14ac:dyDescent="0.25"/>
    <row r="1047969" x14ac:dyDescent="0.25"/>
    <row r="1047970" x14ac:dyDescent="0.25"/>
    <row r="1047971" x14ac:dyDescent="0.25"/>
    <row r="1047972" x14ac:dyDescent="0.25"/>
    <row r="1047973" x14ac:dyDescent="0.25"/>
    <row r="1047974" x14ac:dyDescent="0.25"/>
    <row r="1047975" x14ac:dyDescent="0.25"/>
    <row r="1047976" x14ac:dyDescent="0.25"/>
    <row r="1047977" x14ac:dyDescent="0.25"/>
    <row r="1047978" x14ac:dyDescent="0.25"/>
    <row r="1047979" x14ac:dyDescent="0.25"/>
    <row r="1047980" x14ac:dyDescent="0.25"/>
    <row r="1047981" x14ac:dyDescent="0.25"/>
    <row r="1047982" x14ac:dyDescent="0.25"/>
    <row r="1047983" x14ac:dyDescent="0.25"/>
    <row r="1047984" x14ac:dyDescent="0.25"/>
    <row r="1047985" x14ac:dyDescent="0.25"/>
    <row r="1047986" x14ac:dyDescent="0.25"/>
    <row r="1047987" x14ac:dyDescent="0.25"/>
    <row r="1047988" x14ac:dyDescent="0.25"/>
    <row r="1047989" x14ac:dyDescent="0.25"/>
    <row r="1047990" x14ac:dyDescent="0.25"/>
    <row r="1047991" x14ac:dyDescent="0.25"/>
    <row r="1047992" x14ac:dyDescent="0.25"/>
    <row r="1047993" x14ac:dyDescent="0.25"/>
    <row r="1047994" x14ac:dyDescent="0.25"/>
    <row r="1047995" x14ac:dyDescent="0.25"/>
    <row r="1047996" x14ac:dyDescent="0.25"/>
    <row r="1047997" x14ac:dyDescent="0.25"/>
    <row r="1047998" x14ac:dyDescent="0.25"/>
    <row r="1047999" x14ac:dyDescent="0.25"/>
    <row r="1048000" x14ac:dyDescent="0.25"/>
    <row r="1048001" x14ac:dyDescent="0.25"/>
    <row r="1048002" x14ac:dyDescent="0.25"/>
    <row r="1048003" x14ac:dyDescent="0.25"/>
    <row r="1048004" x14ac:dyDescent="0.25"/>
    <row r="1048005" x14ac:dyDescent="0.25"/>
    <row r="1048006" x14ac:dyDescent="0.25"/>
    <row r="1048007" x14ac:dyDescent="0.25"/>
    <row r="1048008" x14ac:dyDescent="0.25"/>
    <row r="1048009" x14ac:dyDescent="0.25"/>
    <row r="1048010" x14ac:dyDescent="0.25"/>
    <row r="1048011" x14ac:dyDescent="0.25"/>
    <row r="1048012" x14ac:dyDescent="0.25"/>
    <row r="1048013" x14ac:dyDescent="0.25"/>
    <row r="1048014" x14ac:dyDescent="0.25"/>
    <row r="1048015" x14ac:dyDescent="0.25"/>
    <row r="1048016" x14ac:dyDescent="0.25"/>
    <row r="1048017" x14ac:dyDescent="0.25"/>
    <row r="1048018" x14ac:dyDescent="0.25"/>
    <row r="1048019" x14ac:dyDescent="0.25"/>
    <row r="1048020" x14ac:dyDescent="0.25"/>
    <row r="1048021" x14ac:dyDescent="0.25"/>
    <row r="1048022" x14ac:dyDescent="0.25"/>
    <row r="1048023" x14ac:dyDescent="0.25"/>
    <row r="1048024" x14ac:dyDescent="0.25"/>
    <row r="1048025" x14ac:dyDescent="0.25"/>
    <row r="1048026" x14ac:dyDescent="0.25"/>
    <row r="1048027" x14ac:dyDescent="0.25"/>
    <row r="1048028" x14ac:dyDescent="0.25"/>
    <row r="1048029" x14ac:dyDescent="0.25"/>
    <row r="1048030" x14ac:dyDescent="0.25"/>
    <row r="1048031" x14ac:dyDescent="0.25"/>
    <row r="1048032" x14ac:dyDescent="0.25"/>
    <row r="1048033" x14ac:dyDescent="0.25"/>
    <row r="1048034" x14ac:dyDescent="0.25"/>
    <row r="1048035" x14ac:dyDescent="0.25"/>
    <row r="1048036" x14ac:dyDescent="0.25"/>
    <row r="1048037" x14ac:dyDescent="0.25"/>
    <row r="1048038" x14ac:dyDescent="0.25"/>
    <row r="1048039" x14ac:dyDescent="0.25"/>
    <row r="1048040" x14ac:dyDescent="0.25"/>
    <row r="1048041" x14ac:dyDescent="0.25"/>
    <row r="1048042" x14ac:dyDescent="0.25"/>
    <row r="1048043" x14ac:dyDescent="0.25"/>
    <row r="1048044" x14ac:dyDescent="0.25"/>
    <row r="1048045" x14ac:dyDescent="0.25"/>
    <row r="1048046" x14ac:dyDescent="0.25"/>
    <row r="1048047" x14ac:dyDescent="0.25"/>
    <row r="1048048" x14ac:dyDescent="0.25"/>
    <row r="1048049" x14ac:dyDescent="0.25"/>
    <row r="1048050" x14ac:dyDescent="0.25"/>
    <row r="1048051" x14ac:dyDescent="0.25"/>
    <row r="1048052" x14ac:dyDescent="0.25"/>
    <row r="1048053" x14ac:dyDescent="0.25"/>
    <row r="1048054" x14ac:dyDescent="0.25"/>
    <row r="1048055" x14ac:dyDescent="0.25"/>
    <row r="1048056" x14ac:dyDescent="0.25"/>
    <row r="1048057" x14ac:dyDescent="0.25"/>
    <row r="1048058" x14ac:dyDescent="0.25"/>
    <row r="1048059" x14ac:dyDescent="0.25"/>
    <row r="1048060" x14ac:dyDescent="0.25"/>
    <row r="1048061" x14ac:dyDescent="0.25"/>
    <row r="1048062" x14ac:dyDescent="0.25"/>
    <row r="1048063" x14ac:dyDescent="0.25"/>
    <row r="1048064" x14ac:dyDescent="0.25"/>
    <row r="1048065" x14ac:dyDescent="0.25"/>
    <row r="1048066" x14ac:dyDescent="0.25"/>
    <row r="1048067" x14ac:dyDescent="0.25"/>
    <row r="1048068" x14ac:dyDescent="0.25"/>
    <row r="1048069" x14ac:dyDescent="0.25"/>
    <row r="1048070" x14ac:dyDescent="0.25"/>
    <row r="1048071" x14ac:dyDescent="0.25"/>
    <row r="1048072" x14ac:dyDescent="0.25"/>
    <row r="1048073" x14ac:dyDescent="0.25"/>
    <row r="1048074" x14ac:dyDescent="0.25"/>
    <row r="1048075" x14ac:dyDescent="0.25"/>
    <row r="1048076" x14ac:dyDescent="0.25"/>
    <row r="1048077" x14ac:dyDescent="0.25"/>
    <row r="1048078" x14ac:dyDescent="0.25"/>
    <row r="1048079" x14ac:dyDescent="0.25"/>
    <row r="1048080" x14ac:dyDescent="0.25"/>
    <row r="1048081" x14ac:dyDescent="0.25"/>
    <row r="1048082" x14ac:dyDescent="0.25"/>
    <row r="1048083" x14ac:dyDescent="0.25"/>
    <row r="1048084" x14ac:dyDescent="0.25"/>
    <row r="1048085" x14ac:dyDescent="0.25"/>
    <row r="1048086" x14ac:dyDescent="0.25"/>
    <row r="1048087" x14ac:dyDescent="0.25"/>
    <row r="1048088" x14ac:dyDescent="0.25"/>
    <row r="1048089" x14ac:dyDescent="0.25"/>
    <row r="1048090" x14ac:dyDescent="0.25"/>
    <row r="1048091" x14ac:dyDescent="0.25"/>
    <row r="1048092" x14ac:dyDescent="0.25"/>
    <row r="1048093" x14ac:dyDescent="0.25"/>
    <row r="1048094" x14ac:dyDescent="0.25"/>
    <row r="1048095" x14ac:dyDescent="0.25"/>
    <row r="1048096" x14ac:dyDescent="0.25"/>
    <row r="1048097" x14ac:dyDescent="0.25"/>
    <row r="1048098" x14ac:dyDescent="0.25"/>
    <row r="1048099" x14ac:dyDescent="0.25"/>
    <row r="1048100" x14ac:dyDescent="0.25"/>
    <row r="1048101" x14ac:dyDescent="0.25"/>
    <row r="1048102" x14ac:dyDescent="0.25"/>
    <row r="1048103" x14ac:dyDescent="0.25"/>
    <row r="1048104" x14ac:dyDescent="0.25"/>
    <row r="1048105" x14ac:dyDescent="0.25"/>
    <row r="1048106" x14ac:dyDescent="0.25"/>
    <row r="1048107" x14ac:dyDescent="0.25"/>
    <row r="1048108" x14ac:dyDescent="0.25"/>
    <row r="1048109" x14ac:dyDescent="0.25"/>
    <row r="1048110" x14ac:dyDescent="0.25"/>
    <row r="1048111" x14ac:dyDescent="0.25"/>
    <row r="1048112" x14ac:dyDescent="0.25"/>
    <row r="1048113" x14ac:dyDescent="0.25"/>
    <row r="1048114" x14ac:dyDescent="0.25"/>
    <row r="1048115" x14ac:dyDescent="0.25"/>
    <row r="1048116" x14ac:dyDescent="0.25"/>
    <row r="1048117" x14ac:dyDescent="0.25"/>
    <row r="1048118" x14ac:dyDescent="0.25"/>
    <row r="1048119" x14ac:dyDescent="0.25"/>
    <row r="1048120" x14ac:dyDescent="0.25"/>
    <row r="1048121" x14ac:dyDescent="0.25"/>
    <row r="1048122" x14ac:dyDescent="0.25"/>
    <row r="1048123" x14ac:dyDescent="0.25"/>
    <row r="1048124" x14ac:dyDescent="0.25"/>
    <row r="1048125" x14ac:dyDescent="0.25"/>
    <row r="1048126" x14ac:dyDescent="0.25"/>
    <row r="1048127" x14ac:dyDescent="0.25"/>
    <row r="1048128" x14ac:dyDescent="0.25"/>
    <row r="1048129" x14ac:dyDescent="0.25"/>
    <row r="1048130" x14ac:dyDescent="0.25"/>
    <row r="1048131" x14ac:dyDescent="0.25"/>
    <row r="1048132" x14ac:dyDescent="0.25"/>
    <row r="1048133" x14ac:dyDescent="0.25"/>
    <row r="1048134" x14ac:dyDescent="0.25"/>
    <row r="1048135" x14ac:dyDescent="0.25"/>
    <row r="1048136" x14ac:dyDescent="0.25"/>
    <row r="1048137" x14ac:dyDescent="0.25"/>
    <row r="1048138" x14ac:dyDescent="0.25"/>
    <row r="1048139" x14ac:dyDescent="0.25"/>
    <row r="1048140" x14ac:dyDescent="0.25"/>
    <row r="1048141" x14ac:dyDescent="0.25"/>
    <row r="1048142" x14ac:dyDescent="0.25"/>
    <row r="1048143" x14ac:dyDescent="0.25"/>
    <row r="1048144" x14ac:dyDescent="0.25"/>
    <row r="1048145" x14ac:dyDescent="0.25"/>
    <row r="1048146" x14ac:dyDescent="0.25"/>
    <row r="1048147" x14ac:dyDescent="0.25"/>
    <row r="1048148" x14ac:dyDescent="0.25"/>
    <row r="1048149" x14ac:dyDescent="0.25"/>
    <row r="1048150" x14ac:dyDescent="0.25"/>
    <row r="1048151" x14ac:dyDescent="0.25"/>
    <row r="1048152" x14ac:dyDescent="0.25"/>
    <row r="1048153" x14ac:dyDescent="0.25"/>
    <row r="1048154" x14ac:dyDescent="0.25"/>
    <row r="1048155" x14ac:dyDescent="0.25"/>
    <row r="1048156" x14ac:dyDescent="0.25"/>
    <row r="1048157" x14ac:dyDescent="0.25"/>
    <row r="1048158" x14ac:dyDescent="0.25"/>
    <row r="1048159" x14ac:dyDescent="0.25"/>
    <row r="1048160" x14ac:dyDescent="0.25"/>
    <row r="1048161" x14ac:dyDescent="0.25"/>
    <row r="1048162" x14ac:dyDescent="0.25"/>
    <row r="1048163" x14ac:dyDescent="0.25"/>
    <row r="1048164" x14ac:dyDescent="0.25"/>
    <row r="1048165" x14ac:dyDescent="0.25"/>
    <row r="1048166" x14ac:dyDescent="0.25"/>
    <row r="1048167" x14ac:dyDescent="0.25"/>
    <row r="1048168" x14ac:dyDescent="0.25"/>
    <row r="1048169" x14ac:dyDescent="0.25"/>
    <row r="1048170" x14ac:dyDescent="0.25"/>
    <row r="1048171" x14ac:dyDescent="0.25"/>
    <row r="1048172" x14ac:dyDescent="0.25"/>
    <row r="1048173" x14ac:dyDescent="0.25"/>
    <row r="1048174" x14ac:dyDescent="0.25"/>
    <row r="1048175" x14ac:dyDescent="0.25"/>
    <row r="1048176" x14ac:dyDescent="0.25"/>
    <row r="1048177" x14ac:dyDescent="0.25"/>
    <row r="1048178" x14ac:dyDescent="0.25"/>
    <row r="1048179" x14ac:dyDescent="0.25"/>
    <row r="1048180" x14ac:dyDescent="0.25"/>
    <row r="1048181" x14ac:dyDescent="0.25"/>
    <row r="1048182" x14ac:dyDescent="0.25"/>
    <row r="1048183" x14ac:dyDescent="0.25"/>
    <row r="1048184" x14ac:dyDescent="0.25"/>
    <row r="1048185" x14ac:dyDescent="0.25"/>
    <row r="1048186" x14ac:dyDescent="0.25"/>
    <row r="1048187" x14ac:dyDescent="0.25"/>
    <row r="1048188" x14ac:dyDescent="0.25"/>
    <row r="1048189" x14ac:dyDescent="0.25"/>
    <row r="1048190" x14ac:dyDescent="0.25"/>
    <row r="1048191" x14ac:dyDescent="0.25"/>
    <row r="1048192" x14ac:dyDescent="0.25"/>
    <row r="1048193" x14ac:dyDescent="0.25"/>
    <row r="1048194" x14ac:dyDescent="0.25"/>
    <row r="1048195" x14ac:dyDescent="0.25"/>
    <row r="1048196" x14ac:dyDescent="0.25"/>
    <row r="1048197" x14ac:dyDescent="0.25"/>
    <row r="1048198" x14ac:dyDescent="0.25"/>
    <row r="1048199" x14ac:dyDescent="0.25"/>
    <row r="1048200" x14ac:dyDescent="0.25"/>
    <row r="1048201" x14ac:dyDescent="0.25"/>
    <row r="1048202" x14ac:dyDescent="0.25"/>
    <row r="1048203" x14ac:dyDescent="0.25"/>
    <row r="1048204" x14ac:dyDescent="0.25"/>
    <row r="1048205" x14ac:dyDescent="0.25"/>
    <row r="1048206" x14ac:dyDescent="0.25"/>
    <row r="1048207" x14ac:dyDescent="0.25"/>
    <row r="1048208" x14ac:dyDescent="0.25"/>
    <row r="1048209" x14ac:dyDescent="0.25"/>
    <row r="1048210" x14ac:dyDescent="0.25"/>
    <row r="1048211" x14ac:dyDescent="0.25"/>
    <row r="1048212" x14ac:dyDescent="0.25"/>
    <row r="1048213" x14ac:dyDescent="0.25"/>
    <row r="1048214" x14ac:dyDescent="0.25"/>
    <row r="1048215" x14ac:dyDescent="0.25"/>
    <row r="1048216" x14ac:dyDescent="0.25"/>
    <row r="1048217" x14ac:dyDescent="0.25"/>
    <row r="1048218" x14ac:dyDescent="0.25"/>
    <row r="1048219" x14ac:dyDescent="0.25"/>
    <row r="1048220" x14ac:dyDescent="0.25"/>
    <row r="1048221" x14ac:dyDescent="0.25"/>
    <row r="1048222" x14ac:dyDescent="0.25"/>
    <row r="1048223" x14ac:dyDescent="0.25"/>
    <row r="1048224" x14ac:dyDescent="0.25"/>
    <row r="1048225" x14ac:dyDescent="0.25"/>
    <row r="1048226" x14ac:dyDescent="0.25"/>
    <row r="1048227" x14ac:dyDescent="0.25"/>
    <row r="1048228" x14ac:dyDescent="0.25"/>
    <row r="1048229" x14ac:dyDescent="0.25"/>
    <row r="1048230" x14ac:dyDescent="0.25"/>
    <row r="1048231" x14ac:dyDescent="0.25"/>
    <row r="1048232" x14ac:dyDescent="0.25"/>
    <row r="1048233" x14ac:dyDescent="0.25"/>
    <row r="1048234" x14ac:dyDescent="0.25"/>
    <row r="1048235" x14ac:dyDescent="0.25"/>
    <row r="1048236" x14ac:dyDescent="0.25"/>
    <row r="1048237" x14ac:dyDescent="0.25"/>
    <row r="1048238" x14ac:dyDescent="0.25"/>
    <row r="1048239" x14ac:dyDescent="0.25"/>
    <row r="1048240" x14ac:dyDescent="0.25"/>
    <row r="1048241" x14ac:dyDescent="0.25"/>
    <row r="1048242" x14ac:dyDescent="0.25"/>
    <row r="1048243" x14ac:dyDescent="0.25"/>
    <row r="1048244" x14ac:dyDescent="0.25"/>
    <row r="1048245" x14ac:dyDescent="0.25"/>
    <row r="1048246" x14ac:dyDescent="0.25"/>
    <row r="1048247" x14ac:dyDescent="0.25"/>
    <row r="1048248" x14ac:dyDescent="0.25"/>
    <row r="1048249" x14ac:dyDescent="0.25"/>
    <row r="1048250" x14ac:dyDescent="0.25"/>
    <row r="1048251" x14ac:dyDescent="0.25"/>
    <row r="1048252" x14ac:dyDescent="0.25"/>
    <row r="1048253" x14ac:dyDescent="0.25"/>
    <row r="1048254" x14ac:dyDescent="0.25"/>
    <row r="1048255" x14ac:dyDescent="0.25"/>
    <row r="1048256" x14ac:dyDescent="0.25"/>
    <row r="1048257" x14ac:dyDescent="0.25"/>
    <row r="1048258" x14ac:dyDescent="0.25"/>
    <row r="1048259" x14ac:dyDescent="0.25"/>
    <row r="1048260" x14ac:dyDescent="0.25"/>
    <row r="1048261" x14ac:dyDescent="0.25"/>
    <row r="1048262" x14ac:dyDescent="0.25"/>
    <row r="1048263" x14ac:dyDescent="0.25"/>
    <row r="1048264" x14ac:dyDescent="0.25"/>
    <row r="1048265" x14ac:dyDescent="0.25"/>
    <row r="1048266" x14ac:dyDescent="0.25"/>
    <row r="1048267" x14ac:dyDescent="0.25"/>
    <row r="1048268" x14ac:dyDescent="0.25"/>
    <row r="1048269" x14ac:dyDescent="0.25"/>
    <row r="1048270" x14ac:dyDescent="0.25"/>
    <row r="1048271" x14ac:dyDescent="0.25"/>
    <row r="1048272" x14ac:dyDescent="0.25"/>
    <row r="1048273" x14ac:dyDescent="0.25"/>
    <row r="1048274" x14ac:dyDescent="0.25"/>
    <row r="1048275" x14ac:dyDescent="0.25"/>
    <row r="1048276" x14ac:dyDescent="0.25"/>
    <row r="1048277" x14ac:dyDescent="0.25"/>
    <row r="1048278" x14ac:dyDescent="0.25"/>
    <row r="1048279" x14ac:dyDescent="0.25"/>
    <row r="1048280" x14ac:dyDescent="0.25"/>
    <row r="1048281" x14ac:dyDescent="0.25"/>
    <row r="1048282" x14ac:dyDescent="0.25"/>
    <row r="1048283" x14ac:dyDescent="0.25"/>
    <row r="1048284" x14ac:dyDescent="0.25"/>
    <row r="1048285" x14ac:dyDescent="0.25"/>
    <row r="1048286" x14ac:dyDescent="0.25"/>
    <row r="1048287" x14ac:dyDescent="0.25"/>
    <row r="1048288" x14ac:dyDescent="0.25"/>
    <row r="1048289" x14ac:dyDescent="0.25"/>
    <row r="1048290" x14ac:dyDescent="0.25"/>
    <row r="1048291" x14ac:dyDescent="0.25"/>
    <row r="1048292" x14ac:dyDescent="0.25"/>
    <row r="1048293" x14ac:dyDescent="0.25"/>
    <row r="1048294" x14ac:dyDescent="0.25"/>
    <row r="1048295" x14ac:dyDescent="0.25"/>
    <row r="1048296" x14ac:dyDescent="0.25"/>
    <row r="1048297" x14ac:dyDescent="0.25"/>
    <row r="1048298" x14ac:dyDescent="0.25"/>
    <row r="1048299" x14ac:dyDescent="0.25"/>
    <row r="1048300" x14ac:dyDescent="0.25"/>
    <row r="1048301" x14ac:dyDescent="0.25"/>
    <row r="1048302" x14ac:dyDescent="0.25"/>
    <row r="1048303" x14ac:dyDescent="0.25"/>
    <row r="1048304" x14ac:dyDescent="0.25"/>
    <row r="1048305" x14ac:dyDescent="0.25"/>
    <row r="1048306" x14ac:dyDescent="0.25"/>
    <row r="1048307" x14ac:dyDescent="0.25"/>
    <row r="1048308" x14ac:dyDescent="0.25"/>
    <row r="1048309" x14ac:dyDescent="0.25"/>
    <row r="1048310" x14ac:dyDescent="0.25"/>
    <row r="1048311" x14ac:dyDescent="0.25"/>
    <row r="1048312" x14ac:dyDescent="0.25"/>
    <row r="1048313" x14ac:dyDescent="0.25"/>
    <row r="1048314" x14ac:dyDescent="0.25"/>
    <row r="1048315" x14ac:dyDescent="0.25"/>
    <row r="1048316" x14ac:dyDescent="0.25"/>
    <row r="1048317" x14ac:dyDescent="0.25"/>
    <row r="1048318" x14ac:dyDescent="0.25"/>
    <row r="1048319" x14ac:dyDescent="0.25"/>
    <row r="1048320" x14ac:dyDescent="0.25"/>
    <row r="1048321" x14ac:dyDescent="0.25"/>
    <row r="1048322" x14ac:dyDescent="0.25"/>
    <row r="1048323" x14ac:dyDescent="0.25"/>
    <row r="1048324" x14ac:dyDescent="0.25"/>
    <row r="1048325" x14ac:dyDescent="0.25"/>
    <row r="1048326" x14ac:dyDescent="0.25"/>
    <row r="1048327" x14ac:dyDescent="0.25"/>
    <row r="1048328" x14ac:dyDescent="0.25"/>
    <row r="1048329" x14ac:dyDescent="0.25"/>
    <row r="1048330" x14ac:dyDescent="0.25"/>
    <row r="1048331" x14ac:dyDescent="0.25"/>
    <row r="1048332" x14ac:dyDescent="0.25"/>
    <row r="1048333" x14ac:dyDescent="0.25"/>
    <row r="1048334" x14ac:dyDescent="0.25"/>
    <row r="1048335" x14ac:dyDescent="0.25"/>
    <row r="1048336" x14ac:dyDescent="0.25"/>
    <row r="1048337" x14ac:dyDescent="0.25"/>
    <row r="1048338" x14ac:dyDescent="0.25"/>
    <row r="1048339" x14ac:dyDescent="0.25"/>
    <row r="1048340" x14ac:dyDescent="0.25"/>
    <row r="1048341" x14ac:dyDescent="0.25"/>
    <row r="1048342" x14ac:dyDescent="0.25"/>
    <row r="1048343" x14ac:dyDescent="0.25"/>
    <row r="1048344" x14ac:dyDescent="0.25"/>
    <row r="1048345" x14ac:dyDescent="0.25"/>
    <row r="1048346" x14ac:dyDescent="0.25"/>
    <row r="1048347" x14ac:dyDescent="0.25"/>
    <row r="1048348" x14ac:dyDescent="0.25"/>
    <row r="1048349" x14ac:dyDescent="0.25"/>
    <row r="1048350" x14ac:dyDescent="0.25"/>
    <row r="1048351" x14ac:dyDescent="0.25"/>
    <row r="1048352" x14ac:dyDescent="0.25"/>
    <row r="1048353" x14ac:dyDescent="0.25"/>
    <row r="1048354" x14ac:dyDescent="0.25"/>
    <row r="1048355" x14ac:dyDescent="0.25"/>
    <row r="1048356" x14ac:dyDescent="0.25"/>
    <row r="1048357" x14ac:dyDescent="0.25"/>
    <row r="1048358" x14ac:dyDescent="0.25"/>
    <row r="1048359" x14ac:dyDescent="0.25"/>
    <row r="1048360" x14ac:dyDescent="0.25"/>
    <row r="1048361" x14ac:dyDescent="0.25"/>
    <row r="1048362" x14ac:dyDescent="0.25"/>
    <row r="1048363" x14ac:dyDescent="0.25"/>
    <row r="1048364" x14ac:dyDescent="0.25"/>
    <row r="1048365" x14ac:dyDescent="0.25"/>
    <row r="1048366" x14ac:dyDescent="0.25"/>
    <row r="1048367" x14ac:dyDescent="0.25"/>
    <row r="1048368" x14ac:dyDescent="0.25"/>
    <row r="1048369" x14ac:dyDescent="0.25"/>
    <row r="1048370" x14ac:dyDescent="0.25"/>
    <row r="1048371" x14ac:dyDescent="0.25"/>
    <row r="1048372" x14ac:dyDescent="0.25"/>
    <row r="1048373" x14ac:dyDescent="0.25"/>
    <row r="1048374" x14ac:dyDescent="0.25"/>
    <row r="1048375" x14ac:dyDescent="0.25"/>
    <row r="1048376" x14ac:dyDescent="0.25"/>
    <row r="1048377" x14ac:dyDescent="0.25"/>
    <row r="1048378" x14ac:dyDescent="0.25"/>
    <row r="1048379" x14ac:dyDescent="0.25"/>
    <row r="1048380" x14ac:dyDescent="0.25"/>
    <row r="1048381" x14ac:dyDescent="0.25"/>
    <row r="1048382" x14ac:dyDescent="0.25"/>
    <row r="1048383" x14ac:dyDescent="0.25"/>
    <row r="1048384" x14ac:dyDescent="0.25"/>
    <row r="1048385" x14ac:dyDescent="0.25"/>
    <row r="1048386" x14ac:dyDescent="0.25"/>
    <row r="1048387" x14ac:dyDescent="0.25"/>
    <row r="1048388" x14ac:dyDescent="0.25"/>
    <row r="1048389" x14ac:dyDescent="0.25"/>
    <row r="1048390" x14ac:dyDescent="0.25"/>
    <row r="1048391" x14ac:dyDescent="0.25"/>
    <row r="1048392" x14ac:dyDescent="0.25"/>
    <row r="1048393" x14ac:dyDescent="0.25"/>
    <row r="1048394" x14ac:dyDescent="0.25"/>
    <row r="1048395" x14ac:dyDescent="0.25"/>
    <row r="1048396" x14ac:dyDescent="0.25"/>
    <row r="1048397" x14ac:dyDescent="0.25"/>
    <row r="1048398" x14ac:dyDescent="0.25"/>
    <row r="1048399" x14ac:dyDescent="0.25"/>
    <row r="1048400" x14ac:dyDescent="0.25"/>
    <row r="1048401" x14ac:dyDescent="0.25"/>
    <row r="1048402" x14ac:dyDescent="0.25"/>
    <row r="1048403" x14ac:dyDescent="0.25"/>
    <row r="1048404" x14ac:dyDescent="0.25"/>
    <row r="1048405" x14ac:dyDescent="0.25"/>
    <row r="1048406" x14ac:dyDescent="0.25"/>
    <row r="1048407" x14ac:dyDescent="0.25"/>
    <row r="1048408" x14ac:dyDescent="0.25"/>
    <row r="1048409" x14ac:dyDescent="0.25"/>
    <row r="1048410" x14ac:dyDescent="0.25"/>
    <row r="1048411" x14ac:dyDescent="0.25"/>
    <row r="1048412" x14ac:dyDescent="0.25"/>
    <row r="1048413" x14ac:dyDescent="0.25"/>
    <row r="1048414" x14ac:dyDescent="0.25"/>
    <row r="1048415" x14ac:dyDescent="0.25"/>
    <row r="1048416" x14ac:dyDescent="0.25"/>
    <row r="1048417" x14ac:dyDescent="0.25"/>
    <row r="1048418" x14ac:dyDescent="0.25"/>
    <row r="1048419" x14ac:dyDescent="0.25"/>
    <row r="1048420" x14ac:dyDescent="0.25"/>
    <row r="1048421" x14ac:dyDescent="0.25"/>
    <row r="1048422" x14ac:dyDescent="0.25"/>
    <row r="1048423" x14ac:dyDescent="0.25"/>
    <row r="1048424" x14ac:dyDescent="0.25"/>
    <row r="1048425" x14ac:dyDescent="0.25"/>
    <row r="1048426" x14ac:dyDescent="0.25"/>
    <row r="1048427" x14ac:dyDescent="0.25"/>
    <row r="1048428" x14ac:dyDescent="0.25"/>
    <row r="1048429" x14ac:dyDescent="0.25"/>
    <row r="1048430" x14ac:dyDescent="0.25"/>
    <row r="1048431" x14ac:dyDescent="0.25"/>
    <row r="1048432" x14ac:dyDescent="0.25"/>
    <row r="1048433" x14ac:dyDescent="0.25"/>
    <row r="1048434" x14ac:dyDescent="0.25"/>
    <row r="1048435" x14ac:dyDescent="0.25"/>
    <row r="1048436" x14ac:dyDescent="0.25"/>
    <row r="1048437" x14ac:dyDescent="0.25"/>
    <row r="1048438" x14ac:dyDescent="0.25"/>
    <row r="1048439" x14ac:dyDescent="0.25"/>
    <row r="1048440" x14ac:dyDescent="0.25"/>
    <row r="1048441" x14ac:dyDescent="0.25"/>
    <row r="1048442" x14ac:dyDescent="0.25"/>
    <row r="1048443" x14ac:dyDescent="0.25"/>
    <row r="1048444" x14ac:dyDescent="0.25"/>
    <row r="1048445" x14ac:dyDescent="0.25"/>
    <row r="1048446" x14ac:dyDescent="0.25"/>
    <row r="1048447" x14ac:dyDescent="0.25"/>
    <row r="1048448" x14ac:dyDescent="0.25"/>
    <row r="1048449" x14ac:dyDescent="0.25"/>
    <row r="1048450" x14ac:dyDescent="0.25"/>
    <row r="1048451" x14ac:dyDescent="0.25"/>
    <row r="1048452" x14ac:dyDescent="0.25"/>
    <row r="1048453" x14ac:dyDescent="0.25"/>
    <row r="1048454" x14ac:dyDescent="0.25"/>
    <row r="1048455" x14ac:dyDescent="0.25"/>
    <row r="1048456" x14ac:dyDescent="0.25"/>
    <row r="1048457" x14ac:dyDescent="0.25"/>
    <row r="1048458" x14ac:dyDescent="0.25"/>
    <row r="1048459" x14ac:dyDescent="0.25"/>
    <row r="1048460" x14ac:dyDescent="0.25"/>
    <row r="1048461" x14ac:dyDescent="0.25"/>
    <row r="1048462" x14ac:dyDescent="0.25"/>
    <row r="1048463" x14ac:dyDescent="0.25"/>
    <row r="1048464" x14ac:dyDescent="0.25"/>
    <row r="1048465" x14ac:dyDescent="0.25"/>
    <row r="1048466" x14ac:dyDescent="0.25"/>
    <row r="1048467" x14ac:dyDescent="0.25"/>
    <row r="1048468" x14ac:dyDescent="0.25"/>
    <row r="1048469" x14ac:dyDescent="0.25"/>
    <row r="1048470" x14ac:dyDescent="0.25"/>
    <row r="1048471" x14ac:dyDescent="0.25"/>
    <row r="1048472" x14ac:dyDescent="0.25"/>
    <row r="1048473" x14ac:dyDescent="0.25"/>
    <row r="1048474" x14ac:dyDescent="0.25"/>
    <row r="1048475" x14ac:dyDescent="0.25"/>
    <row r="1048476" x14ac:dyDescent="0.25"/>
    <row r="1048477" x14ac:dyDescent="0.25"/>
    <row r="1048478" x14ac:dyDescent="0.25"/>
    <row r="1048479" x14ac:dyDescent="0.25"/>
    <row r="1048480" x14ac:dyDescent="0.25"/>
    <row r="1048481" x14ac:dyDescent="0.25"/>
    <row r="1048482" x14ac:dyDescent="0.25"/>
    <row r="1048483" x14ac:dyDescent="0.25"/>
    <row r="1048484" x14ac:dyDescent="0.25"/>
    <row r="1048485" x14ac:dyDescent="0.25"/>
    <row r="1048486" x14ac:dyDescent="0.25"/>
    <row r="1048487" x14ac:dyDescent="0.25"/>
    <row r="1048488" x14ac:dyDescent="0.25"/>
    <row r="1048489" x14ac:dyDescent="0.25"/>
    <row r="1048490" x14ac:dyDescent="0.25"/>
    <row r="1048491" x14ac:dyDescent="0.25"/>
    <row r="1048492" x14ac:dyDescent="0.25"/>
    <row r="1048493" x14ac:dyDescent="0.25"/>
    <row r="1048494" x14ac:dyDescent="0.25"/>
    <row r="1048495" x14ac:dyDescent="0.25"/>
    <row r="1048496" x14ac:dyDescent="0.25"/>
    <row r="1048497" x14ac:dyDescent="0.25"/>
    <row r="1048498" x14ac:dyDescent="0.25"/>
    <row r="1048499" x14ac:dyDescent="0.25"/>
    <row r="1048500" x14ac:dyDescent="0.25"/>
    <row r="1048501" x14ac:dyDescent="0.25"/>
    <row r="1048502" x14ac:dyDescent="0.25"/>
    <row r="1048503" x14ac:dyDescent="0.25"/>
    <row r="1048504" x14ac:dyDescent="0.25"/>
    <row r="1048505" x14ac:dyDescent="0.25"/>
    <row r="1048506" x14ac:dyDescent="0.25"/>
    <row r="1048507" x14ac:dyDescent="0.25"/>
    <row r="1048508" x14ac:dyDescent="0.25"/>
    <row r="1048509" x14ac:dyDescent="0.25"/>
    <row r="1048510" x14ac:dyDescent="0.25"/>
    <row r="1048511" x14ac:dyDescent="0.25"/>
    <row r="1048512" x14ac:dyDescent="0.25"/>
    <row r="1048513" x14ac:dyDescent="0.25"/>
    <row r="1048514" x14ac:dyDescent="0.25"/>
    <row r="1048515" x14ac:dyDescent="0.25"/>
    <row r="1048516" x14ac:dyDescent="0.25"/>
    <row r="1048517" x14ac:dyDescent="0.25"/>
    <row r="1048518" x14ac:dyDescent="0.25"/>
    <row r="1048519" x14ac:dyDescent="0.25"/>
    <row r="1048520" x14ac:dyDescent="0.25"/>
    <row r="1048521" x14ac:dyDescent="0.25"/>
    <row r="1048522" x14ac:dyDescent="0.25"/>
    <row r="1048523" x14ac:dyDescent="0.25"/>
    <row r="1048524" x14ac:dyDescent="0.25"/>
    <row r="1048525" x14ac:dyDescent="0.25"/>
    <row r="1048526" x14ac:dyDescent="0.25"/>
    <row r="1048527" x14ac:dyDescent="0.25"/>
    <row r="1048528" x14ac:dyDescent="0.25"/>
    <row r="1048529" x14ac:dyDescent="0.25"/>
    <row r="1048530" x14ac:dyDescent="0.25"/>
    <row r="1048531" x14ac:dyDescent="0.25"/>
    <row r="1048532" x14ac:dyDescent="0.25"/>
    <row r="1048533" x14ac:dyDescent="0.25"/>
    <row r="1048534" x14ac:dyDescent="0.25"/>
    <row r="1048535" x14ac:dyDescent="0.25"/>
    <row r="1048536" x14ac:dyDescent="0.25"/>
    <row r="1048537" x14ac:dyDescent="0.25"/>
    <row r="1048538" x14ac:dyDescent="0.25"/>
    <row r="1048539" x14ac:dyDescent="0.25"/>
    <row r="1048540" x14ac:dyDescent="0.25"/>
    <row r="1048541" x14ac:dyDescent="0.25"/>
    <row r="1048542" x14ac:dyDescent="0.25"/>
    <row r="1048543" x14ac:dyDescent="0.25"/>
    <row r="1048544" x14ac:dyDescent="0.25"/>
    <row r="1048545" x14ac:dyDescent="0.25"/>
    <row r="1048546" x14ac:dyDescent="0.25"/>
    <row r="1048547" x14ac:dyDescent="0.25"/>
    <row r="1048548" x14ac:dyDescent="0.25"/>
    <row r="1048549" x14ac:dyDescent="0.25"/>
    <row r="1048550" x14ac:dyDescent="0.25"/>
    <row r="1048551" x14ac:dyDescent="0.25"/>
    <row r="1048552" x14ac:dyDescent="0.25"/>
    <row r="1048553" x14ac:dyDescent="0.25"/>
    <row r="1048554" x14ac:dyDescent="0.25"/>
    <row r="1048555" x14ac:dyDescent="0.25"/>
    <row r="1048556" x14ac:dyDescent="0.25"/>
    <row r="1048557" x14ac:dyDescent="0.25"/>
    <row r="1048558" x14ac:dyDescent="0.25"/>
    <row r="1048559" x14ac:dyDescent="0.25"/>
    <row r="1048560" x14ac:dyDescent="0.25"/>
    <row r="1048561" x14ac:dyDescent="0.25"/>
    <row r="1048562" x14ac:dyDescent="0.25"/>
    <row r="1048563" x14ac:dyDescent="0.25"/>
    <row r="1048564" x14ac:dyDescent="0.25"/>
    <row r="1048565" x14ac:dyDescent="0.25"/>
    <row r="1048566" x14ac:dyDescent="0.25"/>
    <row r="1048567" x14ac:dyDescent="0.25"/>
    <row r="1048568" x14ac:dyDescent="0.25"/>
    <row r="1048569" x14ac:dyDescent="0.25"/>
    <row r="1048570" x14ac:dyDescent="0.25"/>
    <row r="1048571" x14ac:dyDescent="0.25"/>
    <row r="1048572" x14ac:dyDescent="0.25"/>
    <row r="1048573" x14ac:dyDescent="0.25"/>
    <row r="1048574" x14ac:dyDescent="0.25"/>
    <row r="1048575" x14ac:dyDescent="0.25"/>
  </sheetData>
  <autoFilter ref="A3:AI1045992" xr:uid="{00000000-0009-0000-0000-000000000000}">
    <filterColumn colId="2">
      <filters>
        <filter val="28/08/2026"/>
      </filters>
    </filterColumn>
  </autoFilter>
  <conditionalFormatting sqref="Q1:Y2 Q4:Y1048576">
    <cfRule type="cellIs" dxfId="12" priority="5" operator="greaterThan">
      <formula>80</formula>
    </cfRule>
  </conditionalFormatting>
  <conditionalFormatting sqref="AA2:AF2">
    <cfRule type="cellIs" dxfId="11" priority="2" operator="lessThan">
      <formula>0</formula>
    </cfRule>
    <cfRule type="cellIs" dxfId="1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3"/>
  <sheetViews>
    <sheetView showGridLines="0" zoomScale="170" zoomScaleNormal="170" workbookViewId="0">
      <pane ySplit="2" topLeftCell="A9" activePane="bottomLeft" state="frozen"/>
      <selection pane="bottomLeft" activeCell="A24" sqref="A24"/>
    </sheetView>
  </sheetViews>
  <sheetFormatPr defaultColWidth="8.7109375" defaultRowHeight="15" x14ac:dyDescent="0.25"/>
  <cols>
    <col min="1" max="1" width="10" bestFit="1" customWidth="1"/>
    <col min="2" max="2" width="12.140625" bestFit="1" customWidth="1"/>
    <col min="3" max="4" width="9.42578125" bestFit="1" customWidth="1"/>
    <col min="5" max="5" width="8.28515625" bestFit="1" customWidth="1"/>
    <col min="6" max="6" width="9.42578125" bestFit="1" customWidth="1"/>
    <col min="7" max="7" width="11.140625" bestFit="1" customWidth="1"/>
    <col min="20" max="20" width="10.42578125" customWidth="1"/>
    <col min="21" max="22" width="12.28515625" customWidth="1"/>
    <col min="23" max="23" width="8.42578125" customWidth="1"/>
    <col min="24" max="39" width="8.7109375" customWidth="1"/>
    <col min="45" max="45" width="12.7109375" customWidth="1"/>
    <col min="51" max="51" width="12.7109375" customWidth="1"/>
  </cols>
  <sheetData>
    <row r="1" spans="1:8" x14ac:dyDescent="0.25">
      <c r="C1" s="2">
        <f>SUM(C3:C35)</f>
        <v>447.4</v>
      </c>
      <c r="D1" s="2">
        <f>SUM(D3:D35)</f>
        <v>-446</v>
      </c>
      <c r="E1" s="2">
        <f>SUM(E3:E35)</f>
        <v>1.3999999999999915</v>
      </c>
      <c r="F1" s="2">
        <f>SUM(F3:F35)</f>
        <v>259.2</v>
      </c>
    </row>
    <row r="2" spans="1:8" x14ac:dyDescent="0.25">
      <c r="A2" s="18" t="s">
        <v>215</v>
      </c>
      <c r="B2" s="18" t="s">
        <v>216</v>
      </c>
      <c r="C2" s="18" t="s">
        <v>217</v>
      </c>
      <c r="D2" s="18" t="s">
        <v>218</v>
      </c>
      <c r="E2" s="18" t="s">
        <v>219</v>
      </c>
      <c r="F2" s="17" t="s">
        <v>220</v>
      </c>
      <c r="G2" s="17" t="s">
        <v>221</v>
      </c>
    </row>
    <row r="3" spans="1:8" x14ac:dyDescent="0.25">
      <c r="A3" s="19">
        <v>46051</v>
      </c>
      <c r="B3" s="18"/>
      <c r="C3" s="18"/>
      <c r="D3" s="18"/>
      <c r="E3" s="18"/>
      <c r="F3" s="20">
        <f>5+14.9</f>
        <v>19.899999999999999</v>
      </c>
      <c r="G3" s="17" t="s">
        <v>27</v>
      </c>
      <c r="H3" s="2"/>
    </row>
    <row r="4" spans="1:8" x14ac:dyDescent="0.25">
      <c r="A4" s="19">
        <f>A3+2</f>
        <v>46053</v>
      </c>
      <c r="B4" s="18"/>
      <c r="C4" s="18"/>
      <c r="D4" s="18"/>
      <c r="E4" s="18"/>
      <c r="F4" s="20">
        <v>29.85</v>
      </c>
      <c r="G4" s="17" t="s">
        <v>27</v>
      </c>
      <c r="H4" s="2"/>
    </row>
    <row r="5" spans="1:8" x14ac:dyDescent="0.25">
      <c r="A5" s="19">
        <v>46233</v>
      </c>
      <c r="B5" s="18"/>
      <c r="C5" s="18"/>
      <c r="D5" s="18"/>
      <c r="E5" s="18"/>
      <c r="F5" s="20">
        <v>9.9499999999999993</v>
      </c>
      <c r="G5" s="17" t="s">
        <v>27</v>
      </c>
      <c r="H5" s="2"/>
    </row>
    <row r="6" spans="1:8" x14ac:dyDescent="0.25">
      <c r="A6" s="19">
        <v>46241</v>
      </c>
      <c r="B6" s="18"/>
      <c r="C6" s="18"/>
      <c r="D6" s="18"/>
      <c r="E6" s="18"/>
      <c r="F6" s="20">
        <v>19.899999999999999</v>
      </c>
      <c r="G6" s="17" t="s">
        <v>27</v>
      </c>
      <c r="H6" s="2"/>
    </row>
    <row r="7" spans="1:8" x14ac:dyDescent="0.25">
      <c r="A7" s="19">
        <f>A6+1</f>
        <v>46242</v>
      </c>
      <c r="B7" s="18"/>
      <c r="C7" s="18"/>
      <c r="D7" s="18"/>
      <c r="E7" s="18"/>
      <c r="F7" s="20">
        <v>49.75</v>
      </c>
      <c r="G7" s="17" t="s">
        <v>27</v>
      </c>
      <c r="H7" s="2"/>
    </row>
    <row r="8" spans="1:8" x14ac:dyDescent="0.25">
      <c r="A8" s="19">
        <f>A7+1</f>
        <v>46243</v>
      </c>
      <c r="B8" s="18"/>
      <c r="C8" s="18"/>
      <c r="D8" s="18"/>
      <c r="E8" s="18"/>
      <c r="F8" s="20">
        <f>29.85</f>
        <v>29.85</v>
      </c>
      <c r="G8" s="17" t="s">
        <v>27</v>
      </c>
      <c r="H8" s="2"/>
    </row>
    <row r="9" spans="1:8" x14ac:dyDescent="0.25">
      <c r="A9" s="19">
        <v>46249</v>
      </c>
      <c r="B9" s="21">
        <v>0.41666666666666702</v>
      </c>
      <c r="C9" s="22">
        <v>20</v>
      </c>
      <c r="D9" s="22">
        <v>-24</v>
      </c>
      <c r="E9" s="22">
        <f>SUM(C9:D9)</f>
        <v>-4</v>
      </c>
      <c r="F9" s="22"/>
      <c r="G9" s="17" t="s">
        <v>27</v>
      </c>
    </row>
    <row r="10" spans="1:8" x14ac:dyDescent="0.25">
      <c r="A10" s="19">
        <v>46249</v>
      </c>
      <c r="B10" s="21">
        <v>0.90833333333333299</v>
      </c>
      <c r="C10" s="22">
        <v>44.66</v>
      </c>
      <c r="D10" s="22">
        <v>-50</v>
      </c>
      <c r="E10" s="22">
        <f>SUM(C10:D10)</f>
        <v>-5.3400000000000034</v>
      </c>
      <c r="F10" s="22"/>
      <c r="G10" s="17" t="s">
        <v>27</v>
      </c>
    </row>
    <row r="11" spans="1:8" x14ac:dyDescent="0.25">
      <c r="A11" s="19">
        <v>46250</v>
      </c>
      <c r="B11" s="21">
        <v>0.49722222222222201</v>
      </c>
      <c r="C11" s="22">
        <v>25.93</v>
      </c>
      <c r="D11" s="22">
        <v>-23</v>
      </c>
      <c r="E11" s="22">
        <f>SUM(C11:D11)</f>
        <v>2.9299999999999997</v>
      </c>
      <c r="F11" s="22"/>
      <c r="G11" s="17" t="s">
        <v>27</v>
      </c>
    </row>
    <row r="12" spans="1:8" x14ac:dyDescent="0.25">
      <c r="A12" s="19">
        <v>46252</v>
      </c>
      <c r="B12" s="21">
        <v>0.57430555555555596</v>
      </c>
      <c r="C12" s="22">
        <v>58.8</v>
      </c>
      <c r="D12" s="22">
        <v>-52</v>
      </c>
      <c r="E12" s="22">
        <f>SUM(C12:D12)</f>
        <v>6.7999999999999972</v>
      </c>
      <c r="F12" s="22"/>
      <c r="G12" s="17" t="s">
        <v>27</v>
      </c>
    </row>
    <row r="13" spans="1:8" x14ac:dyDescent="0.25">
      <c r="A13" s="19">
        <v>46252</v>
      </c>
      <c r="B13" s="18"/>
      <c r="C13" s="22"/>
      <c r="D13" s="22"/>
      <c r="E13" s="22"/>
      <c r="F13" s="20">
        <v>25</v>
      </c>
      <c r="G13" s="17" t="s">
        <v>30</v>
      </c>
    </row>
    <row r="14" spans="1:8" x14ac:dyDescent="0.25">
      <c r="A14" s="19">
        <v>46252</v>
      </c>
      <c r="B14" s="18"/>
      <c r="C14" s="22"/>
      <c r="D14" s="22"/>
      <c r="E14" s="22"/>
      <c r="F14" s="20">
        <v>25</v>
      </c>
      <c r="G14" s="17" t="s">
        <v>30</v>
      </c>
    </row>
    <row r="15" spans="1:8" x14ac:dyDescent="0.25">
      <c r="A15" s="19">
        <v>46255</v>
      </c>
      <c r="B15" s="21">
        <v>0.875694444444444</v>
      </c>
      <c r="C15" s="22">
        <v>57.28</v>
      </c>
      <c r="D15" s="22">
        <v>-45</v>
      </c>
      <c r="E15" s="22">
        <f>SUM(C15:D15)</f>
        <v>12.280000000000001</v>
      </c>
      <c r="F15" s="22"/>
      <c r="G15" s="17" t="s">
        <v>27</v>
      </c>
    </row>
    <row r="16" spans="1:8" x14ac:dyDescent="0.25">
      <c r="A16" s="19">
        <v>46256</v>
      </c>
      <c r="B16" s="21">
        <v>0.70347222222222205</v>
      </c>
      <c r="C16" s="22">
        <v>63.98</v>
      </c>
      <c r="D16" s="22">
        <v>-47</v>
      </c>
      <c r="E16" s="22">
        <f>SUM(C16:D16)</f>
        <v>16.979999999999997</v>
      </c>
      <c r="F16" s="22"/>
      <c r="G16" s="17" t="s">
        <v>27</v>
      </c>
    </row>
    <row r="17" spans="1:7" x14ac:dyDescent="0.25">
      <c r="A17" s="19">
        <v>46256</v>
      </c>
      <c r="B17" s="21">
        <v>0.75763888888888897</v>
      </c>
      <c r="C17" s="22">
        <v>8.25</v>
      </c>
      <c r="D17" s="22">
        <v>-5</v>
      </c>
      <c r="E17" s="22">
        <f>SUM(C17:D17)</f>
        <v>3.25</v>
      </c>
      <c r="F17" s="22"/>
      <c r="G17" s="17" t="s">
        <v>27</v>
      </c>
    </row>
    <row r="18" spans="1:7" x14ac:dyDescent="0.25">
      <c r="A18" s="19">
        <v>46256</v>
      </c>
      <c r="B18" s="21">
        <v>0.93958333333333299</v>
      </c>
      <c r="C18" s="22">
        <v>26.57</v>
      </c>
      <c r="D18" s="22">
        <v>-28</v>
      </c>
      <c r="E18" s="22">
        <f>SUM(C18:D18)</f>
        <v>-1.4299999999999997</v>
      </c>
      <c r="F18" s="22"/>
      <c r="G18" s="17" t="s">
        <v>27</v>
      </c>
    </row>
    <row r="19" spans="1:7" x14ac:dyDescent="0.25">
      <c r="A19" s="19">
        <v>46257</v>
      </c>
      <c r="B19" s="18"/>
      <c r="C19" s="22"/>
      <c r="D19" s="22"/>
      <c r="E19" s="22"/>
      <c r="F19" s="20">
        <v>25</v>
      </c>
      <c r="G19" s="17" t="s">
        <v>30</v>
      </c>
    </row>
    <row r="20" spans="1:7" x14ac:dyDescent="0.25">
      <c r="A20" s="19">
        <v>46257</v>
      </c>
      <c r="B20" s="18"/>
      <c r="C20" s="22"/>
      <c r="D20" s="22"/>
      <c r="E20" s="22"/>
      <c r="F20" s="20">
        <v>25</v>
      </c>
      <c r="G20" s="17" t="s">
        <v>30</v>
      </c>
    </row>
    <row r="21" spans="1:7" x14ac:dyDescent="0.25">
      <c r="A21" s="19">
        <v>46257</v>
      </c>
      <c r="B21" s="21">
        <v>0.86944444444444502</v>
      </c>
      <c r="C21" s="22">
        <v>82.44</v>
      </c>
      <c r="D21" s="22">
        <v>-70</v>
      </c>
      <c r="E21" s="22">
        <f>SUM(C21:D21)</f>
        <v>12.439999999999998</v>
      </c>
      <c r="F21" s="22"/>
      <c r="G21" s="17" t="s">
        <v>27</v>
      </c>
    </row>
    <row r="22" spans="1:7" x14ac:dyDescent="0.25">
      <c r="A22" s="19">
        <v>46258</v>
      </c>
      <c r="B22" s="21">
        <v>0.56111111111111112</v>
      </c>
      <c r="C22" s="22">
        <v>8.73</v>
      </c>
      <c r="D22" s="22">
        <v>-52</v>
      </c>
      <c r="E22" s="22">
        <f>SUM(C22:D22)</f>
        <v>-43.269999999999996</v>
      </c>
      <c r="F22" s="22"/>
      <c r="G22" s="17" t="s">
        <v>27</v>
      </c>
    </row>
    <row r="23" spans="1:7" x14ac:dyDescent="0.25">
      <c r="A23" s="19">
        <v>46261</v>
      </c>
      <c r="B23" s="21">
        <v>0.72986111111111107</v>
      </c>
      <c r="C23" s="22">
        <v>50.76</v>
      </c>
      <c r="D23" s="22">
        <v>-50</v>
      </c>
      <c r="E23" s="22">
        <f>SUM(C23:D23)</f>
        <v>0.75999999999999801</v>
      </c>
      <c r="F23" s="22"/>
      <c r="G23" s="17" t="s">
        <v>27</v>
      </c>
    </row>
  </sheetData>
  <conditionalFormatting sqref="C1:E1">
    <cfRule type="cellIs" dxfId="9" priority="4" operator="greaterThan">
      <formula>0</formula>
    </cfRule>
    <cfRule type="cellIs" dxfId="8" priority="5" operator="lessThan">
      <formula>0</formula>
    </cfRule>
  </conditionalFormatting>
  <conditionalFormatting sqref="E9:E12">
    <cfRule type="cellIs" dxfId="7" priority="8" operator="greaterThan">
      <formula>0</formula>
    </cfRule>
    <cfRule type="cellIs" dxfId="6" priority="9" operator="lessThan">
      <formula>0</formula>
    </cfRule>
  </conditionalFormatting>
  <conditionalFormatting sqref="E15:E18 E21:E2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H3:H8">
    <cfRule type="cellIs" dxfId="3" priority="6" operator="greaterThan">
      <formula>0</formula>
    </cfRule>
    <cfRule type="cellIs" dxfId="2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2"/>
  <sheetViews>
    <sheetView tabSelected="1" topLeftCell="G107" zoomScale="140" zoomScaleNormal="140" workbookViewId="0">
      <selection activeCell="V117" sqref="V117:V132"/>
    </sheetView>
  </sheetViews>
  <sheetFormatPr defaultColWidth="8.7109375" defaultRowHeight="15" x14ac:dyDescent="0.25"/>
  <cols>
    <col min="1" max="1" width="33.140625" customWidth="1"/>
    <col min="2" max="2" width="10.42578125" customWidth="1"/>
    <col min="3" max="3" width="7.140625" customWidth="1"/>
    <col min="4" max="4" width="16.42578125" customWidth="1"/>
    <col min="5" max="5" width="22.7109375" customWidth="1"/>
    <col min="6" max="7" width="5.7109375" customWidth="1"/>
    <col min="8" max="8" width="12.28515625" customWidth="1"/>
    <col min="9" max="9" width="8.42578125" customWidth="1"/>
    <col min="11" max="11" width="11.42578125" customWidth="1"/>
    <col min="12" max="14" width="10.140625" customWidth="1"/>
    <col min="15" max="15" width="11.140625" bestFit="1" customWidth="1"/>
    <col min="16" max="16" width="22.7109375" style="14" customWidth="1"/>
    <col min="17" max="17" width="24.42578125" customWidth="1"/>
    <col min="18" max="18" width="7" customWidth="1"/>
    <col min="19" max="19" width="10.140625" style="14" customWidth="1"/>
  </cols>
  <sheetData>
    <row r="1" spans="1:29" x14ac:dyDescent="0.25">
      <c r="A1" s="5" t="s">
        <v>222</v>
      </c>
      <c r="B1" s="6" t="s">
        <v>215</v>
      </c>
      <c r="C1" s="6" t="s">
        <v>216</v>
      </c>
      <c r="D1" s="6" t="s">
        <v>223</v>
      </c>
      <c r="E1" s="6" t="s">
        <v>224</v>
      </c>
      <c r="F1" s="10" t="s">
        <v>19</v>
      </c>
      <c r="G1" s="10" t="s">
        <v>20</v>
      </c>
      <c r="H1" s="10" t="s">
        <v>29</v>
      </c>
      <c r="I1" s="10" t="s">
        <v>26</v>
      </c>
      <c r="J1" s="10" t="s">
        <v>23</v>
      </c>
      <c r="K1" s="10" t="s">
        <v>30</v>
      </c>
      <c r="L1" s="11" t="s">
        <v>225</v>
      </c>
      <c r="M1" s="10" t="s">
        <v>31</v>
      </c>
      <c r="O1" s="23" t="s">
        <v>215</v>
      </c>
      <c r="P1" s="23" t="s">
        <v>223</v>
      </c>
      <c r="Q1" s="23" t="s">
        <v>224</v>
      </c>
      <c r="R1" s="23" t="s">
        <v>226</v>
      </c>
      <c r="S1" s="23" t="s">
        <v>227</v>
      </c>
      <c r="T1" s="24" t="s">
        <v>225</v>
      </c>
      <c r="U1" s="24" t="s">
        <v>228</v>
      </c>
      <c r="V1" s="25" t="s">
        <v>219</v>
      </c>
      <c r="X1" s="16" t="s">
        <v>229</v>
      </c>
      <c r="AC1">
        <v>55.61</v>
      </c>
    </row>
    <row r="2" spans="1:29" x14ac:dyDescent="0.25">
      <c r="A2" t="s">
        <v>74</v>
      </c>
      <c r="B2" t="s">
        <v>232</v>
      </c>
      <c r="C2" s="13">
        <v>0.9375</v>
      </c>
      <c r="D2" t="s">
        <v>105</v>
      </c>
      <c r="E2" t="s">
        <v>77</v>
      </c>
      <c r="F2" s="32">
        <v>2.3148148148148149</v>
      </c>
      <c r="G2" s="32">
        <v>1.7605633802816902</v>
      </c>
      <c r="H2" s="32">
        <v>1.5723270440251573</v>
      </c>
      <c r="I2" s="32">
        <v>2.1691973969631237</v>
      </c>
      <c r="J2" s="32">
        <v>1.855287569573284</v>
      </c>
      <c r="K2" t="s">
        <v>20</v>
      </c>
      <c r="L2" s="2">
        <v>3.48</v>
      </c>
      <c r="M2">
        <v>1.8</v>
      </c>
      <c r="N2" s="2"/>
      <c r="O2" s="26">
        <v>46254</v>
      </c>
      <c r="P2" s="27" t="s">
        <v>38</v>
      </c>
      <c r="Q2" s="27" t="s">
        <v>92</v>
      </c>
      <c r="R2" s="28" t="s">
        <v>20</v>
      </c>
      <c r="S2" s="27">
        <v>2</v>
      </c>
      <c r="T2" s="29">
        <v>2.77</v>
      </c>
      <c r="U2" s="28" t="s">
        <v>230</v>
      </c>
      <c r="V2" s="22">
        <f t="shared" ref="V2:V16" si="0">IF(U2="Loss",-T2,T2*S2-T2)</f>
        <v>-2.77</v>
      </c>
    </row>
    <row r="3" spans="1:29" x14ac:dyDescent="0.25">
      <c r="N3" s="2"/>
      <c r="O3" s="26">
        <v>46254</v>
      </c>
      <c r="P3" s="27" t="s">
        <v>196</v>
      </c>
      <c r="Q3" s="27" t="s">
        <v>131</v>
      </c>
      <c r="R3" s="28" t="s">
        <v>20</v>
      </c>
      <c r="S3" s="27">
        <v>1.83</v>
      </c>
      <c r="T3" s="29">
        <v>3.32</v>
      </c>
      <c r="U3" s="28" t="s">
        <v>230</v>
      </c>
      <c r="V3" s="22">
        <f t="shared" si="0"/>
        <v>-3.32</v>
      </c>
    </row>
    <row r="4" spans="1:29" x14ac:dyDescent="0.25">
      <c r="N4" s="2"/>
      <c r="O4" s="26">
        <v>46254</v>
      </c>
      <c r="P4" s="27" t="s">
        <v>196</v>
      </c>
      <c r="Q4" s="27" t="s">
        <v>131</v>
      </c>
      <c r="R4" s="28" t="s">
        <v>195</v>
      </c>
      <c r="S4" s="27">
        <v>1.97</v>
      </c>
      <c r="T4" s="29">
        <v>2.84</v>
      </c>
      <c r="U4" s="28" t="s">
        <v>230</v>
      </c>
      <c r="V4" s="22">
        <f t="shared" si="0"/>
        <v>-2.84</v>
      </c>
    </row>
    <row r="5" spans="1:29" x14ac:dyDescent="0.25">
      <c r="N5" s="2"/>
      <c r="O5" s="26">
        <v>46254</v>
      </c>
      <c r="P5" s="27" t="s">
        <v>132</v>
      </c>
      <c r="Q5" s="27" t="s">
        <v>167</v>
      </c>
      <c r="R5" s="28" t="s">
        <v>19</v>
      </c>
      <c r="S5" s="27">
        <v>2.4700000000000002</v>
      </c>
      <c r="T5" s="29">
        <v>2.77</v>
      </c>
      <c r="U5" s="28" t="s">
        <v>231</v>
      </c>
      <c r="V5" s="22">
        <f t="shared" si="0"/>
        <v>4.0719000000000012</v>
      </c>
    </row>
    <row r="6" spans="1:29" x14ac:dyDescent="0.25">
      <c r="N6" s="2"/>
      <c r="O6" s="26">
        <v>46254</v>
      </c>
      <c r="P6" s="27" t="s">
        <v>132</v>
      </c>
      <c r="Q6" s="27" t="s">
        <v>167</v>
      </c>
      <c r="R6" s="28" t="s">
        <v>22</v>
      </c>
      <c r="S6" s="27">
        <v>2.08</v>
      </c>
      <c r="T6" s="29">
        <v>2.77</v>
      </c>
      <c r="U6" s="28" t="s">
        <v>231</v>
      </c>
      <c r="V6" s="22">
        <f t="shared" si="0"/>
        <v>2.9916000000000005</v>
      </c>
    </row>
    <row r="7" spans="1:29" x14ac:dyDescent="0.25">
      <c r="N7" s="2"/>
      <c r="O7" s="26">
        <v>46254</v>
      </c>
      <c r="P7" s="27" t="s">
        <v>193</v>
      </c>
      <c r="Q7" s="27" t="s">
        <v>194</v>
      </c>
      <c r="R7" s="28" t="s">
        <v>19</v>
      </c>
      <c r="S7" s="27">
        <v>2.16</v>
      </c>
      <c r="T7" s="29">
        <v>2.77</v>
      </c>
      <c r="U7" s="28" t="s">
        <v>231</v>
      </c>
      <c r="V7" s="22">
        <f t="shared" si="0"/>
        <v>3.2132000000000001</v>
      </c>
    </row>
    <row r="8" spans="1:29" x14ac:dyDescent="0.25">
      <c r="N8" s="2"/>
      <c r="O8" s="26">
        <v>46254</v>
      </c>
      <c r="P8" s="27" t="s">
        <v>193</v>
      </c>
      <c r="Q8" s="27" t="s">
        <v>194</v>
      </c>
      <c r="R8" s="28" t="s">
        <v>22</v>
      </c>
      <c r="S8" s="27">
        <v>2</v>
      </c>
      <c r="T8" s="29">
        <v>2.77</v>
      </c>
      <c r="U8" s="28" t="s">
        <v>230</v>
      </c>
      <c r="V8" s="22">
        <f t="shared" si="0"/>
        <v>-2.77</v>
      </c>
    </row>
    <row r="9" spans="1:29" x14ac:dyDescent="0.25">
      <c r="N9" s="2"/>
      <c r="O9" s="26">
        <v>46254</v>
      </c>
      <c r="P9" s="27" t="s">
        <v>54</v>
      </c>
      <c r="Q9" s="27" t="s">
        <v>46</v>
      </c>
      <c r="R9" s="28" t="s">
        <v>19</v>
      </c>
      <c r="S9" s="27">
        <v>2.34</v>
      </c>
      <c r="T9" s="29">
        <v>2.77</v>
      </c>
      <c r="U9" s="28" t="s">
        <v>230</v>
      </c>
      <c r="V9" s="22">
        <f t="shared" si="0"/>
        <v>-2.77</v>
      </c>
    </row>
    <row r="10" spans="1:29" x14ac:dyDescent="0.25">
      <c r="N10" s="2"/>
      <c r="O10" s="26">
        <v>46255</v>
      </c>
      <c r="P10" s="27" t="s">
        <v>59</v>
      </c>
      <c r="Q10" s="27" t="s">
        <v>62</v>
      </c>
      <c r="R10" s="28" t="s">
        <v>20</v>
      </c>
      <c r="S10" s="27">
        <v>2.2200000000000002</v>
      </c>
      <c r="T10" s="29">
        <v>2.77</v>
      </c>
      <c r="U10" s="28" t="s">
        <v>230</v>
      </c>
      <c r="V10" s="22">
        <f t="shared" si="0"/>
        <v>-2.77</v>
      </c>
    </row>
    <row r="11" spans="1:29" x14ac:dyDescent="0.25">
      <c r="N11" s="2"/>
      <c r="O11" s="26">
        <v>46255</v>
      </c>
      <c r="P11" s="27" t="s">
        <v>87</v>
      </c>
      <c r="Q11" s="27" t="s">
        <v>89</v>
      </c>
      <c r="R11" s="28" t="s">
        <v>20</v>
      </c>
      <c r="S11" s="27">
        <v>2.67</v>
      </c>
      <c r="T11" s="29">
        <v>2.77</v>
      </c>
      <c r="U11" s="28" t="s">
        <v>231</v>
      </c>
      <c r="V11" s="22">
        <f t="shared" si="0"/>
        <v>4.6258999999999997</v>
      </c>
    </row>
    <row r="12" spans="1:29" x14ac:dyDescent="0.25">
      <c r="N12" s="2"/>
      <c r="O12" s="26">
        <v>46255</v>
      </c>
      <c r="P12" s="27" t="s">
        <v>87</v>
      </c>
      <c r="Q12" s="27" t="s">
        <v>89</v>
      </c>
      <c r="R12" s="28" t="s">
        <v>195</v>
      </c>
      <c r="S12" s="27">
        <v>1.96</v>
      </c>
      <c r="T12" s="29">
        <v>2.87</v>
      </c>
      <c r="U12" s="28" t="s">
        <v>231</v>
      </c>
      <c r="V12" s="22">
        <f t="shared" si="0"/>
        <v>2.7552000000000003</v>
      </c>
    </row>
    <row r="13" spans="1:29" x14ac:dyDescent="0.25">
      <c r="N13" s="15"/>
      <c r="O13" s="26">
        <v>46255</v>
      </c>
      <c r="P13" s="27" t="s">
        <v>91</v>
      </c>
      <c r="Q13" s="27" t="s">
        <v>88</v>
      </c>
      <c r="R13" s="28" t="s">
        <v>20</v>
      </c>
      <c r="S13" s="27">
        <v>1.93</v>
      </c>
      <c r="T13" s="29">
        <v>3.15</v>
      </c>
      <c r="U13" s="28" t="s">
        <v>230</v>
      </c>
      <c r="V13" s="22">
        <f t="shared" si="0"/>
        <v>-3.15</v>
      </c>
    </row>
    <row r="14" spans="1:29" x14ac:dyDescent="0.25">
      <c r="N14" s="2"/>
      <c r="O14" s="26">
        <v>46255</v>
      </c>
      <c r="P14" s="27" t="s">
        <v>91</v>
      </c>
      <c r="Q14" s="27" t="s">
        <v>88</v>
      </c>
      <c r="R14" s="28" t="s">
        <v>195</v>
      </c>
      <c r="S14" s="27">
        <v>1.87</v>
      </c>
      <c r="T14" s="29">
        <v>2.96</v>
      </c>
      <c r="U14" s="28" t="s">
        <v>231</v>
      </c>
      <c r="V14" s="22">
        <f t="shared" si="0"/>
        <v>2.5752000000000006</v>
      </c>
    </row>
    <row r="15" spans="1:29" x14ac:dyDescent="0.25">
      <c r="N15" s="2"/>
      <c r="O15" s="26">
        <v>46255</v>
      </c>
      <c r="P15" s="27" t="s">
        <v>129</v>
      </c>
      <c r="Q15" s="27" t="s">
        <v>201</v>
      </c>
      <c r="R15" s="28" t="s">
        <v>19</v>
      </c>
      <c r="S15" s="27">
        <v>2.21</v>
      </c>
      <c r="T15" s="29">
        <v>2.77</v>
      </c>
      <c r="U15" s="28" t="s">
        <v>231</v>
      </c>
      <c r="V15" s="22">
        <f t="shared" si="0"/>
        <v>3.3516999999999997</v>
      </c>
    </row>
    <row r="16" spans="1:29" x14ac:dyDescent="0.25">
      <c r="N16" s="2"/>
      <c r="O16" s="26">
        <v>46255</v>
      </c>
      <c r="P16" s="27" t="s">
        <v>129</v>
      </c>
      <c r="Q16" s="27" t="s">
        <v>201</v>
      </c>
      <c r="R16" s="28" t="s">
        <v>22</v>
      </c>
      <c r="S16" s="27">
        <v>1.97</v>
      </c>
      <c r="T16" s="29">
        <v>2.85</v>
      </c>
      <c r="U16" s="28" t="s">
        <v>230</v>
      </c>
      <c r="V16" s="22">
        <f t="shared" si="0"/>
        <v>-2.85</v>
      </c>
    </row>
    <row r="17" spans="14:22" x14ac:dyDescent="0.25">
      <c r="N17" s="2"/>
      <c r="O17" s="26">
        <v>46255</v>
      </c>
      <c r="P17" s="27" t="s">
        <v>178</v>
      </c>
      <c r="Q17" s="27" t="s">
        <v>177</v>
      </c>
      <c r="R17" s="28" t="s">
        <v>22</v>
      </c>
      <c r="S17" s="27">
        <v>1.8</v>
      </c>
      <c r="T17" s="29">
        <v>3.44</v>
      </c>
      <c r="U17" s="28" t="s">
        <v>230</v>
      </c>
      <c r="V17" s="22">
        <f t="shared" ref="V17:V48" si="1">IF(U17="Loss",-T17,T17*S17-T17)</f>
        <v>-3.44</v>
      </c>
    </row>
    <row r="18" spans="14:22" x14ac:dyDescent="0.25">
      <c r="N18" s="2"/>
      <c r="O18" s="26">
        <v>46255</v>
      </c>
      <c r="P18" s="27" t="s">
        <v>135</v>
      </c>
      <c r="Q18" s="27" t="s">
        <v>165</v>
      </c>
      <c r="R18" s="28" t="s">
        <v>19</v>
      </c>
      <c r="S18" s="27">
        <v>2.11</v>
      </c>
      <c r="T18" s="29">
        <v>2.77</v>
      </c>
      <c r="U18" s="28" t="s">
        <v>231</v>
      </c>
      <c r="V18" s="22">
        <f t="shared" si="1"/>
        <v>3.0746999999999995</v>
      </c>
    </row>
    <row r="19" spans="14:22" x14ac:dyDescent="0.25">
      <c r="N19" s="14"/>
      <c r="O19" s="26">
        <v>46255</v>
      </c>
      <c r="P19" s="27" t="s">
        <v>69</v>
      </c>
      <c r="Q19" s="27" t="s">
        <v>116</v>
      </c>
      <c r="R19" s="28" t="s">
        <v>19</v>
      </c>
      <c r="S19" s="27">
        <v>2.0299999999999998</v>
      </c>
      <c r="T19" s="29">
        <v>2.77</v>
      </c>
      <c r="U19" s="28" t="s">
        <v>231</v>
      </c>
      <c r="V19" s="22">
        <f t="shared" si="1"/>
        <v>2.8530999999999991</v>
      </c>
    </row>
    <row r="20" spans="14:22" x14ac:dyDescent="0.25">
      <c r="N20" s="30"/>
      <c r="O20" s="26">
        <v>46256</v>
      </c>
      <c r="P20" s="27" t="s">
        <v>80</v>
      </c>
      <c r="Q20" s="27" t="s">
        <v>66</v>
      </c>
      <c r="R20" s="28" t="s">
        <v>195</v>
      </c>
      <c r="S20" s="27">
        <v>2.5</v>
      </c>
      <c r="T20" s="29">
        <v>2.76</v>
      </c>
      <c r="U20" s="28" t="s">
        <v>230</v>
      </c>
      <c r="V20" s="22">
        <f t="shared" si="1"/>
        <v>-2.76</v>
      </c>
    </row>
    <row r="21" spans="14:22" x14ac:dyDescent="0.25">
      <c r="N21" s="30"/>
      <c r="O21" s="26">
        <v>46256</v>
      </c>
      <c r="P21" s="27" t="s">
        <v>63</v>
      </c>
      <c r="Q21" s="27" t="s">
        <v>61</v>
      </c>
      <c r="R21" s="28" t="s">
        <v>22</v>
      </c>
      <c r="S21" s="27">
        <v>1.78</v>
      </c>
      <c r="T21" s="29">
        <v>3.5</v>
      </c>
      <c r="U21" s="28" t="s">
        <v>231</v>
      </c>
      <c r="V21" s="22">
        <f t="shared" si="1"/>
        <v>2.7300000000000004</v>
      </c>
    </row>
    <row r="22" spans="14:22" x14ac:dyDescent="0.25">
      <c r="N22" s="30"/>
      <c r="O22" s="26">
        <v>46256</v>
      </c>
      <c r="P22" s="27" t="s">
        <v>60</v>
      </c>
      <c r="Q22" s="27" t="s">
        <v>65</v>
      </c>
      <c r="R22" s="28" t="s">
        <v>20</v>
      </c>
      <c r="S22" s="27">
        <v>2.12</v>
      </c>
      <c r="T22" s="29">
        <v>2.76</v>
      </c>
      <c r="U22" s="28" t="s">
        <v>231</v>
      </c>
      <c r="V22" s="22">
        <f t="shared" si="1"/>
        <v>3.0911999999999997</v>
      </c>
    </row>
    <row r="23" spans="14:22" x14ac:dyDescent="0.25">
      <c r="N23" s="30"/>
      <c r="O23" s="26">
        <v>46256</v>
      </c>
      <c r="P23" s="27" t="s">
        <v>60</v>
      </c>
      <c r="Q23" s="27" t="s">
        <v>65</v>
      </c>
      <c r="R23" s="28" t="s">
        <v>195</v>
      </c>
      <c r="S23" s="27">
        <v>2.2599999999999998</v>
      </c>
      <c r="T23" s="29">
        <v>2.76</v>
      </c>
      <c r="U23" s="28" t="s">
        <v>231</v>
      </c>
      <c r="V23" s="22">
        <f t="shared" si="1"/>
        <v>3.4775999999999989</v>
      </c>
    </row>
    <row r="24" spans="14:22" x14ac:dyDescent="0.25">
      <c r="N24" s="30"/>
      <c r="O24" s="26">
        <v>46256</v>
      </c>
      <c r="P24" s="27" t="s">
        <v>84</v>
      </c>
      <c r="Q24" s="27" t="s">
        <v>57</v>
      </c>
      <c r="R24" s="28" t="s">
        <v>20</v>
      </c>
      <c r="S24" s="27">
        <v>2.0099999999999998</v>
      </c>
      <c r="T24" s="29">
        <v>2.76</v>
      </c>
      <c r="U24" s="28" t="s">
        <v>231</v>
      </c>
      <c r="V24" s="22">
        <f t="shared" si="1"/>
        <v>2.7875999999999994</v>
      </c>
    </row>
    <row r="25" spans="14:22" x14ac:dyDescent="0.25">
      <c r="N25" s="30"/>
      <c r="O25" s="26">
        <v>46256</v>
      </c>
      <c r="P25" s="27" t="s">
        <v>86</v>
      </c>
      <c r="Q25" s="27" t="s">
        <v>162</v>
      </c>
      <c r="R25" s="28" t="s">
        <v>20</v>
      </c>
      <c r="S25" s="27">
        <v>1.7290000000000001</v>
      </c>
      <c r="T25" s="29">
        <v>3.78</v>
      </c>
      <c r="U25" s="28" t="s">
        <v>230</v>
      </c>
      <c r="V25" s="22">
        <f t="shared" si="1"/>
        <v>-3.78</v>
      </c>
    </row>
    <row r="26" spans="14:22" x14ac:dyDescent="0.25">
      <c r="N26" s="14"/>
      <c r="O26" s="26">
        <v>46256</v>
      </c>
      <c r="P26" s="27" t="s">
        <v>85</v>
      </c>
      <c r="Q26" s="27" t="s">
        <v>120</v>
      </c>
      <c r="R26" s="28" t="s">
        <v>20</v>
      </c>
      <c r="S26" s="27">
        <v>2.2999999999999998</v>
      </c>
      <c r="T26" s="29">
        <v>2.76</v>
      </c>
      <c r="U26" s="28" t="s">
        <v>231</v>
      </c>
      <c r="V26" s="22">
        <f t="shared" si="1"/>
        <v>3.5879999999999992</v>
      </c>
    </row>
    <row r="27" spans="14:22" x14ac:dyDescent="0.25">
      <c r="O27" s="26">
        <v>46256</v>
      </c>
      <c r="P27" s="27" t="s">
        <v>82</v>
      </c>
      <c r="Q27" s="27" t="s">
        <v>64</v>
      </c>
      <c r="R27" s="28" t="s">
        <v>22</v>
      </c>
      <c r="S27" s="27">
        <v>2.29</v>
      </c>
      <c r="T27" s="29">
        <v>2.76</v>
      </c>
      <c r="U27" s="28" t="s">
        <v>230</v>
      </c>
      <c r="V27" s="22">
        <f t="shared" si="1"/>
        <v>-2.76</v>
      </c>
    </row>
    <row r="28" spans="14:22" x14ac:dyDescent="0.25">
      <c r="O28" s="26">
        <v>46256</v>
      </c>
      <c r="P28" s="27" t="s">
        <v>128</v>
      </c>
      <c r="Q28" s="27" t="s">
        <v>198</v>
      </c>
      <c r="R28" s="28" t="s">
        <v>20</v>
      </c>
      <c r="S28" s="27">
        <v>1.96</v>
      </c>
      <c r="T28" s="29">
        <v>2.88</v>
      </c>
      <c r="U28" s="28" t="s">
        <v>231</v>
      </c>
      <c r="V28" s="22">
        <f t="shared" si="1"/>
        <v>2.7648000000000001</v>
      </c>
    </row>
    <row r="29" spans="14:22" x14ac:dyDescent="0.25">
      <c r="O29" s="26">
        <v>46256</v>
      </c>
      <c r="P29" s="27" t="s">
        <v>184</v>
      </c>
      <c r="Q29" s="27" t="s">
        <v>182</v>
      </c>
      <c r="R29" s="28" t="s">
        <v>19</v>
      </c>
      <c r="S29" s="27">
        <v>2.16</v>
      </c>
      <c r="T29" s="29">
        <v>2.76</v>
      </c>
      <c r="U29" s="28" t="s">
        <v>230</v>
      </c>
      <c r="V29" s="22">
        <f t="shared" si="1"/>
        <v>-2.76</v>
      </c>
    </row>
    <row r="30" spans="14:22" x14ac:dyDescent="0.25">
      <c r="O30" s="26">
        <v>46256</v>
      </c>
      <c r="P30" s="27" t="s">
        <v>184</v>
      </c>
      <c r="Q30" s="27" t="s">
        <v>182</v>
      </c>
      <c r="R30" s="28" t="s">
        <v>22</v>
      </c>
      <c r="S30" s="27">
        <v>1.84</v>
      </c>
      <c r="T30" s="29">
        <v>3.28</v>
      </c>
      <c r="U30" s="28" t="s">
        <v>230</v>
      </c>
      <c r="V30" s="22">
        <f t="shared" si="1"/>
        <v>-3.28</v>
      </c>
    </row>
    <row r="31" spans="14:22" x14ac:dyDescent="0.25">
      <c r="O31" s="26">
        <v>46256</v>
      </c>
      <c r="P31" s="27" t="s">
        <v>200</v>
      </c>
      <c r="Q31" s="27" t="s">
        <v>130</v>
      </c>
      <c r="R31" s="28" t="s">
        <v>19</v>
      </c>
      <c r="S31" s="27">
        <v>2.11</v>
      </c>
      <c r="T31" s="29">
        <v>2.76</v>
      </c>
      <c r="U31" s="28" t="s">
        <v>231</v>
      </c>
      <c r="V31" s="22">
        <f t="shared" si="1"/>
        <v>3.0635999999999992</v>
      </c>
    </row>
    <row r="32" spans="14:22" x14ac:dyDescent="0.25">
      <c r="O32" s="31">
        <v>46257</v>
      </c>
      <c r="P32" s="27" t="s">
        <v>124</v>
      </c>
      <c r="Q32" s="27" t="s">
        <v>121</v>
      </c>
      <c r="R32" s="28" t="s">
        <v>19</v>
      </c>
      <c r="S32" s="27">
        <v>2.33</v>
      </c>
      <c r="T32" s="29">
        <v>2.85</v>
      </c>
      <c r="U32" s="28" t="s">
        <v>231</v>
      </c>
      <c r="V32" s="22">
        <f t="shared" si="1"/>
        <v>3.7905000000000002</v>
      </c>
    </row>
    <row r="33" spans="15:22" x14ac:dyDescent="0.25">
      <c r="O33" s="31">
        <v>46257</v>
      </c>
      <c r="P33" s="27" t="s">
        <v>124</v>
      </c>
      <c r="Q33" s="27" t="s">
        <v>121</v>
      </c>
      <c r="R33" s="28" t="s">
        <v>22</v>
      </c>
      <c r="S33" s="27">
        <v>1.97</v>
      </c>
      <c r="T33" s="29">
        <v>2.77</v>
      </c>
      <c r="U33" s="28" t="s">
        <v>231</v>
      </c>
      <c r="V33" s="22">
        <f t="shared" si="1"/>
        <v>2.6869000000000001</v>
      </c>
    </row>
    <row r="34" spans="15:22" x14ac:dyDescent="0.25">
      <c r="O34" s="31">
        <v>46257</v>
      </c>
      <c r="P34" s="27" t="s">
        <v>58</v>
      </c>
      <c r="Q34" s="27" t="s">
        <v>81</v>
      </c>
      <c r="R34" s="28" t="s">
        <v>20</v>
      </c>
      <c r="S34" s="27">
        <v>2.2599999999999998</v>
      </c>
      <c r="T34" s="29">
        <v>2.76</v>
      </c>
      <c r="U34" s="28" t="s">
        <v>231</v>
      </c>
      <c r="V34" s="22">
        <f t="shared" si="1"/>
        <v>3.4775999999999989</v>
      </c>
    </row>
    <row r="35" spans="15:22" x14ac:dyDescent="0.25">
      <c r="O35" s="31">
        <v>46257</v>
      </c>
      <c r="P35" s="27" t="s">
        <v>119</v>
      </c>
      <c r="Q35" s="27" t="s">
        <v>83</v>
      </c>
      <c r="R35" s="28" t="s">
        <v>20</v>
      </c>
      <c r="S35" s="27">
        <v>2.68</v>
      </c>
      <c r="T35" s="29">
        <v>2.76</v>
      </c>
      <c r="U35" s="28" t="s">
        <v>230</v>
      </c>
      <c r="V35" s="22">
        <f t="shared" si="1"/>
        <v>-2.76</v>
      </c>
    </row>
    <row r="36" spans="15:22" x14ac:dyDescent="0.25">
      <c r="O36" s="31">
        <v>46257</v>
      </c>
      <c r="P36" s="27" t="s">
        <v>119</v>
      </c>
      <c r="Q36" s="27" t="s">
        <v>83</v>
      </c>
      <c r="R36" s="28" t="s">
        <v>195</v>
      </c>
      <c r="S36" s="27">
        <v>2.69</v>
      </c>
      <c r="T36" s="29">
        <v>2.76</v>
      </c>
      <c r="U36" s="28" t="s">
        <v>231</v>
      </c>
      <c r="V36" s="22">
        <f t="shared" si="1"/>
        <v>4.6643999999999997</v>
      </c>
    </row>
    <row r="37" spans="15:22" x14ac:dyDescent="0.25">
      <c r="O37" s="31">
        <v>46257</v>
      </c>
      <c r="P37" s="27" t="s">
        <v>174</v>
      </c>
      <c r="Q37" s="27" t="s">
        <v>183</v>
      </c>
      <c r="R37" s="28" t="s">
        <v>20</v>
      </c>
      <c r="S37" s="27">
        <v>2.16</v>
      </c>
      <c r="T37" s="29">
        <v>2.76</v>
      </c>
      <c r="U37" s="28" t="s">
        <v>231</v>
      </c>
      <c r="V37" s="22">
        <f t="shared" si="1"/>
        <v>3.2016</v>
      </c>
    </row>
    <row r="38" spans="15:22" x14ac:dyDescent="0.25">
      <c r="O38" s="31">
        <v>46257</v>
      </c>
      <c r="P38" s="27" t="s">
        <v>127</v>
      </c>
      <c r="Q38" s="27" t="s">
        <v>197</v>
      </c>
      <c r="R38" s="28" t="s">
        <v>19</v>
      </c>
      <c r="S38" s="27">
        <v>2.3199999999999998</v>
      </c>
      <c r="T38" s="29">
        <v>2.76</v>
      </c>
      <c r="U38" s="28" t="s">
        <v>230</v>
      </c>
      <c r="V38" s="22">
        <f t="shared" si="1"/>
        <v>-2.76</v>
      </c>
    </row>
    <row r="39" spans="15:22" x14ac:dyDescent="0.25">
      <c r="O39" s="31">
        <v>46257</v>
      </c>
      <c r="P39" s="27" t="s">
        <v>187</v>
      </c>
      <c r="Q39" s="27" t="s">
        <v>185</v>
      </c>
      <c r="R39" s="28" t="s">
        <v>20</v>
      </c>
      <c r="S39" s="27">
        <v>2.59</v>
      </c>
      <c r="T39" s="29">
        <v>2.76</v>
      </c>
      <c r="U39" s="28" t="s">
        <v>231</v>
      </c>
      <c r="V39" s="22">
        <f t="shared" si="1"/>
        <v>4.388399999999999</v>
      </c>
    </row>
    <row r="40" spans="15:22" x14ac:dyDescent="0.25">
      <c r="O40" s="31">
        <v>46257</v>
      </c>
      <c r="P40" s="27" t="s">
        <v>124</v>
      </c>
      <c r="Q40" s="27" t="s">
        <v>121</v>
      </c>
      <c r="R40" s="28" t="s">
        <v>19</v>
      </c>
      <c r="S40" s="27">
        <v>2.39</v>
      </c>
      <c r="T40" s="29">
        <v>2.76</v>
      </c>
      <c r="U40" s="28" t="s">
        <v>231</v>
      </c>
      <c r="V40" s="22">
        <f t="shared" si="1"/>
        <v>3.8364000000000003</v>
      </c>
    </row>
    <row r="41" spans="15:22" x14ac:dyDescent="0.25">
      <c r="O41" s="31">
        <v>46257</v>
      </c>
      <c r="P41" s="27" t="s">
        <v>124</v>
      </c>
      <c r="Q41" s="27" t="s">
        <v>121</v>
      </c>
      <c r="R41" s="28" t="s">
        <v>22</v>
      </c>
      <c r="S41" s="27">
        <v>2</v>
      </c>
      <c r="T41" s="29">
        <v>2.76</v>
      </c>
      <c r="U41" s="28" t="s">
        <v>231</v>
      </c>
      <c r="V41" s="22">
        <f t="shared" si="1"/>
        <v>2.76</v>
      </c>
    </row>
    <row r="42" spans="15:22" x14ac:dyDescent="0.25">
      <c r="O42" s="31">
        <v>46257</v>
      </c>
      <c r="P42" s="27" t="s">
        <v>189</v>
      </c>
      <c r="Q42" s="27" t="s">
        <v>176</v>
      </c>
      <c r="R42" s="28" t="s">
        <v>20</v>
      </c>
      <c r="S42" s="27">
        <v>2.23</v>
      </c>
      <c r="T42" s="29">
        <v>2.76</v>
      </c>
      <c r="U42" s="28" t="s">
        <v>230</v>
      </c>
      <c r="V42" s="22">
        <f t="shared" si="1"/>
        <v>-2.76</v>
      </c>
    </row>
    <row r="43" spans="15:22" x14ac:dyDescent="0.25">
      <c r="O43" s="31">
        <v>46257</v>
      </c>
      <c r="P43" s="27" t="s">
        <v>188</v>
      </c>
      <c r="Q43" s="27" t="s">
        <v>173</v>
      </c>
      <c r="R43" s="28" t="s">
        <v>22</v>
      </c>
      <c r="S43" s="27">
        <v>1.92</v>
      </c>
      <c r="T43" s="29">
        <v>2.99</v>
      </c>
      <c r="U43" s="28" t="s">
        <v>231</v>
      </c>
      <c r="V43" s="22">
        <f t="shared" si="1"/>
        <v>2.7507999999999999</v>
      </c>
    </row>
    <row r="44" spans="15:22" x14ac:dyDescent="0.25">
      <c r="O44" s="31">
        <v>46257</v>
      </c>
      <c r="P44" s="27" t="s">
        <v>179</v>
      </c>
      <c r="Q44" s="27" t="s">
        <v>191</v>
      </c>
      <c r="R44" s="28" t="s">
        <v>20</v>
      </c>
      <c r="S44" s="27">
        <v>2.06</v>
      </c>
      <c r="T44" s="29">
        <v>2.76</v>
      </c>
      <c r="U44" s="28" t="s">
        <v>230</v>
      </c>
      <c r="V44" s="22">
        <f t="shared" si="1"/>
        <v>-2.76</v>
      </c>
    </row>
    <row r="45" spans="15:22" x14ac:dyDescent="0.25">
      <c r="O45" s="31">
        <v>46257</v>
      </c>
      <c r="P45" s="27" t="s">
        <v>138</v>
      </c>
      <c r="Q45" s="27" t="s">
        <v>186</v>
      </c>
      <c r="R45" s="28" t="s">
        <v>19</v>
      </c>
      <c r="S45" s="27">
        <v>1.869</v>
      </c>
      <c r="T45" s="29">
        <v>3.17</v>
      </c>
      <c r="U45" s="28" t="s">
        <v>230</v>
      </c>
      <c r="V45" s="22">
        <f t="shared" si="1"/>
        <v>-3.17</v>
      </c>
    </row>
    <row r="46" spans="15:22" x14ac:dyDescent="0.25">
      <c r="O46" s="31">
        <v>46257</v>
      </c>
      <c r="P46" s="27" t="s">
        <v>32</v>
      </c>
      <c r="Q46" s="27" t="s">
        <v>137</v>
      </c>
      <c r="R46" s="28" t="s">
        <v>20</v>
      </c>
      <c r="S46" s="27">
        <v>1.8260000000000001</v>
      </c>
      <c r="T46" s="29">
        <v>3.34</v>
      </c>
      <c r="U46" s="28" t="s">
        <v>231</v>
      </c>
      <c r="V46" s="22">
        <f t="shared" si="1"/>
        <v>2.7588400000000002</v>
      </c>
    </row>
    <row r="47" spans="15:22" x14ac:dyDescent="0.25">
      <c r="O47" s="31">
        <v>46257</v>
      </c>
      <c r="P47" s="27" t="s">
        <v>202</v>
      </c>
      <c r="Q47" s="27" t="s">
        <v>164</v>
      </c>
      <c r="R47" s="28" t="s">
        <v>22</v>
      </c>
      <c r="S47" s="27">
        <v>1.98</v>
      </c>
      <c r="T47" s="29">
        <v>2.81</v>
      </c>
      <c r="U47" s="28" t="s">
        <v>231</v>
      </c>
      <c r="V47" s="22">
        <f t="shared" si="1"/>
        <v>2.7537999999999996</v>
      </c>
    </row>
    <row r="48" spans="15:22" x14ac:dyDescent="0.25">
      <c r="O48" s="31">
        <v>46257</v>
      </c>
      <c r="P48" s="27" t="s">
        <v>139</v>
      </c>
      <c r="Q48" s="27" t="s">
        <v>203</v>
      </c>
      <c r="R48" s="28" t="s">
        <v>19</v>
      </c>
      <c r="S48" s="27">
        <v>1.925</v>
      </c>
      <c r="T48" s="29">
        <v>2.99</v>
      </c>
      <c r="U48" s="28" t="s">
        <v>230</v>
      </c>
      <c r="V48" s="22">
        <f t="shared" si="1"/>
        <v>-2.99</v>
      </c>
    </row>
    <row r="49" spans="15:22" x14ac:dyDescent="0.25">
      <c r="O49" s="31">
        <v>46257</v>
      </c>
      <c r="P49" s="27" t="s">
        <v>139</v>
      </c>
      <c r="Q49" s="27" t="s">
        <v>203</v>
      </c>
      <c r="R49" s="28" t="s">
        <v>22</v>
      </c>
      <c r="S49" s="27">
        <v>1.909</v>
      </c>
      <c r="T49" s="29">
        <v>3.04</v>
      </c>
      <c r="U49" s="28" t="s">
        <v>230</v>
      </c>
      <c r="V49" s="22">
        <f t="shared" ref="V49:V67" si="2">IF(U49="Loss",-T49,T49*S49-T49)</f>
        <v>-3.04</v>
      </c>
    </row>
    <row r="50" spans="15:22" x14ac:dyDescent="0.25">
      <c r="O50" s="31">
        <v>46257</v>
      </c>
      <c r="P50" s="27" t="s">
        <v>159</v>
      </c>
      <c r="Q50" s="27" t="s">
        <v>97</v>
      </c>
      <c r="R50" s="28" t="s">
        <v>19</v>
      </c>
      <c r="S50" s="27">
        <v>2.2999999999999998</v>
      </c>
      <c r="T50" s="29">
        <v>2.76</v>
      </c>
      <c r="U50" s="28" t="s">
        <v>230</v>
      </c>
      <c r="V50" s="22">
        <f t="shared" si="2"/>
        <v>-2.76</v>
      </c>
    </row>
    <row r="51" spans="15:22" x14ac:dyDescent="0.25">
      <c r="O51" s="31">
        <v>46257</v>
      </c>
      <c r="P51" s="27" t="s">
        <v>159</v>
      </c>
      <c r="Q51" s="27" t="s">
        <v>97</v>
      </c>
      <c r="R51" s="28" t="s">
        <v>22</v>
      </c>
      <c r="S51" s="27">
        <v>1.97</v>
      </c>
      <c r="T51" s="29">
        <v>2.85</v>
      </c>
      <c r="U51" s="28" t="s">
        <v>231</v>
      </c>
      <c r="V51" s="22">
        <f t="shared" si="2"/>
        <v>2.7645000000000004</v>
      </c>
    </row>
    <row r="52" spans="15:22" x14ac:dyDescent="0.25">
      <c r="O52" s="31">
        <v>46257</v>
      </c>
      <c r="P52" s="27" t="s">
        <v>169</v>
      </c>
      <c r="Q52" s="27" t="s">
        <v>190</v>
      </c>
      <c r="R52" s="28" t="s">
        <v>20</v>
      </c>
      <c r="S52" s="27">
        <v>5.95</v>
      </c>
      <c r="T52" s="29">
        <v>2.76</v>
      </c>
      <c r="U52" s="28" t="s">
        <v>230</v>
      </c>
      <c r="V52" s="22">
        <f t="shared" si="2"/>
        <v>-2.76</v>
      </c>
    </row>
    <row r="53" spans="15:22" x14ac:dyDescent="0.25">
      <c r="O53" s="31">
        <v>46257</v>
      </c>
      <c r="P53" s="27" t="s">
        <v>107</v>
      </c>
      <c r="Q53" s="27" t="s">
        <v>103</v>
      </c>
      <c r="R53" s="28" t="s">
        <v>195</v>
      </c>
      <c r="S53" s="27">
        <v>1.98</v>
      </c>
      <c r="T53" s="29">
        <v>2.82</v>
      </c>
      <c r="U53" s="28" t="s">
        <v>230</v>
      </c>
      <c r="V53" s="22">
        <f t="shared" si="2"/>
        <v>-2.82</v>
      </c>
    </row>
    <row r="54" spans="15:22" x14ac:dyDescent="0.25">
      <c r="O54" s="31">
        <v>46257</v>
      </c>
      <c r="P54" s="27" t="s">
        <v>133</v>
      </c>
      <c r="Q54" s="27" t="s">
        <v>126</v>
      </c>
      <c r="R54" s="28" t="s">
        <v>19</v>
      </c>
      <c r="S54" s="27">
        <v>2.3199999999999998</v>
      </c>
      <c r="T54" s="29">
        <v>2.76</v>
      </c>
      <c r="U54" s="28" t="s">
        <v>230</v>
      </c>
      <c r="V54" s="22">
        <f t="shared" si="2"/>
        <v>-2.76</v>
      </c>
    </row>
    <row r="55" spans="15:22" x14ac:dyDescent="0.25">
      <c r="O55" s="31">
        <v>46257</v>
      </c>
      <c r="P55" s="27" t="s">
        <v>133</v>
      </c>
      <c r="Q55" s="27" t="s">
        <v>126</v>
      </c>
      <c r="R55" s="28" t="s">
        <v>22</v>
      </c>
      <c r="S55" s="27">
        <v>1.97</v>
      </c>
      <c r="T55" s="29">
        <v>2.85</v>
      </c>
      <c r="U55" s="28" t="s">
        <v>230</v>
      </c>
      <c r="V55" s="22">
        <f t="shared" si="2"/>
        <v>-2.85</v>
      </c>
    </row>
    <row r="56" spans="15:22" x14ac:dyDescent="0.25">
      <c r="O56" s="31">
        <v>46257</v>
      </c>
      <c r="P56" s="27" t="s">
        <v>204</v>
      </c>
      <c r="Q56" s="27" t="s">
        <v>136</v>
      </c>
      <c r="R56" s="28" t="s">
        <v>20</v>
      </c>
      <c r="S56" s="27">
        <v>2.4900000000000002</v>
      </c>
      <c r="T56" s="29">
        <v>2.76</v>
      </c>
      <c r="U56" s="28" t="s">
        <v>230</v>
      </c>
      <c r="V56" s="22">
        <f t="shared" si="2"/>
        <v>-2.76</v>
      </c>
    </row>
    <row r="57" spans="15:22" x14ac:dyDescent="0.25">
      <c r="O57" s="31">
        <v>46257</v>
      </c>
      <c r="P57" s="27" t="s">
        <v>48</v>
      </c>
      <c r="Q57" s="27" t="s">
        <v>39</v>
      </c>
      <c r="R57" s="28" t="s">
        <v>22</v>
      </c>
      <c r="S57" s="27">
        <v>1.98</v>
      </c>
      <c r="T57" s="29">
        <v>2.82</v>
      </c>
      <c r="U57" s="28" t="s">
        <v>230</v>
      </c>
      <c r="V57" s="22">
        <f t="shared" si="2"/>
        <v>-2.82</v>
      </c>
    </row>
    <row r="58" spans="15:22" x14ac:dyDescent="0.25">
      <c r="O58" s="31">
        <v>46257</v>
      </c>
      <c r="P58" s="27" t="s">
        <v>55</v>
      </c>
      <c r="Q58" s="27" t="s">
        <v>53</v>
      </c>
      <c r="R58" s="28" t="s">
        <v>195</v>
      </c>
      <c r="S58" s="27">
        <v>2.0499999999999998</v>
      </c>
      <c r="T58" s="29">
        <v>2.76</v>
      </c>
      <c r="U58" s="28" t="s">
        <v>230</v>
      </c>
      <c r="V58" s="22">
        <f t="shared" si="2"/>
        <v>-2.76</v>
      </c>
    </row>
    <row r="59" spans="15:22" x14ac:dyDescent="0.25">
      <c r="O59" s="31">
        <v>46257</v>
      </c>
      <c r="P59" s="27" t="s">
        <v>141</v>
      </c>
      <c r="Q59" s="27" t="s">
        <v>157</v>
      </c>
      <c r="R59" s="28" t="s">
        <v>19</v>
      </c>
      <c r="S59" s="27">
        <v>2.25</v>
      </c>
      <c r="T59" s="29">
        <v>2.76</v>
      </c>
      <c r="U59" s="28" t="s">
        <v>230</v>
      </c>
      <c r="V59" s="22">
        <f t="shared" si="2"/>
        <v>-2.76</v>
      </c>
    </row>
    <row r="60" spans="15:22" x14ac:dyDescent="0.25">
      <c r="O60" s="31">
        <v>46257</v>
      </c>
      <c r="P60" s="27" t="s">
        <v>141</v>
      </c>
      <c r="Q60" s="27" t="s">
        <v>157</v>
      </c>
      <c r="R60" s="28" t="s">
        <v>22</v>
      </c>
      <c r="S60" s="27">
        <v>2.06</v>
      </c>
      <c r="T60" s="29">
        <v>2.76</v>
      </c>
      <c r="U60" s="28" t="s">
        <v>231</v>
      </c>
      <c r="V60" s="22">
        <f t="shared" si="2"/>
        <v>2.9256000000000002</v>
      </c>
    </row>
    <row r="61" spans="15:22" x14ac:dyDescent="0.25">
      <c r="O61" s="31">
        <v>46257</v>
      </c>
      <c r="P61" s="27" t="s">
        <v>171</v>
      </c>
      <c r="Q61" s="27" t="s">
        <v>102</v>
      </c>
      <c r="R61" s="28" t="s">
        <v>19</v>
      </c>
      <c r="S61" s="27">
        <v>2.5099999999999998</v>
      </c>
      <c r="T61" s="29">
        <v>2.76</v>
      </c>
      <c r="U61" s="28" t="s">
        <v>230</v>
      </c>
      <c r="V61" s="22">
        <f t="shared" si="2"/>
        <v>-2.76</v>
      </c>
    </row>
    <row r="62" spans="15:22" x14ac:dyDescent="0.25">
      <c r="O62" s="31">
        <v>46257</v>
      </c>
      <c r="P62" s="27" t="s">
        <v>171</v>
      </c>
      <c r="Q62" s="27" t="s">
        <v>102</v>
      </c>
      <c r="R62" s="28" t="s">
        <v>22</v>
      </c>
      <c r="S62" s="27">
        <v>2.13</v>
      </c>
      <c r="T62" s="29">
        <v>2.76</v>
      </c>
      <c r="U62" s="28" t="s">
        <v>230</v>
      </c>
      <c r="V62" s="22">
        <f t="shared" si="2"/>
        <v>-2.76</v>
      </c>
    </row>
    <row r="63" spans="15:22" x14ac:dyDescent="0.25">
      <c r="O63" s="31">
        <v>46257</v>
      </c>
      <c r="P63" s="27" t="s">
        <v>170</v>
      </c>
      <c r="Q63" s="27" t="s">
        <v>142</v>
      </c>
      <c r="R63" s="28" t="s">
        <v>19</v>
      </c>
      <c r="S63" s="27">
        <v>1.98</v>
      </c>
      <c r="T63" s="29">
        <v>2.82</v>
      </c>
      <c r="U63" s="28" t="s">
        <v>231</v>
      </c>
      <c r="V63" s="22">
        <f t="shared" si="2"/>
        <v>2.7635999999999998</v>
      </c>
    </row>
    <row r="64" spans="15:22" x14ac:dyDescent="0.25">
      <c r="O64" s="31">
        <v>46257</v>
      </c>
      <c r="P64" s="27" t="s">
        <v>170</v>
      </c>
      <c r="Q64" s="27" t="s">
        <v>142</v>
      </c>
      <c r="R64" s="28" t="s">
        <v>22</v>
      </c>
      <c r="S64" s="27">
        <v>2</v>
      </c>
      <c r="T64" s="29">
        <v>2.76</v>
      </c>
      <c r="U64" s="28" t="s">
        <v>231</v>
      </c>
      <c r="V64" s="22">
        <f t="shared" si="2"/>
        <v>2.76</v>
      </c>
    </row>
    <row r="65" spans="15:22" x14ac:dyDescent="0.25">
      <c r="O65" s="31">
        <v>46257</v>
      </c>
      <c r="P65" s="27" t="s">
        <v>151</v>
      </c>
      <c r="Q65" s="27" t="s">
        <v>76</v>
      </c>
      <c r="R65" s="28" t="s">
        <v>20</v>
      </c>
      <c r="S65" s="27">
        <v>1.97</v>
      </c>
      <c r="T65" s="29">
        <v>2.85</v>
      </c>
      <c r="U65" s="28" t="s">
        <v>230</v>
      </c>
      <c r="V65" s="22">
        <f t="shared" si="2"/>
        <v>-2.85</v>
      </c>
    </row>
    <row r="66" spans="15:22" x14ac:dyDescent="0.25">
      <c r="O66" s="31">
        <v>46257</v>
      </c>
      <c r="P66" s="27" t="s">
        <v>151</v>
      </c>
      <c r="Q66" s="27" t="s">
        <v>76</v>
      </c>
      <c r="R66" s="28" t="s">
        <v>195</v>
      </c>
      <c r="S66" s="27">
        <v>2.19</v>
      </c>
      <c r="T66" s="29">
        <v>2.76</v>
      </c>
      <c r="U66" s="28" t="s">
        <v>230</v>
      </c>
      <c r="V66" s="22">
        <f t="shared" si="2"/>
        <v>-2.76</v>
      </c>
    </row>
    <row r="67" spans="15:22" x14ac:dyDescent="0.25">
      <c r="O67" s="31">
        <v>46257</v>
      </c>
      <c r="P67" s="27" t="s">
        <v>115</v>
      </c>
      <c r="Q67" s="27" t="s">
        <v>149</v>
      </c>
      <c r="R67" s="28" t="s">
        <v>19</v>
      </c>
      <c r="S67" s="27">
        <v>2.35</v>
      </c>
      <c r="T67" s="29">
        <v>2.76</v>
      </c>
      <c r="U67" s="28" t="s">
        <v>230</v>
      </c>
      <c r="V67" s="22">
        <f t="shared" si="2"/>
        <v>-2.76</v>
      </c>
    </row>
    <row r="68" spans="15:22" x14ac:dyDescent="0.25">
      <c r="O68" s="31">
        <v>46257</v>
      </c>
      <c r="P68" s="27" t="s">
        <v>115</v>
      </c>
      <c r="Q68" s="27" t="s">
        <v>149</v>
      </c>
      <c r="R68" s="28" t="s">
        <v>22</v>
      </c>
      <c r="S68" s="27">
        <v>1.909</v>
      </c>
      <c r="T68" s="29">
        <v>3.04</v>
      </c>
      <c r="U68" s="28" t="s">
        <v>231</v>
      </c>
      <c r="V68" s="22">
        <f t="shared" ref="V68:V83" si="3">IF(U68="Loss",-T68,T68*S68-T68)</f>
        <v>2.7633600000000005</v>
      </c>
    </row>
    <row r="69" spans="15:22" x14ac:dyDescent="0.25">
      <c r="O69" s="31">
        <v>46257</v>
      </c>
      <c r="P69" s="27" t="s">
        <v>47</v>
      </c>
      <c r="Q69" s="27" t="s">
        <v>42</v>
      </c>
      <c r="R69" s="28" t="s">
        <v>19</v>
      </c>
      <c r="S69" s="27">
        <v>2.16</v>
      </c>
      <c r="T69" s="29">
        <v>2.76</v>
      </c>
      <c r="U69" s="28" t="s">
        <v>230</v>
      </c>
      <c r="V69" s="22">
        <f t="shared" si="3"/>
        <v>-2.76</v>
      </c>
    </row>
    <row r="70" spans="15:22" x14ac:dyDescent="0.25">
      <c r="O70" s="31">
        <v>46257</v>
      </c>
      <c r="P70" s="27" t="s">
        <v>160</v>
      </c>
      <c r="Q70" s="27" t="s">
        <v>144</v>
      </c>
      <c r="R70" s="28" t="s">
        <v>19</v>
      </c>
      <c r="S70" s="27">
        <v>1.9430000000000001</v>
      </c>
      <c r="T70" s="29">
        <v>2.93</v>
      </c>
      <c r="U70" s="28" t="s">
        <v>230</v>
      </c>
      <c r="V70" s="22">
        <f t="shared" si="3"/>
        <v>-2.93</v>
      </c>
    </row>
    <row r="71" spans="15:22" x14ac:dyDescent="0.25">
      <c r="O71" s="31">
        <v>46257</v>
      </c>
      <c r="P71" s="27" t="s">
        <v>160</v>
      </c>
      <c r="Q71" s="27" t="s">
        <v>144</v>
      </c>
      <c r="R71" s="28" t="s">
        <v>22</v>
      </c>
      <c r="S71" s="27">
        <v>1.746</v>
      </c>
      <c r="T71" s="29">
        <v>3.7</v>
      </c>
      <c r="U71" s="28" t="s">
        <v>230</v>
      </c>
      <c r="V71" s="22">
        <f t="shared" si="3"/>
        <v>-3.7</v>
      </c>
    </row>
    <row r="72" spans="15:22" x14ac:dyDescent="0.25">
      <c r="O72" s="31">
        <v>46257</v>
      </c>
      <c r="P72" s="27" t="s">
        <v>79</v>
      </c>
      <c r="Q72" s="27" t="s">
        <v>70</v>
      </c>
      <c r="R72" s="28" t="s">
        <v>20</v>
      </c>
      <c r="S72" s="27">
        <v>2.12</v>
      </c>
      <c r="T72" s="29">
        <v>2.76</v>
      </c>
      <c r="U72" s="28" t="s">
        <v>230</v>
      </c>
      <c r="V72" s="22">
        <f t="shared" si="3"/>
        <v>-2.76</v>
      </c>
    </row>
    <row r="73" spans="15:22" x14ac:dyDescent="0.25">
      <c r="O73" s="31">
        <v>46257</v>
      </c>
      <c r="P73" s="27" t="s">
        <v>43</v>
      </c>
      <c r="Q73" s="27" t="s">
        <v>105</v>
      </c>
      <c r="R73" s="28" t="s">
        <v>22</v>
      </c>
      <c r="S73" s="27">
        <v>2.02</v>
      </c>
      <c r="T73" s="29">
        <v>2.76</v>
      </c>
      <c r="U73" s="28" t="s">
        <v>231</v>
      </c>
      <c r="V73" s="22">
        <f t="shared" si="3"/>
        <v>2.8151999999999999</v>
      </c>
    </row>
    <row r="74" spans="15:22" x14ac:dyDescent="0.25">
      <c r="O74" s="31">
        <v>46257</v>
      </c>
      <c r="P74" s="27" t="s">
        <v>108</v>
      </c>
      <c r="Q74" s="27" t="s">
        <v>154</v>
      </c>
      <c r="R74" s="28" t="s">
        <v>20</v>
      </c>
      <c r="S74" s="27">
        <v>2.86</v>
      </c>
      <c r="T74" s="29">
        <v>2.76</v>
      </c>
      <c r="U74" s="28" t="s">
        <v>230</v>
      </c>
      <c r="V74" s="22">
        <f t="shared" si="3"/>
        <v>-2.76</v>
      </c>
    </row>
    <row r="75" spans="15:22" x14ac:dyDescent="0.25">
      <c r="O75" s="31">
        <v>46257</v>
      </c>
      <c r="P75" s="27" t="s">
        <v>108</v>
      </c>
      <c r="Q75" s="27" t="s">
        <v>154</v>
      </c>
      <c r="R75" s="28" t="s">
        <v>195</v>
      </c>
      <c r="S75" s="27">
        <v>2.84</v>
      </c>
      <c r="T75" s="29">
        <v>2.76</v>
      </c>
      <c r="U75" s="28" t="s">
        <v>230</v>
      </c>
      <c r="V75" s="22">
        <f t="shared" si="3"/>
        <v>-2.76</v>
      </c>
    </row>
    <row r="76" spans="15:22" x14ac:dyDescent="0.25">
      <c r="O76" s="31">
        <v>46257</v>
      </c>
      <c r="P76" s="27" t="s">
        <v>146</v>
      </c>
      <c r="Q76" s="27" t="s">
        <v>71</v>
      </c>
      <c r="R76" s="28" t="s">
        <v>195</v>
      </c>
      <c r="S76" s="27">
        <v>1.9430000000000001</v>
      </c>
      <c r="T76" s="29">
        <v>2.93</v>
      </c>
      <c r="U76" s="28" t="s">
        <v>230</v>
      </c>
      <c r="V76" s="22">
        <f t="shared" si="3"/>
        <v>-2.93</v>
      </c>
    </row>
    <row r="77" spans="15:22" x14ac:dyDescent="0.25">
      <c r="O77" s="31">
        <v>46257</v>
      </c>
      <c r="P77" s="27" t="s">
        <v>147</v>
      </c>
      <c r="Q77" s="27" t="s">
        <v>143</v>
      </c>
      <c r="R77" s="28" t="s">
        <v>19</v>
      </c>
      <c r="S77" s="27">
        <v>2.44</v>
      </c>
      <c r="T77" s="29">
        <v>2.76</v>
      </c>
      <c r="U77" s="28" t="s">
        <v>230</v>
      </c>
      <c r="V77" s="22">
        <f t="shared" si="3"/>
        <v>-2.76</v>
      </c>
    </row>
    <row r="78" spans="15:22" x14ac:dyDescent="0.25">
      <c r="O78" s="31">
        <v>46257</v>
      </c>
      <c r="P78" s="27" t="s">
        <v>205</v>
      </c>
      <c r="Q78" s="27" t="s">
        <v>206</v>
      </c>
      <c r="R78" s="28" t="s">
        <v>195</v>
      </c>
      <c r="S78" s="27">
        <v>1.806</v>
      </c>
      <c r="T78" s="29">
        <v>3.43</v>
      </c>
      <c r="U78" s="28" t="s">
        <v>231</v>
      </c>
      <c r="V78" s="22">
        <f t="shared" si="3"/>
        <v>2.76458</v>
      </c>
    </row>
    <row r="79" spans="15:22" x14ac:dyDescent="0.25">
      <c r="O79" s="31">
        <v>46257</v>
      </c>
      <c r="P79" s="27" t="s">
        <v>207</v>
      </c>
      <c r="Q79" s="27" t="s">
        <v>208</v>
      </c>
      <c r="R79" s="28" t="s">
        <v>20</v>
      </c>
      <c r="S79" s="27">
        <v>1.917</v>
      </c>
      <c r="T79" s="29">
        <v>3.01</v>
      </c>
      <c r="U79" s="28" t="s">
        <v>231</v>
      </c>
      <c r="V79" s="22">
        <f t="shared" si="3"/>
        <v>2.7601699999999996</v>
      </c>
    </row>
    <row r="80" spans="15:22" x14ac:dyDescent="0.25">
      <c r="O80" s="31">
        <v>46257</v>
      </c>
      <c r="P80" s="27" t="s">
        <v>150</v>
      </c>
      <c r="Q80" s="27" t="s">
        <v>118</v>
      </c>
      <c r="R80" s="28" t="s">
        <v>19</v>
      </c>
      <c r="S80" s="27">
        <v>1.99</v>
      </c>
      <c r="T80" s="29">
        <v>2.79</v>
      </c>
      <c r="U80" s="28" t="s">
        <v>230</v>
      </c>
      <c r="V80" s="22">
        <f t="shared" si="3"/>
        <v>-2.79</v>
      </c>
    </row>
    <row r="81" spans="15:22" x14ac:dyDescent="0.25">
      <c r="O81" s="31">
        <v>46257</v>
      </c>
      <c r="P81" s="27" t="s">
        <v>150</v>
      </c>
      <c r="Q81" s="27" t="s">
        <v>118</v>
      </c>
      <c r="R81" s="28" t="s">
        <v>22</v>
      </c>
      <c r="S81" s="27">
        <v>1.7290000000000001</v>
      </c>
      <c r="T81" s="29">
        <v>3.78</v>
      </c>
      <c r="U81" s="28" t="s">
        <v>230</v>
      </c>
      <c r="V81" s="22">
        <f t="shared" si="3"/>
        <v>-3.78</v>
      </c>
    </row>
    <row r="82" spans="15:22" x14ac:dyDescent="0.25">
      <c r="O82" s="31">
        <v>46257</v>
      </c>
      <c r="P82" s="27" t="s">
        <v>106</v>
      </c>
      <c r="Q82" s="27" t="s">
        <v>155</v>
      </c>
      <c r="R82" s="28" t="s">
        <v>20</v>
      </c>
      <c r="S82" s="27">
        <v>2.37</v>
      </c>
      <c r="T82" s="29">
        <v>2.76</v>
      </c>
      <c r="U82" s="28" t="s">
        <v>231</v>
      </c>
      <c r="V82" s="22">
        <f t="shared" si="3"/>
        <v>3.7812000000000001</v>
      </c>
    </row>
    <row r="83" spans="15:22" x14ac:dyDescent="0.25">
      <c r="O83" s="31">
        <v>46257</v>
      </c>
      <c r="P83" s="27" t="s">
        <v>78</v>
      </c>
      <c r="Q83" s="27" t="s">
        <v>111</v>
      </c>
      <c r="R83" s="28" t="s">
        <v>19</v>
      </c>
      <c r="S83" s="27">
        <v>1.84</v>
      </c>
      <c r="T83" s="29">
        <v>3.29</v>
      </c>
      <c r="U83" s="28" t="s">
        <v>231</v>
      </c>
      <c r="V83" s="22">
        <f t="shared" si="3"/>
        <v>2.7636000000000003</v>
      </c>
    </row>
    <row r="84" spans="15:22" x14ac:dyDescent="0.25">
      <c r="O84" s="31">
        <v>46257</v>
      </c>
      <c r="P84" s="27" t="s">
        <v>78</v>
      </c>
      <c r="Q84" s="27" t="s">
        <v>111</v>
      </c>
      <c r="R84" s="28" t="s">
        <v>22</v>
      </c>
      <c r="S84" s="27">
        <v>1.8620000000000001</v>
      </c>
      <c r="T84" s="29">
        <v>3.21</v>
      </c>
      <c r="U84" s="28" t="s">
        <v>230</v>
      </c>
      <c r="V84" s="22">
        <f t="shared" ref="V84:V132" si="4">IF(U84="Loss",-T84,T84*S84-T84)</f>
        <v>-3.21</v>
      </c>
    </row>
    <row r="85" spans="15:22" x14ac:dyDescent="0.25">
      <c r="O85" s="31">
        <v>46257</v>
      </c>
      <c r="P85" s="27" t="s">
        <v>140</v>
      </c>
      <c r="Q85" s="27" t="s">
        <v>96</v>
      </c>
      <c r="R85" s="28" t="s">
        <v>20</v>
      </c>
      <c r="S85" s="27">
        <v>2.2200000000000002</v>
      </c>
      <c r="T85" s="29">
        <v>2.76</v>
      </c>
      <c r="U85" s="28" t="s">
        <v>231</v>
      </c>
      <c r="V85" s="22">
        <f t="shared" si="4"/>
        <v>3.3672000000000004</v>
      </c>
    </row>
    <row r="86" spans="15:22" x14ac:dyDescent="0.25">
      <c r="O86" s="31">
        <v>46257</v>
      </c>
      <c r="P86" s="27" t="s">
        <v>99</v>
      </c>
      <c r="Q86" s="27" t="s">
        <v>93</v>
      </c>
      <c r="R86" s="28" t="s">
        <v>20</v>
      </c>
      <c r="S86" s="27">
        <v>1.806</v>
      </c>
      <c r="T86" s="29">
        <v>3.43</v>
      </c>
      <c r="U86" s="28" t="s">
        <v>231</v>
      </c>
      <c r="V86" s="22">
        <f t="shared" si="4"/>
        <v>2.76458</v>
      </c>
    </row>
    <row r="87" spans="15:22" x14ac:dyDescent="0.25">
      <c r="O87" s="31">
        <v>46257</v>
      </c>
      <c r="P87" s="27" t="s">
        <v>52</v>
      </c>
      <c r="Q87" s="27" t="s">
        <v>56</v>
      </c>
      <c r="R87" s="28" t="s">
        <v>20</v>
      </c>
      <c r="S87" s="27">
        <v>1.806</v>
      </c>
      <c r="T87" s="29">
        <v>3.43</v>
      </c>
      <c r="U87" s="28" t="s">
        <v>231</v>
      </c>
      <c r="V87" s="22">
        <f t="shared" si="4"/>
        <v>2.76458</v>
      </c>
    </row>
    <row r="88" spans="15:22" x14ac:dyDescent="0.25">
      <c r="O88" s="31">
        <v>46257</v>
      </c>
      <c r="P88" s="27" t="s">
        <v>52</v>
      </c>
      <c r="Q88" s="27" t="s">
        <v>56</v>
      </c>
      <c r="R88" s="28" t="s">
        <v>195</v>
      </c>
      <c r="S88" s="27">
        <v>1.7350000000000001</v>
      </c>
      <c r="T88" s="29">
        <v>3.76</v>
      </c>
      <c r="U88" s="28" t="s">
        <v>231</v>
      </c>
      <c r="V88" s="22">
        <f t="shared" si="4"/>
        <v>2.7636000000000003</v>
      </c>
    </row>
    <row r="89" spans="15:22" x14ac:dyDescent="0.25">
      <c r="O89" s="31">
        <v>46257</v>
      </c>
      <c r="P89" s="27" t="s">
        <v>209</v>
      </c>
      <c r="Q89" s="27" t="s">
        <v>158</v>
      </c>
      <c r="R89" s="28" t="s">
        <v>19</v>
      </c>
      <c r="S89" s="27">
        <v>1.8540000000000001</v>
      </c>
      <c r="T89" s="29">
        <v>3.23</v>
      </c>
      <c r="U89" s="28" t="s">
        <v>230</v>
      </c>
      <c r="V89" s="22">
        <f t="shared" si="4"/>
        <v>-3.23</v>
      </c>
    </row>
    <row r="90" spans="15:22" x14ac:dyDescent="0.25">
      <c r="O90" s="31">
        <v>46257</v>
      </c>
      <c r="P90" s="27" t="s">
        <v>109</v>
      </c>
      <c r="Q90" s="27" t="s">
        <v>148</v>
      </c>
      <c r="R90" s="28" t="s">
        <v>195</v>
      </c>
      <c r="S90" s="27">
        <v>2.95</v>
      </c>
      <c r="T90" s="29">
        <v>2.76</v>
      </c>
      <c r="U90" s="28" t="s">
        <v>230</v>
      </c>
      <c r="V90" s="22">
        <f t="shared" si="4"/>
        <v>-2.76</v>
      </c>
    </row>
    <row r="91" spans="15:22" x14ac:dyDescent="0.25">
      <c r="O91" s="31">
        <v>46258</v>
      </c>
      <c r="P91" s="27" t="s">
        <v>167</v>
      </c>
      <c r="Q91" s="27" t="s">
        <v>196</v>
      </c>
      <c r="R91" s="28" t="s">
        <v>19</v>
      </c>
      <c r="S91" s="27">
        <v>2.21</v>
      </c>
      <c r="T91" s="29">
        <v>2.78</v>
      </c>
      <c r="U91" s="28" t="s">
        <v>230</v>
      </c>
      <c r="V91" s="22">
        <f t="shared" si="4"/>
        <v>-2.78</v>
      </c>
    </row>
    <row r="92" spans="15:22" x14ac:dyDescent="0.25">
      <c r="O92" s="31">
        <v>46258</v>
      </c>
      <c r="P92" s="27" t="s">
        <v>167</v>
      </c>
      <c r="Q92" s="27" t="s">
        <v>196</v>
      </c>
      <c r="R92" s="28" t="s">
        <v>22</v>
      </c>
      <c r="S92" s="27">
        <v>2.19</v>
      </c>
      <c r="T92" s="29">
        <v>2.78</v>
      </c>
      <c r="U92" s="28" t="s">
        <v>230</v>
      </c>
      <c r="V92" s="22">
        <f t="shared" si="4"/>
        <v>-2.78</v>
      </c>
    </row>
    <row r="93" spans="15:22" x14ac:dyDescent="0.25">
      <c r="O93" s="31">
        <v>46258</v>
      </c>
      <c r="P93" s="27" t="s">
        <v>175</v>
      </c>
      <c r="Q93" s="27" t="s">
        <v>193</v>
      </c>
      <c r="R93" s="28" t="s">
        <v>19</v>
      </c>
      <c r="S93" s="27">
        <v>2.04</v>
      </c>
      <c r="T93" s="29">
        <v>2.78</v>
      </c>
      <c r="U93" s="28" t="s">
        <v>230</v>
      </c>
      <c r="V93" s="22">
        <f t="shared" si="4"/>
        <v>-2.78</v>
      </c>
    </row>
    <row r="94" spans="15:22" x14ac:dyDescent="0.25">
      <c r="O94" s="31">
        <v>46258</v>
      </c>
      <c r="P94" s="27" t="s">
        <v>166</v>
      </c>
      <c r="Q94" s="27" t="s">
        <v>131</v>
      </c>
      <c r="R94" s="28" t="s">
        <v>19</v>
      </c>
      <c r="S94" s="27">
        <v>2.13</v>
      </c>
      <c r="T94" s="29">
        <v>2.78</v>
      </c>
      <c r="U94" s="28" t="s">
        <v>231</v>
      </c>
      <c r="V94" s="22">
        <f t="shared" si="4"/>
        <v>3.1413999999999995</v>
      </c>
    </row>
    <row r="95" spans="15:22" x14ac:dyDescent="0.25">
      <c r="O95" s="31">
        <v>46258</v>
      </c>
      <c r="P95" s="27" t="s">
        <v>166</v>
      </c>
      <c r="Q95" s="27" t="s">
        <v>131</v>
      </c>
      <c r="R95" s="28" t="s">
        <v>22</v>
      </c>
      <c r="S95" s="27">
        <v>1.8839999999999999</v>
      </c>
      <c r="T95" s="29">
        <v>3.14</v>
      </c>
      <c r="U95" s="28" t="s">
        <v>231</v>
      </c>
      <c r="V95" s="22">
        <f t="shared" si="4"/>
        <v>2.7757599999999996</v>
      </c>
    </row>
    <row r="96" spans="15:22" x14ac:dyDescent="0.25">
      <c r="O96" s="31">
        <v>46258</v>
      </c>
      <c r="P96" s="27" t="s">
        <v>134</v>
      </c>
      <c r="Q96" s="27" t="s">
        <v>67</v>
      </c>
      <c r="R96" s="28" t="s">
        <v>195</v>
      </c>
      <c r="S96" s="27">
        <v>2.21</v>
      </c>
      <c r="T96" s="29">
        <v>2.78</v>
      </c>
      <c r="U96" s="28" t="s">
        <v>231</v>
      </c>
      <c r="V96" s="22">
        <f t="shared" si="4"/>
        <v>3.3637999999999999</v>
      </c>
    </row>
    <row r="97" spans="15:22" x14ac:dyDescent="0.25">
      <c r="O97" s="31">
        <v>46258</v>
      </c>
      <c r="P97" s="27" t="s">
        <v>163</v>
      </c>
      <c r="Q97" s="27" t="s">
        <v>90</v>
      </c>
      <c r="R97" s="28" t="s">
        <v>20</v>
      </c>
      <c r="S97" s="27">
        <v>2.6</v>
      </c>
      <c r="T97" s="29">
        <v>2.78</v>
      </c>
      <c r="U97" s="28" t="s">
        <v>230</v>
      </c>
      <c r="V97" s="22">
        <f t="shared" si="4"/>
        <v>-2.78</v>
      </c>
    </row>
    <row r="98" spans="15:22" x14ac:dyDescent="0.25">
      <c r="O98" s="31">
        <v>46258</v>
      </c>
      <c r="P98" s="27" t="s">
        <v>122</v>
      </c>
      <c r="Q98" s="27" t="s">
        <v>132</v>
      </c>
      <c r="R98" s="28" t="s">
        <v>19</v>
      </c>
      <c r="S98" s="27">
        <v>2.2599999999999998</v>
      </c>
      <c r="T98" s="29">
        <v>2.78</v>
      </c>
      <c r="U98" s="28" t="s">
        <v>230</v>
      </c>
      <c r="V98" s="22">
        <f t="shared" si="4"/>
        <v>-2.78</v>
      </c>
    </row>
    <row r="99" spans="15:22" x14ac:dyDescent="0.25">
      <c r="O99" s="31">
        <v>46258</v>
      </c>
      <c r="P99" s="27" t="s">
        <v>122</v>
      </c>
      <c r="Q99" s="27" t="s">
        <v>132</v>
      </c>
      <c r="R99" s="28" t="s">
        <v>22</v>
      </c>
      <c r="S99" s="27">
        <v>1.952</v>
      </c>
      <c r="T99" s="29">
        <v>2.92</v>
      </c>
      <c r="U99" s="28" t="s">
        <v>230</v>
      </c>
      <c r="V99" s="22">
        <f t="shared" si="4"/>
        <v>-2.92</v>
      </c>
    </row>
    <row r="100" spans="15:22" x14ac:dyDescent="0.25">
      <c r="O100" s="31">
        <v>46258</v>
      </c>
      <c r="P100" s="27" t="s">
        <v>199</v>
      </c>
      <c r="Q100" s="27" t="s">
        <v>125</v>
      </c>
      <c r="R100" s="28" t="s">
        <v>19</v>
      </c>
      <c r="S100" s="27">
        <v>1.7929999999999999</v>
      </c>
      <c r="T100" s="29">
        <v>3.5</v>
      </c>
      <c r="U100" s="28" t="s">
        <v>231</v>
      </c>
      <c r="V100" s="22">
        <f t="shared" si="4"/>
        <v>2.7755000000000001</v>
      </c>
    </row>
    <row r="101" spans="15:22" x14ac:dyDescent="0.25">
      <c r="O101" s="31">
        <v>46258</v>
      </c>
      <c r="P101" s="27" t="s">
        <v>199</v>
      </c>
      <c r="Q101" s="27" t="s">
        <v>125</v>
      </c>
      <c r="R101" s="28" t="s">
        <v>22</v>
      </c>
      <c r="S101" s="27">
        <v>2.81</v>
      </c>
      <c r="T101" s="29">
        <v>2.78</v>
      </c>
      <c r="U101" s="28" t="s">
        <v>231</v>
      </c>
      <c r="V101" s="22">
        <f t="shared" si="4"/>
        <v>5.0318000000000005</v>
      </c>
    </row>
    <row r="102" spans="15:22" x14ac:dyDescent="0.25">
      <c r="O102" s="31">
        <v>46258</v>
      </c>
      <c r="P102" s="27" t="s">
        <v>180</v>
      </c>
      <c r="Q102" s="27" t="s">
        <v>181</v>
      </c>
      <c r="R102" s="28" t="s">
        <v>22</v>
      </c>
      <c r="S102" s="27">
        <v>1.6990000000000001</v>
      </c>
      <c r="T102" s="29">
        <v>3.97</v>
      </c>
      <c r="U102" s="28" t="s">
        <v>231</v>
      </c>
      <c r="V102" s="22">
        <f t="shared" si="4"/>
        <v>2.7750300000000006</v>
      </c>
    </row>
    <row r="103" spans="15:22" x14ac:dyDescent="0.25">
      <c r="O103" s="31">
        <v>46258</v>
      </c>
      <c r="P103" s="27" t="s">
        <v>210</v>
      </c>
      <c r="Q103" s="27" t="s">
        <v>211</v>
      </c>
      <c r="R103" s="28" t="s">
        <v>195</v>
      </c>
      <c r="S103" s="27">
        <v>1.7689999999999999</v>
      </c>
      <c r="T103" s="29">
        <v>3.6</v>
      </c>
      <c r="U103" s="28" t="s">
        <v>231</v>
      </c>
      <c r="V103" s="22">
        <f t="shared" si="4"/>
        <v>2.7683999999999993</v>
      </c>
    </row>
    <row r="104" spans="15:22" x14ac:dyDescent="0.25">
      <c r="O104" s="31">
        <v>46258</v>
      </c>
      <c r="P104" s="27" t="s">
        <v>73</v>
      </c>
      <c r="Q104" s="27" t="s">
        <v>153</v>
      </c>
      <c r="R104" s="28" t="s">
        <v>19</v>
      </c>
      <c r="S104" s="27">
        <v>2.2599999999999998</v>
      </c>
      <c r="T104" s="29">
        <v>2.78</v>
      </c>
      <c r="U104" s="28" t="s">
        <v>230</v>
      </c>
      <c r="V104" s="22">
        <f t="shared" si="4"/>
        <v>-2.78</v>
      </c>
    </row>
    <row r="105" spans="15:22" x14ac:dyDescent="0.25">
      <c r="O105" s="31">
        <v>46258</v>
      </c>
      <c r="P105" s="27" t="s">
        <v>73</v>
      </c>
      <c r="Q105" s="27" t="s">
        <v>153</v>
      </c>
      <c r="R105" s="28" t="s">
        <v>22</v>
      </c>
      <c r="S105" s="27">
        <v>2.0299999999999998</v>
      </c>
      <c r="T105" s="29">
        <v>2.78</v>
      </c>
      <c r="U105" s="28" t="s">
        <v>230</v>
      </c>
      <c r="V105" s="22">
        <f t="shared" si="4"/>
        <v>-2.78</v>
      </c>
    </row>
    <row r="106" spans="15:22" x14ac:dyDescent="0.25">
      <c r="O106" s="31">
        <v>46258</v>
      </c>
      <c r="P106" s="27" t="s">
        <v>51</v>
      </c>
      <c r="Q106" s="27" t="s">
        <v>40</v>
      </c>
      <c r="R106" s="28" t="s">
        <v>19</v>
      </c>
      <c r="S106" s="27">
        <v>2.0499999999999998</v>
      </c>
      <c r="T106" s="29">
        <v>2.78</v>
      </c>
      <c r="U106" s="28" t="s">
        <v>231</v>
      </c>
      <c r="V106" s="22">
        <f t="shared" si="4"/>
        <v>2.9189999999999992</v>
      </c>
    </row>
    <row r="107" spans="15:22" x14ac:dyDescent="0.25">
      <c r="O107" s="31">
        <v>46258</v>
      </c>
      <c r="P107" s="27" t="s">
        <v>51</v>
      </c>
      <c r="Q107" s="27" t="s">
        <v>40</v>
      </c>
      <c r="R107" s="28" t="s">
        <v>22</v>
      </c>
      <c r="S107" s="27">
        <v>1.952</v>
      </c>
      <c r="T107" s="29">
        <v>2.92</v>
      </c>
      <c r="U107" s="28" t="s">
        <v>230</v>
      </c>
      <c r="V107" s="22">
        <f t="shared" si="4"/>
        <v>-2.92</v>
      </c>
    </row>
    <row r="108" spans="15:22" x14ac:dyDescent="0.25">
      <c r="O108" s="31">
        <v>46258</v>
      </c>
      <c r="P108" s="27" t="s">
        <v>72</v>
      </c>
      <c r="Q108" s="27" t="s">
        <v>98</v>
      </c>
      <c r="R108" s="28" t="s">
        <v>20</v>
      </c>
      <c r="S108" s="27">
        <v>1.99</v>
      </c>
      <c r="T108" s="29">
        <v>2.81</v>
      </c>
      <c r="U108" s="28" t="s">
        <v>230</v>
      </c>
      <c r="V108" s="22">
        <f t="shared" si="4"/>
        <v>-2.81</v>
      </c>
    </row>
    <row r="109" spans="15:22" x14ac:dyDescent="0.25">
      <c r="O109" s="31">
        <v>46258</v>
      </c>
      <c r="P109" s="27" t="s">
        <v>110</v>
      </c>
      <c r="Q109" s="27" t="s">
        <v>172</v>
      </c>
      <c r="R109" s="28" t="s">
        <v>19</v>
      </c>
      <c r="S109" s="27">
        <v>2.17</v>
      </c>
      <c r="T109" s="29">
        <v>2.78</v>
      </c>
      <c r="U109" s="28" t="s">
        <v>230</v>
      </c>
      <c r="V109" s="22">
        <f t="shared" si="4"/>
        <v>-2.78</v>
      </c>
    </row>
    <row r="110" spans="15:22" x14ac:dyDescent="0.25">
      <c r="O110" s="31">
        <v>46259</v>
      </c>
      <c r="P110" s="27" t="s">
        <v>212</v>
      </c>
      <c r="Q110" s="27" t="s">
        <v>213</v>
      </c>
      <c r="R110" s="28" t="s">
        <v>19</v>
      </c>
      <c r="S110" s="27">
        <v>1.7509999999999999</v>
      </c>
      <c r="T110" s="29">
        <v>3.69</v>
      </c>
      <c r="U110" s="28" t="s">
        <v>230</v>
      </c>
      <c r="V110" s="22">
        <f t="shared" si="4"/>
        <v>-3.69</v>
      </c>
    </row>
    <row r="111" spans="15:22" x14ac:dyDescent="0.25">
      <c r="O111" s="31">
        <v>46259</v>
      </c>
      <c r="P111" s="27" t="s">
        <v>212</v>
      </c>
      <c r="Q111" s="27" t="s">
        <v>213</v>
      </c>
      <c r="R111" s="28" t="s">
        <v>22</v>
      </c>
      <c r="S111" s="27">
        <v>1.6990000000000001</v>
      </c>
      <c r="T111" s="29">
        <v>3.97</v>
      </c>
      <c r="U111" s="28" t="s">
        <v>230</v>
      </c>
      <c r="V111" s="22">
        <f t="shared" si="4"/>
        <v>-3.97</v>
      </c>
    </row>
    <row r="112" spans="15:22" x14ac:dyDescent="0.25">
      <c r="O112" s="31">
        <v>46259</v>
      </c>
      <c r="P112" s="27" t="s">
        <v>214</v>
      </c>
      <c r="Q112" s="27" t="s">
        <v>123</v>
      </c>
      <c r="R112" s="28" t="s">
        <v>195</v>
      </c>
      <c r="S112" s="27">
        <v>2.63</v>
      </c>
      <c r="T112" s="29">
        <v>2.78</v>
      </c>
      <c r="U112" s="28" t="s">
        <v>231</v>
      </c>
      <c r="V112" s="22">
        <f t="shared" si="4"/>
        <v>4.5313999999999997</v>
      </c>
    </row>
    <row r="113" spans="15:22" x14ac:dyDescent="0.25">
      <c r="O113" s="31">
        <v>46259</v>
      </c>
      <c r="P113" s="27" t="s">
        <v>168</v>
      </c>
      <c r="Q113" s="27" t="s">
        <v>113</v>
      </c>
      <c r="R113" s="28" t="s">
        <v>20</v>
      </c>
      <c r="S113" s="27">
        <v>2.52</v>
      </c>
      <c r="T113" s="29">
        <v>2.78</v>
      </c>
      <c r="U113" s="28" t="s">
        <v>230</v>
      </c>
      <c r="V113" s="22">
        <f t="shared" si="4"/>
        <v>-2.78</v>
      </c>
    </row>
    <row r="114" spans="15:22" x14ac:dyDescent="0.25">
      <c r="O114" s="31">
        <v>46259</v>
      </c>
      <c r="P114" s="27" t="s">
        <v>68</v>
      </c>
      <c r="Q114" s="27" t="s">
        <v>152</v>
      </c>
      <c r="R114" s="28" t="s">
        <v>19</v>
      </c>
      <c r="S114" s="27">
        <v>2.56</v>
      </c>
      <c r="T114" s="29">
        <v>2.78</v>
      </c>
      <c r="U114" s="28" t="s">
        <v>230</v>
      </c>
      <c r="V114" s="22">
        <f t="shared" si="4"/>
        <v>-2.78</v>
      </c>
    </row>
    <row r="115" spans="15:22" x14ac:dyDescent="0.25">
      <c r="O115" s="31">
        <v>46259</v>
      </c>
      <c r="P115" s="27" t="s">
        <v>161</v>
      </c>
      <c r="Q115" s="27" t="s">
        <v>112</v>
      </c>
      <c r="R115" s="28" t="s">
        <v>19</v>
      </c>
      <c r="S115" s="27">
        <v>2.4</v>
      </c>
      <c r="T115" s="29">
        <v>2.78</v>
      </c>
      <c r="U115" s="28" t="s">
        <v>230</v>
      </c>
      <c r="V115" s="22">
        <f t="shared" si="4"/>
        <v>-2.78</v>
      </c>
    </row>
    <row r="116" spans="15:22" x14ac:dyDescent="0.25">
      <c r="O116" s="31">
        <v>46259</v>
      </c>
      <c r="P116" s="27" t="s">
        <v>161</v>
      </c>
      <c r="Q116" s="27" t="s">
        <v>112</v>
      </c>
      <c r="R116" s="28" t="s">
        <v>22</v>
      </c>
      <c r="S116" s="27">
        <v>2.0099999999999998</v>
      </c>
      <c r="T116" s="29">
        <v>2.78</v>
      </c>
      <c r="U116" s="28" t="s">
        <v>230</v>
      </c>
      <c r="V116" s="22">
        <f t="shared" si="4"/>
        <v>-2.78</v>
      </c>
    </row>
    <row r="117" spans="15:22" x14ac:dyDescent="0.25">
      <c r="O117" s="31">
        <v>46260</v>
      </c>
      <c r="P117" s="27" t="s">
        <v>35</v>
      </c>
      <c r="Q117" s="27" t="s">
        <v>36</v>
      </c>
      <c r="R117" s="28" t="s">
        <v>20</v>
      </c>
      <c r="S117" s="27">
        <v>1.9610000000000001</v>
      </c>
      <c r="T117" s="29">
        <v>2.89</v>
      </c>
      <c r="U117" s="28" t="s">
        <v>230</v>
      </c>
      <c r="V117" s="22">
        <f t="shared" si="4"/>
        <v>-2.89</v>
      </c>
    </row>
    <row r="118" spans="15:22" x14ac:dyDescent="0.25">
      <c r="O118" s="31">
        <v>46260</v>
      </c>
      <c r="P118" s="27" t="s">
        <v>35</v>
      </c>
      <c r="Q118" s="27" t="s">
        <v>36</v>
      </c>
      <c r="R118" s="28" t="s">
        <v>195</v>
      </c>
      <c r="S118" s="27">
        <v>2.44</v>
      </c>
      <c r="T118" s="29">
        <v>2.78</v>
      </c>
      <c r="U118" s="28" t="s">
        <v>230</v>
      </c>
      <c r="V118" s="22">
        <f t="shared" si="4"/>
        <v>-2.78</v>
      </c>
    </row>
    <row r="119" spans="15:22" x14ac:dyDescent="0.25">
      <c r="O119" s="31">
        <v>46260</v>
      </c>
      <c r="P119" s="27" t="s">
        <v>44</v>
      </c>
      <c r="Q119" s="27" t="s">
        <v>37</v>
      </c>
      <c r="R119" s="28" t="s">
        <v>19</v>
      </c>
      <c r="S119" s="27">
        <v>2.2200000000000002</v>
      </c>
      <c r="T119" s="29">
        <v>2.78</v>
      </c>
      <c r="U119" s="28" t="s">
        <v>231</v>
      </c>
      <c r="V119" s="22">
        <f t="shared" si="4"/>
        <v>3.3915999999999999</v>
      </c>
    </row>
    <row r="120" spans="15:22" x14ac:dyDescent="0.25">
      <c r="O120" s="31">
        <v>46260</v>
      </c>
      <c r="P120" s="27" t="s">
        <v>44</v>
      </c>
      <c r="Q120" s="27" t="s">
        <v>37</v>
      </c>
      <c r="R120" s="28" t="s">
        <v>22</v>
      </c>
      <c r="S120" s="27">
        <v>1.869</v>
      </c>
      <c r="T120" s="29">
        <v>3.18</v>
      </c>
      <c r="U120" s="28" t="s">
        <v>231</v>
      </c>
      <c r="V120" s="22">
        <f t="shared" si="4"/>
        <v>2.7634200000000004</v>
      </c>
    </row>
    <row r="121" spans="15:22" x14ac:dyDescent="0.25">
      <c r="O121" s="31">
        <v>46260</v>
      </c>
      <c r="P121" s="27" t="s">
        <v>34</v>
      </c>
      <c r="Q121" s="27" t="s">
        <v>45</v>
      </c>
      <c r="R121" s="28" t="s">
        <v>195</v>
      </c>
      <c r="S121" s="27">
        <v>1.74</v>
      </c>
      <c r="T121" s="29">
        <v>3.74</v>
      </c>
      <c r="U121" s="28" t="s">
        <v>230</v>
      </c>
      <c r="V121" s="22">
        <f t="shared" si="4"/>
        <v>-3.74</v>
      </c>
    </row>
    <row r="122" spans="15:22" x14ac:dyDescent="0.25">
      <c r="O122" s="31">
        <v>46260</v>
      </c>
      <c r="P122" s="27" t="s">
        <v>95</v>
      </c>
      <c r="Q122" s="27" t="s">
        <v>94</v>
      </c>
      <c r="R122" s="28" t="s">
        <v>19</v>
      </c>
      <c r="S122" s="27">
        <v>3.03</v>
      </c>
      <c r="T122" s="29">
        <v>2.78</v>
      </c>
      <c r="U122" s="28" t="s">
        <v>230</v>
      </c>
      <c r="V122" s="22">
        <f t="shared" si="4"/>
        <v>-2.78</v>
      </c>
    </row>
    <row r="123" spans="15:22" x14ac:dyDescent="0.25">
      <c r="O123" s="31">
        <v>46260</v>
      </c>
      <c r="P123" s="27" t="s">
        <v>33</v>
      </c>
      <c r="Q123" s="27" t="s">
        <v>156</v>
      </c>
      <c r="R123" s="28" t="s">
        <v>20</v>
      </c>
      <c r="S123" s="27">
        <v>2.61</v>
      </c>
      <c r="T123" s="29">
        <v>2.78</v>
      </c>
      <c r="U123" s="28" t="s">
        <v>230</v>
      </c>
      <c r="V123" s="22">
        <f t="shared" si="4"/>
        <v>-2.78</v>
      </c>
    </row>
    <row r="124" spans="15:22" x14ac:dyDescent="0.25">
      <c r="O124" s="31">
        <v>46260</v>
      </c>
      <c r="P124" s="27" t="s">
        <v>104</v>
      </c>
      <c r="Q124" s="27" t="s">
        <v>43</v>
      </c>
      <c r="R124" s="28" t="s">
        <v>19</v>
      </c>
      <c r="S124" s="27">
        <v>2.5499999999999998</v>
      </c>
      <c r="T124" s="29">
        <v>2.78</v>
      </c>
      <c r="U124" s="28" t="s">
        <v>230</v>
      </c>
      <c r="V124" s="22">
        <f t="shared" si="4"/>
        <v>-2.78</v>
      </c>
    </row>
    <row r="125" spans="15:22" x14ac:dyDescent="0.25">
      <c r="O125" s="31">
        <v>46260</v>
      </c>
      <c r="P125" s="27" t="s">
        <v>104</v>
      </c>
      <c r="Q125" s="27" t="s">
        <v>43</v>
      </c>
      <c r="R125" s="28" t="s">
        <v>22</v>
      </c>
      <c r="S125" s="27">
        <v>2.06</v>
      </c>
      <c r="T125" s="29">
        <v>2.78</v>
      </c>
      <c r="U125" s="28" t="s">
        <v>230</v>
      </c>
      <c r="V125" s="22">
        <f t="shared" si="4"/>
        <v>-2.78</v>
      </c>
    </row>
    <row r="126" spans="15:22" x14ac:dyDescent="0.25">
      <c r="O126" s="31">
        <v>46260</v>
      </c>
      <c r="P126" s="27" t="s">
        <v>101</v>
      </c>
      <c r="Q126" s="27" t="s">
        <v>100</v>
      </c>
      <c r="R126" s="28" t="s">
        <v>19</v>
      </c>
      <c r="S126" s="27">
        <v>2.65</v>
      </c>
      <c r="T126" s="29">
        <v>2.78</v>
      </c>
      <c r="U126" s="28" t="s">
        <v>231</v>
      </c>
      <c r="V126" s="22">
        <f t="shared" si="4"/>
        <v>4.5869999999999997</v>
      </c>
    </row>
    <row r="127" spans="15:22" x14ac:dyDescent="0.25">
      <c r="O127" s="31">
        <v>46260</v>
      </c>
      <c r="P127" s="27" t="s">
        <v>97</v>
      </c>
      <c r="Q127" s="27" t="s">
        <v>114</v>
      </c>
      <c r="R127" s="28" t="s">
        <v>19</v>
      </c>
      <c r="S127" s="27">
        <v>2.23</v>
      </c>
      <c r="T127" s="29">
        <v>2.78</v>
      </c>
      <c r="U127" s="28" t="s">
        <v>231</v>
      </c>
      <c r="V127" s="22">
        <f t="shared" si="4"/>
        <v>3.4194</v>
      </c>
    </row>
    <row r="128" spans="15:22" x14ac:dyDescent="0.25">
      <c r="O128" s="31">
        <v>46260</v>
      </c>
      <c r="P128" s="27" t="s">
        <v>97</v>
      </c>
      <c r="Q128" s="27" t="s">
        <v>114</v>
      </c>
      <c r="R128" s="28" t="s">
        <v>22</v>
      </c>
      <c r="S128" s="27">
        <v>1.9430000000000001</v>
      </c>
      <c r="T128" s="29">
        <v>2.95</v>
      </c>
      <c r="U128" s="28" t="s">
        <v>231</v>
      </c>
      <c r="V128" s="22">
        <f t="shared" si="4"/>
        <v>2.7818500000000004</v>
      </c>
    </row>
    <row r="129" spans="15:22" x14ac:dyDescent="0.25">
      <c r="O129" s="31">
        <v>46260</v>
      </c>
      <c r="P129" s="27" t="s">
        <v>41</v>
      </c>
      <c r="Q129" s="27" t="s">
        <v>140</v>
      </c>
      <c r="R129" s="28" t="s">
        <v>20</v>
      </c>
      <c r="S129" s="27">
        <v>2.2599999999999998</v>
      </c>
      <c r="T129" s="29">
        <v>2.78</v>
      </c>
      <c r="U129" s="28" t="s">
        <v>231</v>
      </c>
      <c r="V129" s="22">
        <f t="shared" si="4"/>
        <v>3.5027999999999992</v>
      </c>
    </row>
    <row r="130" spans="15:22" x14ac:dyDescent="0.25">
      <c r="O130" s="31">
        <v>46260</v>
      </c>
      <c r="P130" s="27" t="s">
        <v>145</v>
      </c>
      <c r="Q130" s="27" t="s">
        <v>117</v>
      </c>
      <c r="R130" s="28" t="s">
        <v>20</v>
      </c>
      <c r="S130" s="27">
        <v>1.819</v>
      </c>
      <c r="T130" s="29">
        <v>3.39</v>
      </c>
      <c r="U130" s="28" t="s">
        <v>230</v>
      </c>
      <c r="V130" s="22">
        <f t="shared" si="4"/>
        <v>-3.39</v>
      </c>
    </row>
    <row r="131" spans="15:22" x14ac:dyDescent="0.25">
      <c r="O131" s="31">
        <v>46260</v>
      </c>
      <c r="P131" s="27" t="s">
        <v>145</v>
      </c>
      <c r="Q131" s="27" t="s">
        <v>117</v>
      </c>
      <c r="R131" s="28" t="s">
        <v>195</v>
      </c>
      <c r="S131" s="27">
        <v>2</v>
      </c>
      <c r="T131" s="29">
        <v>2.78</v>
      </c>
      <c r="U131" s="28" t="s">
        <v>230</v>
      </c>
      <c r="V131" s="22">
        <f t="shared" si="4"/>
        <v>-2.78</v>
      </c>
    </row>
    <row r="132" spans="15:22" x14ac:dyDescent="0.25">
      <c r="O132" s="31">
        <v>46260</v>
      </c>
      <c r="P132" s="27" t="s">
        <v>105</v>
      </c>
      <c r="Q132" s="27" t="s">
        <v>77</v>
      </c>
      <c r="R132" s="28" t="s">
        <v>20</v>
      </c>
      <c r="S132" s="27">
        <v>1.8</v>
      </c>
      <c r="T132" s="29">
        <v>3.48</v>
      </c>
      <c r="U132" s="28" t="s">
        <v>230</v>
      </c>
      <c r="V132" s="22">
        <f t="shared" si="4"/>
        <v>-3.48</v>
      </c>
    </row>
  </sheetData>
  <autoFilter ref="O1:W149" xr:uid="{00000000-0001-0000-0900-000000000000}"/>
  <conditionalFormatting sqref="V2:V132"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polymarket-redeems</vt:lpstr>
      <vt:lpstr>Pinnacle-tips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Renan De Alencar Queiroz</cp:lastModifiedBy>
  <cp:revision>3</cp:revision>
  <dcterms:created xsi:type="dcterms:W3CDTF">2026-08-26T15:30:25Z</dcterms:created>
  <dcterms:modified xsi:type="dcterms:W3CDTF">2026-08-27T21:44:02Z</dcterms:modified>
  <dc:language>en-US</dc:language>
</cp:coreProperties>
</file>