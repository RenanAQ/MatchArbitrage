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" sheetId="1" state="visible" r:id="rId3"/>
    <sheet name="polymarket-redeems" sheetId="2" state="visible" r:id="rId4"/>
    <sheet name="Pinnacle-tips" sheetId="3" state="visible" r:id="rId5"/>
  </sheets>
  <definedNames>
    <definedName function="false" hidden="true" localSheetId="0" name="_xlnm._FilterDatabase" vbProcedure="false">General!$A$3:$AI$1048576</definedName>
    <definedName function="false" hidden="true" localSheetId="2" name="_xlnm._FilterDatabase" vbProcedure="false">'Pinnacle-tips'!$O$1:$W$149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<sst xmlns="http://schemas.openxmlformats.org/spreadsheetml/2006/main" count="3436" uniqueCount="1371">
  <si>
    <t xml:space="preserve">Unit</t>
  </si>
  <si>
    <t xml:space="preserve">Country</t>
  </si>
  <si>
    <t xml:space="preserve">Campeonato</t>
  </si>
  <si>
    <t xml:space="preserve">Data</t>
  </si>
  <si>
    <t xml:space="preserve">Horário</t>
  </si>
  <si>
    <t xml:space="preserve">Mandante</t>
  </si>
  <si>
    <t xml:space="preserve">Visitante</t>
  </si>
  <si>
    <t xml:space="preserve">Placar</t>
  </si>
  <si>
    <t xml:space="preserve">1</t>
  </si>
  <si>
    <t xml:space="preserve">X</t>
  </si>
  <si>
    <t xml:space="preserve">2</t>
  </si>
  <si>
    <t xml:space="preserve">1X</t>
  </si>
  <si>
    <t xml:space="preserve">X2</t>
  </si>
  <si>
    <t xml:space="preserve">12</t>
  </si>
  <si>
    <t xml:space="preserve">1 HT</t>
  </si>
  <si>
    <t xml:space="preserve">X HT</t>
  </si>
  <si>
    <t xml:space="preserve">2 HT</t>
  </si>
  <si>
    <t xml:space="preserve">Mais de 0.5 HT</t>
  </si>
  <si>
    <t xml:space="preserve">Mais de 1.5</t>
  </si>
  <si>
    <t xml:space="preserve">O2.5</t>
  </si>
  <si>
    <t xml:space="preserve">U2.5</t>
  </si>
  <si>
    <t xml:space="preserve">U3.5</t>
  </si>
  <si>
    <t xml:space="preserve">BTTS-Y</t>
  </si>
  <si>
    <t xml:space="preserve">A/M Não</t>
  </si>
  <si>
    <t xml:space="preserve">U1.5</t>
  </si>
  <si>
    <t xml:space="preserve">O3.5</t>
  </si>
  <si>
    <t xml:space="preserve">Polymarket</t>
  </si>
  <si>
    <t xml:space="preserve">Results</t>
  </si>
  <si>
    <t xml:space="preserve">Yes</t>
  </si>
  <si>
    <t xml:space="preserve">No</t>
  </si>
  <si>
    <t xml:space="preserve">Pinnacle</t>
  </si>
  <si>
    <t xml:space="preserve">Odd</t>
  </si>
  <si>
    <t xml:space="preserve">Estados Unidos 2. USL</t>
  </si>
  <si>
    <t xml:space="preserve">26/08/2026</t>
  </si>
  <si>
    <t xml:space="preserve">New Mexico United</t>
  </si>
  <si>
    <t xml:space="preserve">Lexington SC</t>
  </si>
  <si>
    <t xml:space="preserve">U2.5,BTTS-N</t>
  </si>
  <si>
    <t xml:space="preserve">Coreia do Sul 2. K-League 2</t>
  </si>
  <si>
    <t xml:space="preserve">28/08/2026</t>
  </si>
  <si>
    <t xml:space="preserve">Ansan Greeners FC</t>
  </si>
  <si>
    <t xml:space="preserve">Daegu FC</t>
  </si>
  <si>
    <t xml:space="preserve">Jeonnam Dragons</t>
  </si>
  <si>
    <t xml:space="preserve">Cheonan City</t>
  </si>
  <si>
    <t xml:space="preserve">China 1. Superliga</t>
  </si>
  <si>
    <t xml:space="preserve">Dalian Young Boy</t>
  </si>
  <si>
    <t xml:space="preserve">Beijing Sinobo Guoan</t>
  </si>
  <si>
    <t xml:space="preserve">Shanghai Shenhua</t>
  </si>
  <si>
    <t xml:space="preserve">Shandong Taishan</t>
  </si>
  <si>
    <t xml:space="preserve">Nada</t>
  </si>
  <si>
    <t xml:space="preserve">Shenzhen Xinpengcheng</t>
  </si>
  <si>
    <t xml:space="preserve">Shanghai Port</t>
  </si>
  <si>
    <t xml:space="preserve">Lituânia 2. I Lyga</t>
  </si>
  <si>
    <t xml:space="preserve">FK Tauras</t>
  </si>
  <si>
    <t xml:space="preserve">FK Vilnius</t>
  </si>
  <si>
    <t xml:space="preserve">No market</t>
  </si>
  <si>
    <t xml:space="preserve">Rússia 2. Division 1 (FNL)</t>
  </si>
  <si>
    <t xml:space="preserve">PFC Sochi</t>
  </si>
  <si>
    <t xml:space="preserve">FK Chelyabinsk</t>
  </si>
  <si>
    <t xml:space="preserve">SKA Energia Khabarovsk</t>
  </si>
  <si>
    <t xml:space="preserve">Torpedo Moscow</t>
  </si>
  <si>
    <t xml:space="preserve">Yenisey Krasnoyarsk</t>
  </si>
  <si>
    <t xml:space="preserve">Shinnik Yaroslavl</t>
  </si>
  <si>
    <t xml:space="preserve">Bielorrússia 1. Premier League (Vysshaya Liga)</t>
  </si>
  <si>
    <t xml:space="preserve">FC Vitebsk</t>
  </si>
  <si>
    <t xml:space="preserve">Naftan Novopolotsk</t>
  </si>
  <si>
    <t xml:space="preserve">DFK Dainava</t>
  </si>
  <si>
    <t xml:space="preserve">FK Zalgiris Vilnius II</t>
  </si>
  <si>
    <t xml:space="preserve">Romênia 1. Liga 1</t>
  </si>
  <si>
    <t xml:space="preserve">Voluntari</t>
  </si>
  <si>
    <t xml:space="preserve">Otelul Galati</t>
  </si>
  <si>
    <t xml:space="preserve">Rússia 1. Premier League</t>
  </si>
  <si>
    <t xml:space="preserve">Akron Tolyatti</t>
  </si>
  <si>
    <t xml:space="preserve">CSKA Moscow</t>
  </si>
  <si>
    <t xml:space="preserve">Finlândia 2. Ykkonen</t>
  </si>
  <si>
    <t xml:space="preserve">JaPS</t>
  </si>
  <si>
    <t xml:space="preserve">KaPa</t>
  </si>
  <si>
    <t xml:space="preserve">KTP</t>
  </si>
  <si>
    <t xml:space="preserve">FC Haka</t>
  </si>
  <si>
    <t xml:space="preserve">Bulgária 1. Parva Liga</t>
  </si>
  <si>
    <t xml:space="preserve">Slavia Sofia</t>
  </si>
  <si>
    <t xml:space="preserve">Septemvri Sofia</t>
  </si>
  <si>
    <t xml:space="preserve">Eslováquia 2. Liga</t>
  </si>
  <si>
    <t xml:space="preserve">FK Pohronie</t>
  </si>
  <si>
    <t xml:space="preserve">FC Tatran Presov</t>
  </si>
  <si>
    <t xml:space="preserve">FK Siauliai II</t>
  </si>
  <si>
    <t xml:space="preserve">FK Minija</t>
  </si>
  <si>
    <t xml:space="preserve">Polônia 2. Divisão 1</t>
  </si>
  <si>
    <t xml:space="preserve">Unia Skierniewice</t>
  </si>
  <si>
    <t xml:space="preserve">Stal Rzeszow</t>
  </si>
  <si>
    <t xml:space="preserve">Pogon Grodzisk Mazowiecki</t>
  </si>
  <si>
    <t xml:space="preserve">Termalica Nieciecza</t>
  </si>
  <si>
    <t xml:space="preserve">Neftekhimik Nizhnekamsk</t>
  </si>
  <si>
    <t xml:space="preserve">FC Ufa</t>
  </si>
  <si>
    <t xml:space="preserve">Alemanha 4. Liga Regional da Baviera</t>
  </si>
  <si>
    <t xml:space="preserve">Schweinfurt 05</t>
  </si>
  <si>
    <t xml:space="preserve">Greuther Furth II</t>
  </si>
  <si>
    <t xml:space="preserve">Alemanha 4. Liga Regional Nordeste</t>
  </si>
  <si>
    <t xml:space="preserve">Chemnitzer</t>
  </si>
  <si>
    <t xml:space="preserve">Carl Zeiss Jena</t>
  </si>
  <si>
    <t xml:space="preserve">VSG Altglienicke</t>
  </si>
  <si>
    <t xml:space="preserve">BSG Chemie Leipzig</t>
  </si>
  <si>
    <t xml:space="preserve">FK Gomel</t>
  </si>
  <si>
    <t xml:space="preserve">Belshina Bobruisk</t>
  </si>
  <si>
    <t xml:space="preserve">Dinamarca 1. Superligaen</t>
  </si>
  <si>
    <t xml:space="preserve">AC Horsens</t>
  </si>
  <si>
    <t xml:space="preserve">Viborg</t>
  </si>
  <si>
    <t xml:space="preserve">Suécia 3. Divisão 1 Sul</t>
  </si>
  <si>
    <t xml:space="preserve">Lunds BK</t>
  </si>
  <si>
    <t xml:space="preserve">BK Olympic</t>
  </si>
  <si>
    <t xml:space="preserve">Ilhas Faroé 1. Premier League</t>
  </si>
  <si>
    <t xml:space="preserve">Vikingur Gota</t>
  </si>
  <si>
    <t xml:space="preserve">HB Torshavn</t>
  </si>
  <si>
    <t xml:space="preserve">Hungria 1. NB I</t>
  </si>
  <si>
    <t xml:space="preserve">Debreceni VSC</t>
  </si>
  <si>
    <t xml:space="preserve">MTK Budapest</t>
  </si>
  <si>
    <t xml:space="preserve">Islândia 3. Deild Karla (Divisão 2)</t>
  </si>
  <si>
    <t xml:space="preserve">Fjolnir</t>
  </si>
  <si>
    <t xml:space="preserve">Hviti Riddarinn</t>
  </si>
  <si>
    <t xml:space="preserve">Universitatea Cluj</t>
  </si>
  <si>
    <t xml:space="preserve">Petrolul Ploiesti</t>
  </si>
  <si>
    <t xml:space="preserve">CSKA 1948 Sofia</t>
  </si>
  <si>
    <t xml:space="preserve">Lokomotiv Plovdiv</t>
  </si>
  <si>
    <t xml:space="preserve">Eslovênia 1. Liga Prva</t>
  </si>
  <si>
    <t xml:space="preserve">NK Aluminij</t>
  </si>
  <si>
    <t xml:space="preserve">FC Koper</t>
  </si>
  <si>
    <t xml:space="preserve">Polônia 1. Ekstraklasa</t>
  </si>
  <si>
    <t xml:space="preserve">Legia Warszawa</t>
  </si>
  <si>
    <t xml:space="preserve">Slask Wroclaw</t>
  </si>
  <si>
    <t xml:space="preserve">Irlanda 1. Divisão Premier</t>
  </si>
  <si>
    <t xml:space="preserve">Bohemians</t>
  </si>
  <si>
    <t xml:space="preserve">Sligo</t>
  </si>
  <si>
    <t xml:space="preserve">Galway United</t>
  </si>
  <si>
    <t xml:space="preserve">Shelbourne</t>
  </si>
  <si>
    <t xml:space="preserve">O2.5,BTTS-Y</t>
  </si>
  <si>
    <t xml:space="preserve">St Patricks</t>
  </si>
  <si>
    <t xml:space="preserve">Waterford</t>
  </si>
  <si>
    <t xml:space="preserve">Irlanda 2. First Division</t>
  </si>
  <si>
    <t xml:space="preserve">Athlone Town</t>
  </si>
  <si>
    <t xml:space="preserve">Bray</t>
  </si>
  <si>
    <t xml:space="preserve">Cobh Ramblers</t>
  </si>
  <si>
    <t xml:space="preserve">Longford Town</t>
  </si>
  <si>
    <t xml:space="preserve">Cork</t>
  </si>
  <si>
    <t xml:space="preserve">Wexford FC</t>
  </si>
  <si>
    <t xml:space="preserve">Kerry FC</t>
  </si>
  <si>
    <t xml:space="preserve">Treaty United FC</t>
  </si>
  <si>
    <t xml:space="preserve">UCD</t>
  </si>
  <si>
    <t xml:space="preserve">Finn Harps</t>
  </si>
  <si>
    <t xml:space="preserve">Odra Opole</t>
  </si>
  <si>
    <t xml:space="preserve">Lks Lodz</t>
  </si>
  <si>
    <t xml:space="preserve">Drogheda United</t>
  </si>
  <si>
    <t xml:space="preserve">Dundalk</t>
  </si>
  <si>
    <t xml:space="preserve">Paraguai 1. Primeira Divisão</t>
  </si>
  <si>
    <t xml:space="preserve">Sportivo Luqueño</t>
  </si>
  <si>
    <t xml:space="preserve">Rubio Nu</t>
  </si>
  <si>
    <t xml:space="preserve">Islândia 2. Deild Karla (Lengjudeildin)</t>
  </si>
  <si>
    <t xml:space="preserve">Fylkir Reykjavik</t>
  </si>
  <si>
    <t xml:space="preserve">Grotta Seltjarnarnes</t>
  </si>
  <si>
    <t xml:space="preserve">Throttur Reykjavik</t>
  </si>
  <si>
    <t xml:space="preserve">KF Aegir</t>
  </si>
  <si>
    <t xml:space="preserve">Kari</t>
  </si>
  <si>
    <t xml:space="preserve">Throttur Vogum</t>
  </si>
  <si>
    <t xml:space="preserve">Peru 1. Primeira Divisão</t>
  </si>
  <si>
    <t xml:space="preserve">Comerciantes Unidos</t>
  </si>
  <si>
    <t xml:space="preserve">FC Cajamarca</t>
  </si>
  <si>
    <t xml:space="preserve">Colômbia 2. Primera B (Torneio Águila)</t>
  </si>
  <si>
    <t xml:space="preserve">Independiente Yumbo</t>
  </si>
  <si>
    <t xml:space="preserve">Itagui Leones</t>
  </si>
  <si>
    <t xml:space="preserve">Equador 1. Série A (Liga Pro)</t>
  </si>
  <si>
    <t xml:space="preserve">Mushuc Runa</t>
  </si>
  <si>
    <t xml:space="preserve">Delfin</t>
  </si>
  <si>
    <t xml:space="preserve">Sportivo San Lorenzo</t>
  </si>
  <si>
    <t xml:space="preserve">Nacional</t>
  </si>
  <si>
    <t xml:space="preserve">Argentina 1. Superliga/Liga Profissional</t>
  </si>
  <si>
    <t xml:space="preserve">Unión de Santa Fe</t>
  </si>
  <si>
    <t xml:space="preserve">Sarmiento de Junín</t>
  </si>
  <si>
    <t xml:space="preserve">El Salvador Primera Division</t>
  </si>
  <si>
    <t xml:space="preserve">Municipal Limeño</t>
  </si>
  <si>
    <t xml:space="preserve">Metapan</t>
  </si>
  <si>
    <t xml:space="preserve">Uruguai 1. Primeira Divisão</t>
  </si>
  <si>
    <t xml:space="preserve">Wanderers</t>
  </si>
  <si>
    <t xml:space="preserve">Central Espanol</t>
  </si>
  <si>
    <t xml:space="preserve">Brasil Série B</t>
  </si>
  <si>
    <t xml:space="preserve">Goiás</t>
  </si>
  <si>
    <t xml:space="preserve">Sao Bernardo SP</t>
  </si>
  <si>
    <t xml:space="preserve">Chile 1. Primeira Divisão</t>
  </si>
  <si>
    <t xml:space="preserve">Cobresal</t>
  </si>
  <si>
    <t xml:space="preserve">Palestino</t>
  </si>
  <si>
    <t xml:space="preserve">Canada 1. Premier League</t>
  </si>
  <si>
    <t xml:space="preserve">Atletico Ottawa</t>
  </si>
  <si>
    <t xml:space="preserve">Inter Toronto</t>
  </si>
  <si>
    <t xml:space="preserve">Supra du Quebec</t>
  </si>
  <si>
    <t xml:space="preserve">Forge FC</t>
  </si>
  <si>
    <t xml:space="preserve">Estados Unidos 3. MLS Next Pro</t>
  </si>
  <si>
    <t xml:space="preserve">Inter Miami CF II</t>
  </si>
  <si>
    <t xml:space="preserve">Atlanta United 2</t>
  </si>
  <si>
    <t xml:space="preserve">Toronto FC II</t>
  </si>
  <si>
    <t xml:space="preserve">New York City FC II</t>
  </si>
  <si>
    <t xml:space="preserve">Nautico</t>
  </si>
  <si>
    <t xml:space="preserve">Athletic Club</t>
  </si>
  <si>
    <t xml:space="preserve">Novorizontino</t>
  </si>
  <si>
    <t xml:space="preserve">Sport Recife</t>
  </si>
  <si>
    <t xml:space="preserve">Tecnico Universitario</t>
  </si>
  <si>
    <t xml:space="preserve">Club Deportivo Cuenca</t>
  </si>
  <si>
    <t xml:space="preserve">Colorado Rapids II</t>
  </si>
  <si>
    <t xml:space="preserve">LA Galaxy II</t>
  </si>
  <si>
    <t xml:space="preserve">St Louis City II</t>
  </si>
  <si>
    <t xml:space="preserve">North Texas SC</t>
  </si>
  <si>
    <t xml:space="preserve">Boca Juniors</t>
  </si>
  <si>
    <t xml:space="preserve">Lanús</t>
  </si>
  <si>
    <t xml:space="preserve">Argentina 2. Primeira Nacional (2ª Divisão)</t>
  </si>
  <si>
    <t xml:space="preserve">Gimnasia y Tiro</t>
  </si>
  <si>
    <t xml:space="preserve">Chacarita Juniors</t>
  </si>
  <si>
    <t xml:space="preserve">Unión Magdalena</t>
  </si>
  <si>
    <t xml:space="preserve">Deportes Quindío</t>
  </si>
  <si>
    <t xml:space="preserve">México 1. Liga MX</t>
  </si>
  <si>
    <t xml:space="preserve">Atlante</t>
  </si>
  <si>
    <t xml:space="preserve">León</t>
  </si>
  <si>
    <t xml:space="preserve">Necaxa</t>
  </si>
  <si>
    <t xml:space="preserve">Cruz Azul</t>
  </si>
  <si>
    <t xml:space="preserve">México 2. Liga de Expansão MX</t>
  </si>
  <si>
    <t xml:space="preserve">Correcaminos</t>
  </si>
  <si>
    <t xml:space="preserve">Alacranes de Durango</t>
  </si>
  <si>
    <t xml:space="preserve">Panamá 1. LPF</t>
  </si>
  <si>
    <t xml:space="preserve">Tauro FC</t>
  </si>
  <si>
    <t xml:space="preserve">CA Independiente de la Chorrera</t>
  </si>
  <si>
    <t xml:space="preserve">Costa Rica Primeira Divisão</t>
  </si>
  <si>
    <t xml:space="preserve">Sporting San Jose</t>
  </si>
  <si>
    <t xml:space="preserve">Inter San Carlos</t>
  </si>
  <si>
    <t xml:space="preserve">Guatemala 1. Liga Nacional</t>
  </si>
  <si>
    <t xml:space="preserve">Suchitepequez</t>
  </si>
  <si>
    <t xml:space="preserve">Coban Imperial</t>
  </si>
  <si>
    <t xml:space="preserve">29/08/2026</t>
  </si>
  <si>
    <t xml:space="preserve">Tijuana</t>
  </si>
  <si>
    <t xml:space="preserve">Pumas UNAM</t>
  </si>
  <si>
    <t xml:space="preserve">Austrália NPL - Tasmania Premier League</t>
  </si>
  <si>
    <t xml:space="preserve">South Hobart</t>
  </si>
  <si>
    <t xml:space="preserve">Kingborough Lions</t>
  </si>
  <si>
    <t xml:space="preserve">Austrália NPL - Victoria Premier League</t>
  </si>
  <si>
    <t xml:space="preserve">Avondale</t>
  </si>
  <si>
    <t xml:space="preserve">Hume City</t>
  </si>
  <si>
    <t xml:space="preserve">Caroline Springs George Cross FC</t>
  </si>
  <si>
    <t xml:space="preserve">South Melbourne</t>
  </si>
  <si>
    <t xml:space="preserve">Heidelberg Utd</t>
  </si>
  <si>
    <t xml:space="preserve">Bentleigh Greens</t>
  </si>
  <si>
    <t xml:space="preserve">Melbourne City FC 2</t>
  </si>
  <si>
    <t xml:space="preserve">Green Gully</t>
  </si>
  <si>
    <t xml:space="preserve">Oakleigh Cannons</t>
  </si>
  <si>
    <t xml:space="preserve">Dandenong City</t>
  </si>
  <si>
    <t xml:space="preserve">Preston Lions</t>
  </si>
  <si>
    <t xml:space="preserve">Altona Magic</t>
  </si>
  <si>
    <t xml:space="preserve">St Albans Saints</t>
  </si>
  <si>
    <t xml:space="preserve">Dandenong Thunder</t>
  </si>
  <si>
    <t xml:space="preserve">Austrália NPL - South Australia</t>
  </si>
  <si>
    <t xml:space="preserve">Playford</t>
  </si>
  <si>
    <t xml:space="preserve">Adelaide City</t>
  </si>
  <si>
    <t xml:space="preserve">Austrália NPL - ACT Capital Territory Premier League</t>
  </si>
  <si>
    <t xml:space="preserve">Tigers FC</t>
  </si>
  <si>
    <t xml:space="preserve">Canberra Juventus</t>
  </si>
  <si>
    <t xml:space="preserve">Austrália NPL - Northern NSW Premier League</t>
  </si>
  <si>
    <t xml:space="preserve">Broadmeadow Magic</t>
  </si>
  <si>
    <t xml:space="preserve">Weston Workers FC</t>
  </si>
  <si>
    <t xml:space="preserve">Austrália NPL - Queensland</t>
  </si>
  <si>
    <t xml:space="preserve">Moreton City Excelsior</t>
  </si>
  <si>
    <t xml:space="preserve">Gold Coast Knights</t>
  </si>
  <si>
    <t xml:space="preserve">Tuggeranong Utd</t>
  </si>
  <si>
    <t xml:space="preserve">Queanbeyan City</t>
  </si>
  <si>
    <t xml:space="preserve">Qingdao Hainiu</t>
  </si>
  <si>
    <t xml:space="preserve">Wuhan Three Towns</t>
  </si>
  <si>
    <t xml:space="preserve">Metrostars</t>
  </si>
  <si>
    <t xml:space="preserve">West Torrens Birkalla</t>
  </si>
  <si>
    <t xml:space="preserve">Estônia 2. Esiliiga</t>
  </si>
  <si>
    <t xml:space="preserve">FC Flora Tallinn II</t>
  </si>
  <si>
    <t xml:space="preserve">JK Tallinna Kalev</t>
  </si>
  <si>
    <t xml:space="preserve">FC Tallinn</t>
  </si>
  <si>
    <t xml:space="preserve">JK Nomme Kalju II</t>
  </si>
  <si>
    <t xml:space="preserve">Maardu Linnameeskond</t>
  </si>
  <si>
    <t xml:space="preserve">FC Levadia Tallinn U21</t>
  </si>
  <si>
    <t xml:space="preserve">Letônia 2. 1 Liga</t>
  </si>
  <si>
    <t xml:space="preserve">Saldus SS/Leevon</t>
  </si>
  <si>
    <t xml:space="preserve">SK Super Nova II</t>
  </si>
  <si>
    <t xml:space="preserve">Garliava Kaunas</t>
  </si>
  <si>
    <t xml:space="preserve">FK Babrungas</t>
  </si>
  <si>
    <t xml:space="preserve">Radomiak Radom</t>
  </si>
  <si>
    <t xml:space="preserve">Cracovia Krakow</t>
  </si>
  <si>
    <t xml:space="preserve">Coreia do Sul 1. K-League 1</t>
  </si>
  <si>
    <t xml:space="preserve">Bucheon</t>
  </si>
  <si>
    <t xml:space="preserve">FC Anyang</t>
  </si>
  <si>
    <t xml:space="preserve">Ulsan HD</t>
  </si>
  <si>
    <t xml:space="preserve">Gimcheon Sangmu FC</t>
  </si>
  <si>
    <t xml:space="preserve">Gimpo FC</t>
  </si>
  <si>
    <t xml:space="preserve">Suwon Bluewings</t>
  </si>
  <si>
    <t xml:space="preserve">Gyeongnam FC</t>
  </si>
  <si>
    <t xml:space="preserve">Paju Frontier FC</t>
  </si>
  <si>
    <t xml:space="preserve">Hwaseong FC</t>
  </si>
  <si>
    <t xml:space="preserve">Chungbuk Cheongju</t>
  </si>
  <si>
    <t xml:space="preserve">Seongnam FC</t>
  </si>
  <si>
    <t xml:space="preserve">Seoul E-Land FC</t>
  </si>
  <si>
    <t xml:space="preserve">Cazaquistão 1. Premier League</t>
  </si>
  <si>
    <t xml:space="preserve">FC Elimai Semey</t>
  </si>
  <si>
    <t xml:space="preserve">Kairat Almaty</t>
  </si>
  <si>
    <t xml:space="preserve">FK Ulytau</t>
  </si>
  <si>
    <t xml:space="preserve">Zhetysu</t>
  </si>
  <si>
    <t xml:space="preserve">Tianjin Jinmen Tigers</t>
  </si>
  <si>
    <t xml:space="preserve">Qingdao West Coast</t>
  </si>
  <si>
    <t xml:space="preserve">Zhejiang</t>
  </si>
  <si>
    <t xml:space="preserve">Yunnan Yukun</t>
  </si>
  <si>
    <t xml:space="preserve">China 2. Division 1 - League One</t>
  </si>
  <si>
    <t xml:space="preserve">Shaanxi Union</t>
  </si>
  <si>
    <t xml:space="preserve">Yanbian Longding</t>
  </si>
  <si>
    <t xml:space="preserve">Dinamarca 2. 1ª Division</t>
  </si>
  <si>
    <t xml:space="preserve">Kolding IF</t>
  </si>
  <si>
    <t xml:space="preserve">AB Copenhagen</t>
  </si>
  <si>
    <t xml:space="preserve">Suécia 2. Superettan</t>
  </si>
  <si>
    <t xml:space="preserve">Landskrona BoIS</t>
  </si>
  <si>
    <t xml:space="preserve">Östersunds FK</t>
  </si>
  <si>
    <t xml:space="preserve">Ljungskile</t>
  </si>
  <si>
    <t xml:space="preserve">IFK Varnamo</t>
  </si>
  <si>
    <t xml:space="preserve">BTTS-N</t>
  </si>
  <si>
    <t xml:space="preserve">Suécia 3. Divisão 1 Norte</t>
  </si>
  <si>
    <t xml:space="preserve">AFC Eskilstuna</t>
  </si>
  <si>
    <t xml:space="preserve">Sollentuna United FF</t>
  </si>
  <si>
    <t xml:space="preserve">Angelholm</t>
  </si>
  <si>
    <t xml:space="preserve">Jonkopings Sodra</t>
  </si>
  <si>
    <t xml:space="preserve">Eskilsminne IF</t>
  </si>
  <si>
    <t xml:space="preserve">Hässleholms IF</t>
  </si>
  <si>
    <t xml:space="preserve">Foshan Nanshi</t>
  </si>
  <si>
    <t xml:space="preserve">Shenzhen Juniors</t>
  </si>
  <si>
    <t xml:space="preserve">Nanjing City</t>
  </si>
  <si>
    <t xml:space="preserve">Guangxi Hengchen</t>
  </si>
  <si>
    <t xml:space="preserve">Shijiazhuang Gongfu FC</t>
  </si>
  <si>
    <t xml:space="preserve">Wuxi Wugo</t>
  </si>
  <si>
    <t xml:space="preserve">Estônia 1. Meistriliiga</t>
  </si>
  <si>
    <t xml:space="preserve">Nomme United</t>
  </si>
  <si>
    <t xml:space="preserve">Harju JK Laagri</t>
  </si>
  <si>
    <t xml:space="preserve">Chengdu Rongcheng</t>
  </si>
  <si>
    <t xml:space="preserve">Liaoning Ironman</t>
  </si>
  <si>
    <t xml:space="preserve">Augsburg II</t>
  </si>
  <si>
    <t xml:space="preserve">SC Eltersdorf</t>
  </si>
  <si>
    <t xml:space="preserve">Buchbach</t>
  </si>
  <si>
    <t xml:space="preserve">SpVgg Bayreuth</t>
  </si>
  <si>
    <t xml:space="preserve">Wacker Burghausen</t>
  </si>
  <si>
    <t xml:space="preserve">DJK Vilzing</t>
  </si>
  <si>
    <t xml:space="preserve">Hertha Berlin II</t>
  </si>
  <si>
    <t xml:space="preserve">Hallescher</t>
  </si>
  <si>
    <t xml:space="preserve">Rot-Weiss Erfurt</t>
  </si>
  <si>
    <t xml:space="preserve">BFC Preussen</t>
  </si>
  <si>
    <t xml:space="preserve">Alemanha 4. Liga Regional Norte</t>
  </si>
  <si>
    <t xml:space="preserve">SC Weiche Flensburg 08</t>
  </si>
  <si>
    <t xml:space="preserve">SV Atlas Delmenhorst</t>
  </si>
  <si>
    <t xml:space="preserve">Henan</t>
  </si>
  <si>
    <t xml:space="preserve">Chongqing Tonglianglong</t>
  </si>
  <si>
    <t xml:space="preserve">Dingnan Jiangxi United</t>
  </si>
  <si>
    <t xml:space="preserve">Suzhou Dongwu</t>
  </si>
  <si>
    <t xml:space="preserve">AaB</t>
  </si>
  <si>
    <t xml:space="preserve">HB Køge</t>
  </si>
  <si>
    <t xml:space="preserve">Letônia 1. Virsliga</t>
  </si>
  <si>
    <t xml:space="preserve">SC Grobinas</t>
  </si>
  <si>
    <t xml:space="preserve">BFC Daugavpils</t>
  </si>
  <si>
    <t xml:space="preserve">FK Transinvest II</t>
  </si>
  <si>
    <t xml:space="preserve">Lietava Jonava</t>
  </si>
  <si>
    <t xml:space="preserve">Noruega 2. OBOS-ligaen (2ª Divisão)</t>
  </si>
  <si>
    <t xml:space="preserve">Bryne</t>
  </si>
  <si>
    <t xml:space="preserve">Haugesund</t>
  </si>
  <si>
    <t xml:space="preserve">Fakel Voronezh</t>
  </si>
  <si>
    <t xml:space="preserve">Zenit St Petersburg</t>
  </si>
  <si>
    <t xml:space="preserve">Nyiregyhaza Spartacus</t>
  </si>
  <si>
    <t xml:space="preserve">Paksi</t>
  </si>
  <si>
    <t xml:space="preserve">Motor Lublin</t>
  </si>
  <si>
    <t xml:space="preserve">Piast Gliwice</t>
  </si>
  <si>
    <t xml:space="preserve">Dinamo Minsk</t>
  </si>
  <si>
    <t xml:space="preserve">FC Baranovichi</t>
  </si>
  <si>
    <t xml:space="preserve">FK Zhenys</t>
  </si>
  <si>
    <t xml:space="preserve">FC Altai Semey</t>
  </si>
  <si>
    <t xml:space="preserve">MP</t>
  </si>
  <si>
    <t xml:space="preserve">PK-35</t>
  </si>
  <si>
    <t xml:space="preserve">Geórgia 1. Erovnuli Liga</t>
  </si>
  <si>
    <t xml:space="preserve">Dinamo Tbilisi</t>
  </si>
  <si>
    <t xml:space="preserve">Dila Gori</t>
  </si>
  <si>
    <t xml:space="preserve">FC Gagra</t>
  </si>
  <si>
    <t xml:space="preserve">FC Iberia 1999</t>
  </si>
  <si>
    <t xml:space="preserve">Torpedo Kutaisi</t>
  </si>
  <si>
    <t xml:space="preserve">Meshakhte Tkibuli</t>
  </si>
  <si>
    <t xml:space="preserve">FK Csikszereda Miercurea Ciuc</t>
  </si>
  <si>
    <t xml:space="preserve">CFR Cluj-Napoca</t>
  </si>
  <si>
    <t xml:space="preserve">FK Leningradets</t>
  </si>
  <si>
    <t xml:space="preserve">Kamaz Nab Chelny</t>
  </si>
  <si>
    <t xml:space="preserve">Suécia 1. Allsvenskan</t>
  </si>
  <si>
    <t xml:space="preserve">BK Hacken</t>
  </si>
  <si>
    <t xml:space="preserve">Vasteras SK</t>
  </si>
  <si>
    <t xml:space="preserve">Elfsborg</t>
  </si>
  <si>
    <t xml:space="preserve">Degerfors</t>
  </si>
  <si>
    <t xml:space="preserve">Falkenbergs FF</t>
  </si>
  <si>
    <t xml:space="preserve">IK Brage</t>
  </si>
  <si>
    <t xml:space="preserve">MKP Pogon Siedlce</t>
  </si>
  <si>
    <t xml:space="preserve">Stal Mielec</t>
  </si>
  <si>
    <t xml:space="preserve">Polonia Warsaw</t>
  </si>
  <si>
    <t xml:space="preserve">Lechia Gdansk</t>
  </si>
  <si>
    <t xml:space="preserve">Puszcza Niepolomice</t>
  </si>
  <si>
    <t xml:space="preserve">Podbeskidzie</t>
  </si>
  <si>
    <t xml:space="preserve">Zwickau</t>
  </si>
  <si>
    <t xml:space="preserve">Babelsberg 03</t>
  </si>
  <si>
    <t xml:space="preserve">Vfb Lubeck</t>
  </si>
  <si>
    <t xml:space="preserve">SV Drochtersen-Assel</t>
  </si>
  <si>
    <t xml:space="preserve">FC Kuressaare</t>
  </si>
  <si>
    <t xml:space="preserve">Parnu JK Vaprus</t>
  </si>
  <si>
    <t xml:space="preserve">Ekenas IF</t>
  </si>
  <si>
    <t xml:space="preserve">Jippo</t>
  </si>
  <si>
    <t xml:space="preserve">Afturelding</t>
  </si>
  <si>
    <t xml:space="preserve">IF Vestri</t>
  </si>
  <si>
    <t xml:space="preserve">Grindavik</t>
  </si>
  <si>
    <t xml:space="preserve">HK Kopavogur</t>
  </si>
  <si>
    <t xml:space="preserve">Leiknir Reykjavik</t>
  </si>
  <si>
    <t xml:space="preserve">Njardvik</t>
  </si>
  <si>
    <t xml:space="preserve">Kormakur/Hvot</t>
  </si>
  <si>
    <t xml:space="preserve">Fjardabyggd</t>
  </si>
  <si>
    <t xml:space="preserve">UMF Selfoss</t>
  </si>
  <si>
    <t xml:space="preserve">Magni Grenivik</t>
  </si>
  <si>
    <t xml:space="preserve">Vikingur Olafsvik</t>
  </si>
  <si>
    <t xml:space="preserve">Haukar</t>
  </si>
  <si>
    <t xml:space="preserve">Tukums 2000</t>
  </si>
  <si>
    <t xml:space="preserve">FK Jelgava</t>
  </si>
  <si>
    <t xml:space="preserve">FK Beitar Riga/Mariners</t>
  </si>
  <si>
    <t xml:space="preserve">RFS II</t>
  </si>
  <si>
    <t xml:space="preserve">JFK Ventspils</t>
  </si>
  <si>
    <t xml:space="preserve">Riga FC II</t>
  </si>
  <si>
    <t xml:space="preserve">FK Ekranas</t>
  </si>
  <si>
    <t xml:space="preserve">FK BE1</t>
  </si>
  <si>
    <t xml:space="preserve">FK Neptunas Klaipeda</t>
  </si>
  <si>
    <t xml:space="preserve">FK Atmosfera</t>
  </si>
  <si>
    <t xml:space="preserve">Moldávia 1. Divizia Nationala</t>
  </si>
  <si>
    <t xml:space="preserve">FC Politehnica Chisinau</t>
  </si>
  <si>
    <t xml:space="preserve">FC Real Sireti</t>
  </si>
  <si>
    <t xml:space="preserve">Noruega 1. Eliteserien Série de Elite</t>
  </si>
  <si>
    <t xml:space="preserve">Valerenga</t>
  </si>
  <si>
    <t xml:space="preserve">Molde</t>
  </si>
  <si>
    <t xml:space="preserve">FC Arsenal Tula</t>
  </si>
  <si>
    <t xml:space="preserve">Ural Sverdlovsk Oblast</t>
  </si>
  <si>
    <t xml:space="preserve">Tekstilshik Ivanovo</t>
  </si>
  <si>
    <t xml:space="preserve">Veles</t>
  </si>
  <si>
    <t xml:space="preserve">FC Järfälla</t>
  </si>
  <si>
    <t xml:space="preserve">Assyriska Föreningen</t>
  </si>
  <si>
    <t xml:space="preserve">Gefle IF</t>
  </si>
  <si>
    <t xml:space="preserve">IF Karlstad Fotboll</t>
  </si>
  <si>
    <t xml:space="preserve">IFK Stocksund</t>
  </si>
  <si>
    <t xml:space="preserve">FC Arlanda</t>
  </si>
  <si>
    <t xml:space="preserve">FC Rosengård 1917</t>
  </si>
  <si>
    <t xml:space="preserve">FC Trollhattan</t>
  </si>
  <si>
    <t xml:space="preserve">Kristianstad FC</t>
  </si>
  <si>
    <t xml:space="preserve">Atvidabergs FF</t>
  </si>
  <si>
    <t xml:space="preserve">Tvååkers IF</t>
  </si>
  <si>
    <t xml:space="preserve">Skövde AIK</t>
  </si>
  <si>
    <t xml:space="preserve">Racing (U)</t>
  </si>
  <si>
    <t xml:space="preserve">Albion FC</t>
  </si>
  <si>
    <t xml:space="preserve">Inter Bratislava</t>
  </si>
  <si>
    <t xml:space="preserve">MFK Zvolen</t>
  </si>
  <si>
    <t xml:space="preserve">OFK Banik Lehota</t>
  </si>
  <si>
    <t xml:space="preserve">FK Humenne</t>
  </si>
  <si>
    <t xml:space="preserve">STK Samorin</t>
  </si>
  <si>
    <t xml:space="preserve">MSK Zilina B</t>
  </si>
  <si>
    <t xml:space="preserve">Krasnodar</t>
  </si>
  <si>
    <t xml:space="preserve">Rostov</t>
  </si>
  <si>
    <t xml:space="preserve">Arda Kardzhali</t>
  </si>
  <si>
    <t xml:space="preserve">Botev Vratsa</t>
  </si>
  <si>
    <t xml:space="preserve">Dunav Ruse</t>
  </si>
  <si>
    <t xml:space="preserve">Lok Sofia</t>
  </si>
  <si>
    <t xml:space="preserve">Kaisar Kyzylorda</t>
  </si>
  <si>
    <t xml:space="preserve">Okzhetpes Kokshetau</t>
  </si>
  <si>
    <t xml:space="preserve">Ordabasy</t>
  </si>
  <si>
    <t xml:space="preserve">FK Kyzylzhar</t>
  </si>
  <si>
    <t xml:space="preserve">Ujpest</t>
  </si>
  <si>
    <t xml:space="preserve">Vasas SC</t>
  </si>
  <si>
    <t xml:space="preserve">FK Kauno Zalgiris II</t>
  </si>
  <si>
    <t xml:space="preserve">FC Hegelmann II</t>
  </si>
  <si>
    <t xml:space="preserve">República Tcheca 1. First League</t>
  </si>
  <si>
    <t xml:space="preserve">Pardubice</t>
  </si>
  <si>
    <t xml:space="preserve">SK Artis Brno</t>
  </si>
  <si>
    <t xml:space="preserve">Sérvia 2. Prva Liga</t>
  </si>
  <si>
    <t xml:space="preserve">FK Graficar Beograd</t>
  </si>
  <si>
    <t xml:space="preserve">FK Dubocica</t>
  </si>
  <si>
    <t xml:space="preserve">Metalac Gornji</t>
  </si>
  <si>
    <t xml:space="preserve">Loznica</t>
  </si>
  <si>
    <t xml:space="preserve">Teleoptik</t>
  </si>
  <si>
    <t xml:space="preserve">FK Vozdovac</t>
  </si>
  <si>
    <t xml:space="preserve">Nordic United FC</t>
  </si>
  <si>
    <t xml:space="preserve">IFK Norrkoping</t>
  </si>
  <si>
    <t xml:space="preserve">NK Radomlje</t>
  </si>
  <si>
    <t xml:space="preserve">Olimpija Ljubljana</t>
  </si>
  <si>
    <t xml:space="preserve">Hungria 2. NB II</t>
  </si>
  <si>
    <t xml:space="preserve">FC Nagykanizsa</t>
  </si>
  <si>
    <t xml:space="preserve">Tiszakecske FC</t>
  </si>
  <si>
    <t xml:space="preserve">Kecskemeti TE</t>
  </si>
  <si>
    <t xml:space="preserve">Kozarmisleny SE</t>
  </si>
  <si>
    <t xml:space="preserve">FC Arges Pitesti</t>
  </si>
  <si>
    <t xml:space="preserve">Sepsi Sfantu Gheorghe</t>
  </si>
  <si>
    <t xml:space="preserve">Halmstad</t>
  </si>
  <si>
    <t xml:space="preserve">Kalmar FF</t>
  </si>
  <si>
    <t xml:space="preserve">Kickers Emden</t>
  </si>
  <si>
    <t xml:space="preserve">Hannover II</t>
  </si>
  <si>
    <t xml:space="preserve">VfB Oldenburg</t>
  </si>
  <si>
    <t xml:space="preserve">Eimsbutteler TV</t>
  </si>
  <si>
    <t xml:space="preserve">Tartu JK Welco</t>
  </si>
  <si>
    <t xml:space="preserve">Viimsi JK</t>
  </si>
  <si>
    <t xml:space="preserve">Volsungur</t>
  </si>
  <si>
    <t xml:space="preserve">IR Reykjavik</t>
  </si>
  <si>
    <t xml:space="preserve">Dalvik/Reynir</t>
  </si>
  <si>
    <t xml:space="preserve">KFG Gardabaer</t>
  </si>
  <si>
    <t xml:space="preserve">FK Auda</t>
  </si>
  <si>
    <t xml:space="preserve">SK Super Nova</t>
  </si>
  <si>
    <t xml:space="preserve">FK Smiltene/BJSS</t>
  </si>
  <si>
    <t xml:space="preserve">Metta/LU</t>
  </si>
  <si>
    <t xml:space="preserve">Marupes SC</t>
  </si>
  <si>
    <t xml:space="preserve">JDFS Alberts</t>
  </si>
  <si>
    <t xml:space="preserve">Viking FK</t>
  </si>
  <si>
    <t xml:space="preserve">Aalesund</t>
  </si>
  <si>
    <t xml:space="preserve">Sérvia 1. Superliga</t>
  </si>
  <si>
    <t xml:space="preserve">Partizan Belgrade</t>
  </si>
  <si>
    <t xml:space="preserve">OFK Belgrade</t>
  </si>
  <si>
    <t xml:space="preserve">Neman Grodno</t>
  </si>
  <si>
    <t xml:space="preserve">Slavia Mozyr</t>
  </si>
  <si>
    <t xml:space="preserve">Chile 2. Primeira B</t>
  </si>
  <si>
    <t xml:space="preserve">Union San Felipe</t>
  </si>
  <si>
    <t xml:space="preserve">Club Deportes Santa Cruz</t>
  </si>
  <si>
    <t xml:space="preserve">FC Vion Zlate Moravce</t>
  </si>
  <si>
    <t xml:space="preserve">Slovan Galanta</t>
  </si>
  <si>
    <t xml:space="preserve">Islândia 1. Premier League (Besta-deild karla)</t>
  </si>
  <si>
    <t xml:space="preserve">IBV Vestmannaeyjar</t>
  </si>
  <si>
    <t xml:space="preserve">Thor Akureyri</t>
  </si>
  <si>
    <t xml:space="preserve">Zimbru Chisinau</t>
  </si>
  <si>
    <t xml:space="preserve">Sheriff Tiraspol</t>
  </si>
  <si>
    <t xml:space="preserve">Akhmat Grozny</t>
  </si>
  <si>
    <t xml:space="preserve">Krylia Sovetov</t>
  </si>
  <si>
    <t xml:space="preserve">Lokomotiv Moscow</t>
  </si>
  <si>
    <t xml:space="preserve">Dinamo Moscow</t>
  </si>
  <si>
    <t xml:space="preserve">-</t>
  </si>
  <si>
    <t xml:space="preserve">Boston River</t>
  </si>
  <si>
    <t xml:space="preserve">Cerro</t>
  </si>
  <si>
    <t xml:space="preserve">Juventud</t>
  </si>
  <si>
    <t xml:space="preserve">Deportivo Maldonado</t>
  </si>
  <si>
    <t xml:space="preserve">Deportivo Riestra</t>
  </si>
  <si>
    <t xml:space="preserve">Vélez Sarsfield</t>
  </si>
  <si>
    <t xml:space="preserve">Colegiales</t>
  </si>
  <si>
    <t xml:space="preserve">Deportivo Maipu</t>
  </si>
  <si>
    <t xml:space="preserve">Argentina 3. Primeira B (3ª Divisão)</t>
  </si>
  <si>
    <t xml:space="preserve">Argentino Quilmes</t>
  </si>
  <si>
    <t xml:space="preserve">Club Sportivo Italiano</t>
  </si>
  <si>
    <t xml:space="preserve">Arsenal de Sarandí</t>
  </si>
  <si>
    <t xml:space="preserve">Excursionistas</t>
  </si>
  <si>
    <t xml:space="preserve">Brown de Adrogué</t>
  </si>
  <si>
    <t xml:space="preserve">Liniers</t>
  </si>
  <si>
    <t xml:space="preserve">Defensores Unidos</t>
  </si>
  <si>
    <t xml:space="preserve">Atletico Camioneros</t>
  </si>
  <si>
    <t xml:space="preserve">Deportivo Laferrere</t>
  </si>
  <si>
    <t xml:space="preserve">Real Pilar</t>
  </si>
  <si>
    <t xml:space="preserve">Ituzaingó</t>
  </si>
  <si>
    <t xml:space="preserve">Dock Sud</t>
  </si>
  <si>
    <t xml:space="preserve">Talleres de Remedios de Escalada</t>
  </si>
  <si>
    <t xml:space="preserve">UAI Urquiza</t>
  </si>
  <si>
    <t xml:space="preserve">Argentina 4. Primeira C (4ª Divisão)</t>
  </si>
  <si>
    <t xml:space="preserve">Argentino Rosario</t>
  </si>
  <si>
    <t xml:space="preserve">Centro Espanol</t>
  </si>
  <si>
    <t xml:space="preserve">Barracas Bolívar</t>
  </si>
  <si>
    <t xml:space="preserve">Deportivo Español</t>
  </si>
  <si>
    <t xml:space="preserve">Central Ballester</t>
  </si>
  <si>
    <t xml:space="preserve">Yupanqui</t>
  </si>
  <si>
    <t xml:space="preserve">Defensores Cambaceres</t>
  </si>
  <si>
    <t xml:space="preserve">Deportivo Paraguayo</t>
  </si>
  <si>
    <t xml:space="preserve">El Porvenir</t>
  </si>
  <si>
    <t xml:space="preserve">Claypole</t>
  </si>
  <si>
    <t xml:space="preserve">Estrella del Sur Alejandro Korn</t>
  </si>
  <si>
    <t xml:space="preserve">Victoriano Arenas</t>
  </si>
  <si>
    <t xml:space="preserve">General La Madrid</t>
  </si>
  <si>
    <t xml:space="preserve">Cañuelas</t>
  </si>
  <si>
    <t xml:space="preserve">Juventud Unida San Miguel</t>
  </si>
  <si>
    <t xml:space="preserve">Club Mercedes</t>
  </si>
  <si>
    <t xml:space="preserve">Leandro Nicéforo Alem</t>
  </si>
  <si>
    <t xml:space="preserve">Puerto Nuevo</t>
  </si>
  <si>
    <t xml:space="preserve">Leones de Rosario</t>
  </si>
  <si>
    <t xml:space="preserve">Atlas</t>
  </si>
  <si>
    <t xml:space="preserve">Lugano</t>
  </si>
  <si>
    <t xml:space="preserve">Berazategui</t>
  </si>
  <si>
    <t xml:space="preserve">Luján</t>
  </si>
  <si>
    <t xml:space="preserve">Deportivo Muñiz</t>
  </si>
  <si>
    <t xml:space="preserve">Sacachispas</t>
  </si>
  <si>
    <t xml:space="preserve">Justo José Urquiza</t>
  </si>
  <si>
    <t xml:space="preserve">Fortaleza</t>
  </si>
  <si>
    <t xml:space="preserve">Operário-PR</t>
  </si>
  <si>
    <t xml:space="preserve">Londrina</t>
  </si>
  <si>
    <t xml:space="preserve">Juventude</t>
  </si>
  <si>
    <t xml:space="preserve">Independiente del Valle</t>
  </si>
  <si>
    <t xml:space="preserve">U. Católica</t>
  </si>
  <si>
    <t xml:space="preserve">Cruz Azul Hidalgo</t>
  </si>
  <si>
    <t xml:space="preserve">Tepatitlan FC</t>
  </si>
  <si>
    <t xml:space="preserve">CD Los Chankas</t>
  </si>
  <si>
    <t xml:space="preserve">Juan Pablo II College</t>
  </si>
  <si>
    <t xml:space="preserve">Jedinstvo UB</t>
  </si>
  <si>
    <t xml:space="preserve">Spartak Subotica</t>
  </si>
  <si>
    <t xml:space="preserve">NK Bravo</t>
  </si>
  <si>
    <t xml:space="preserve">NS Mura</t>
  </si>
  <si>
    <t xml:space="preserve">Midland</t>
  </si>
  <si>
    <t xml:space="preserve">Nueva Chicago</t>
  </si>
  <si>
    <t xml:space="preserve">Eslováquia 1. Super Liga</t>
  </si>
  <si>
    <t xml:space="preserve">Dukla Banska Bystrica</t>
  </si>
  <si>
    <t xml:space="preserve">KFC Komarno</t>
  </si>
  <si>
    <t xml:space="preserve">CS Corvinul Hunedoara</t>
  </si>
  <si>
    <t xml:space="preserve">Dinamo Bucuresti</t>
  </si>
  <si>
    <t xml:space="preserve">Atletico Rafaela</t>
  </si>
  <si>
    <t xml:space="preserve">Tristán Suárez</t>
  </si>
  <si>
    <t xml:space="preserve">Club Ciudad de Bolivar</t>
  </si>
  <si>
    <t xml:space="preserve">Defensores de Belgrano</t>
  </si>
  <si>
    <t xml:space="preserve">Santiago Wanderers</t>
  </si>
  <si>
    <t xml:space="preserve">Magallanes</t>
  </si>
  <si>
    <t xml:space="preserve">Real Soacha Cundinamarca</t>
  </si>
  <si>
    <t xml:space="preserve">Patriotas F.C.</t>
  </si>
  <si>
    <t xml:space="preserve">Sportivo Trinidense</t>
  </si>
  <si>
    <t xml:space="preserve">2 de Mayo</t>
  </si>
  <si>
    <t xml:space="preserve">FK Cukaricki</t>
  </si>
  <si>
    <t xml:space="preserve">Vojvodina</t>
  </si>
  <si>
    <t xml:space="preserve">FK Novi Pazar</t>
  </si>
  <si>
    <t xml:space="preserve">FK Macva Sabac</t>
  </si>
  <si>
    <t xml:space="preserve">Radnicki Nis</t>
  </si>
  <si>
    <t xml:space="preserve">FK Radnicki 1923</t>
  </si>
  <si>
    <t xml:space="preserve">Rosario Central</t>
  </si>
  <si>
    <t xml:space="preserve">Gimnasia La Plata</t>
  </si>
  <si>
    <t xml:space="preserve">Comunicaciones (Mercedes)</t>
  </si>
  <si>
    <t xml:space="preserve">Merlo</t>
  </si>
  <si>
    <t xml:space="preserve">Fénix</t>
  </si>
  <si>
    <t xml:space="preserve">Central Córdoba de Rosario</t>
  </si>
  <si>
    <t xml:space="preserve">Brasil Série C</t>
  </si>
  <si>
    <t xml:space="preserve">Amazonas FC</t>
  </si>
  <si>
    <t xml:space="preserve">Ypiranga-RS</t>
  </si>
  <si>
    <t xml:space="preserve">Anapolis FC</t>
  </si>
  <si>
    <t xml:space="preserve">Santa Cruz</t>
  </si>
  <si>
    <t xml:space="preserve">Barra FC</t>
  </si>
  <si>
    <t xml:space="preserve">Volta Redonda</t>
  </si>
  <si>
    <t xml:space="preserve">Caxias do Sul</t>
  </si>
  <si>
    <t xml:space="preserve">Inter de Limeira</t>
  </si>
  <si>
    <t xml:space="preserve">Ferroviária</t>
  </si>
  <si>
    <t xml:space="preserve">Confiança</t>
  </si>
  <si>
    <t xml:space="preserve">Figueirense</t>
  </si>
  <si>
    <t xml:space="preserve">Maranhão</t>
  </si>
  <si>
    <t xml:space="preserve">Floresta</t>
  </si>
  <si>
    <t xml:space="preserve">Ituano</t>
  </si>
  <si>
    <t xml:space="preserve">Guarani</t>
  </si>
  <si>
    <t xml:space="preserve">Brusque</t>
  </si>
  <si>
    <t xml:space="preserve">Itabaiana</t>
  </si>
  <si>
    <t xml:space="preserve">Botafogo-PB</t>
  </si>
  <si>
    <t xml:space="preserve">Paysandu</t>
  </si>
  <si>
    <t xml:space="preserve">Maringá</t>
  </si>
  <si>
    <t xml:space="preserve">Defensor Sporting</t>
  </si>
  <si>
    <t xml:space="preserve">Montevideo City</t>
  </si>
  <si>
    <t xml:space="preserve">Atlético FC</t>
  </si>
  <si>
    <t xml:space="preserve">Bogotá FC</t>
  </si>
  <si>
    <t xml:space="preserve">Real Santander</t>
  </si>
  <si>
    <t xml:space="preserve">Internacional FC de Palmira</t>
  </si>
  <si>
    <t xml:space="preserve">Estados Unidos 1. MLS</t>
  </si>
  <si>
    <t xml:space="preserve">Seattle Sounders FC</t>
  </si>
  <si>
    <t xml:space="preserve">Chicago Fire</t>
  </si>
  <si>
    <t xml:space="preserve">UTC</t>
  </si>
  <si>
    <t xml:space="preserve">Universitario de Deportes</t>
  </si>
  <si>
    <t xml:space="preserve">Cavalry FC</t>
  </si>
  <si>
    <t xml:space="preserve">Vancouver FC</t>
  </si>
  <si>
    <t xml:space="preserve">Guayaquil City FC</t>
  </si>
  <si>
    <t xml:space="preserve">LDU Quito</t>
  </si>
  <si>
    <t xml:space="preserve">Pittsburgh Riverhounds</t>
  </si>
  <si>
    <t xml:space="preserve">Tampa Bay Rowdies</t>
  </si>
  <si>
    <t xml:space="preserve">Guastatoya</t>
  </si>
  <si>
    <t xml:space="preserve">Marquense</t>
  </si>
  <si>
    <t xml:space="preserve">Colômbia 1. Primera A (Liga Águila)</t>
  </si>
  <si>
    <t xml:space="preserve">Jaguares de Córdoba</t>
  </si>
  <si>
    <t xml:space="preserve">América de Cali</t>
  </si>
  <si>
    <t xml:space="preserve">Brasil Série A</t>
  </si>
  <si>
    <t xml:space="preserve">Atlético-MG</t>
  </si>
  <si>
    <t xml:space="preserve">Vitória</t>
  </si>
  <si>
    <t xml:space="preserve">Botafogo SP</t>
  </si>
  <si>
    <t xml:space="preserve">Cuiabá</t>
  </si>
  <si>
    <t xml:space="preserve">Deportes Limache</t>
  </si>
  <si>
    <t xml:space="preserve">Everton CD</t>
  </si>
  <si>
    <t xml:space="preserve">Unión Española</t>
  </si>
  <si>
    <t xml:space="preserve">Rangers de Talca</t>
  </si>
  <si>
    <t xml:space="preserve">CD Platense Zacatecoluca</t>
  </si>
  <si>
    <t xml:space="preserve">Internacional Santa Tecla</t>
  </si>
  <si>
    <t xml:space="preserve">Deportivo Recoleta</t>
  </si>
  <si>
    <t xml:space="preserve">Olimpia</t>
  </si>
  <si>
    <t xml:space="preserve">Huracán</t>
  </si>
  <si>
    <t xml:space="preserve">Estudiantes Rio Cuarto</t>
  </si>
  <si>
    <t xml:space="preserve">Tlaxcala FC</t>
  </si>
  <si>
    <t xml:space="preserve">Venados FC</t>
  </si>
  <si>
    <t xml:space="preserve">Real Cartagena</t>
  </si>
  <si>
    <t xml:space="preserve">Tigres FC</t>
  </si>
  <si>
    <t xml:space="preserve">São Paulo</t>
  </si>
  <si>
    <t xml:space="preserve">Bragantino</t>
  </si>
  <si>
    <t xml:space="preserve">Brooklyn FC</t>
  </si>
  <si>
    <t xml:space="preserve">Sporting JAX</t>
  </si>
  <si>
    <t xml:space="preserve">Hartford Athletic</t>
  </si>
  <si>
    <t xml:space="preserve">Birmingham Legion FC</t>
  </si>
  <si>
    <t xml:space="preserve">Colorado Springs Switchbacks FC</t>
  </si>
  <si>
    <t xml:space="preserve">Chattanooga FC</t>
  </si>
  <si>
    <t xml:space="preserve">Carolina Core FC</t>
  </si>
  <si>
    <t xml:space="preserve">CT United</t>
  </si>
  <si>
    <t xml:space="preserve">New York Red Bulls II</t>
  </si>
  <si>
    <t xml:space="preserve">KÍ Klaksvík</t>
  </si>
  <si>
    <t xml:space="preserve">Eb/Streymur</t>
  </si>
  <si>
    <t xml:space="preserve">Querétaro</t>
  </si>
  <si>
    <t xml:space="preserve">Pachuca</t>
  </si>
  <si>
    <t xml:space="preserve">Guadalajara</t>
  </si>
  <si>
    <t xml:space="preserve">CD Universitario</t>
  </si>
  <si>
    <t xml:space="preserve">CD Arabe Unido</t>
  </si>
  <si>
    <t xml:space="preserve">Atlético Junior</t>
  </si>
  <si>
    <t xml:space="preserve">Independiente Santa Fe</t>
  </si>
  <si>
    <t xml:space="preserve">Atlanta United FC</t>
  </si>
  <si>
    <t xml:space="preserve">Charlotte FC</t>
  </si>
  <si>
    <t xml:space="preserve">Columbus Crew SC</t>
  </si>
  <si>
    <t xml:space="preserve">New England Revolution</t>
  </si>
  <si>
    <t xml:space="preserve">DC United</t>
  </si>
  <si>
    <t xml:space="preserve">Los Angeles FC</t>
  </si>
  <si>
    <t xml:space="preserve">Inter Miami CF</t>
  </si>
  <si>
    <t xml:space="preserve">CF Montreal</t>
  </si>
  <si>
    <t xml:space="preserve">New York Red Bulls</t>
  </si>
  <si>
    <t xml:space="preserve">Philadelphia Union</t>
  </si>
  <si>
    <t xml:space="preserve">Toronto FC</t>
  </si>
  <si>
    <t xml:space="preserve">New York City FC</t>
  </si>
  <si>
    <t xml:space="preserve">Nublense</t>
  </si>
  <si>
    <t xml:space="preserve">Deportes Concepcion</t>
  </si>
  <si>
    <t xml:space="preserve">Deportes Iquique</t>
  </si>
  <si>
    <t xml:space="preserve">San Luis</t>
  </si>
  <si>
    <t xml:space="preserve">Manta FC</t>
  </si>
  <si>
    <t xml:space="preserve">Barcelona S.C.</t>
  </si>
  <si>
    <t xml:space="preserve">Louisville City FC</t>
  </si>
  <si>
    <t xml:space="preserve">Detroit City FC</t>
  </si>
  <si>
    <t xml:space="preserve">Oakland Roots</t>
  </si>
  <si>
    <t xml:space="preserve">Orange County SC</t>
  </si>
  <si>
    <t xml:space="preserve">Nicarágua 1. Liga Primera</t>
  </si>
  <si>
    <t xml:space="preserve">Diriangen</t>
  </si>
  <si>
    <t xml:space="preserve">Jalapa</t>
  </si>
  <si>
    <t xml:space="preserve">Vasco</t>
  </si>
  <si>
    <t xml:space="preserve">Cruzeiro</t>
  </si>
  <si>
    <t xml:space="preserve">Atlético Tucumán</t>
  </si>
  <si>
    <t xml:space="preserve">Belgrano de Córdoba</t>
  </si>
  <si>
    <t xml:space="preserve">Talleres de Córdoba</t>
  </si>
  <si>
    <t xml:space="preserve">Ctral. Córdoba SE</t>
  </si>
  <si>
    <t xml:space="preserve">Houston Dynamo</t>
  </si>
  <si>
    <t xml:space="preserve">San Jose Earthquakes</t>
  </si>
  <si>
    <t xml:space="preserve">Minnesota United FC</t>
  </si>
  <si>
    <t xml:space="preserve">Orlando City SC</t>
  </si>
  <si>
    <t xml:space="preserve">Nashville SC</t>
  </si>
  <si>
    <t xml:space="preserve">FC Cincinnati</t>
  </si>
  <si>
    <t xml:space="preserve">Sporting Kansas City</t>
  </si>
  <si>
    <t xml:space="preserve">Vancouver Whitecaps</t>
  </si>
  <si>
    <t xml:space="preserve">Tulsa</t>
  </si>
  <si>
    <t xml:space="preserve">Rhode Island FC</t>
  </si>
  <si>
    <t xml:space="preserve">Alianza Lima</t>
  </si>
  <si>
    <t xml:space="preserve">Deportivo Garcilaso</t>
  </si>
  <si>
    <t xml:space="preserve">Alianza FC</t>
  </si>
  <si>
    <t xml:space="preserve">Atlético Balboa</t>
  </si>
  <si>
    <t xml:space="preserve">El Paso Locomotive FC</t>
  </si>
  <si>
    <t xml:space="preserve">Loudoun United FC</t>
  </si>
  <si>
    <t xml:space="preserve">Comunicaciones</t>
  </si>
  <si>
    <t xml:space="preserve">Municipal</t>
  </si>
  <si>
    <t xml:space="preserve">Mineros de Zacatecas</t>
  </si>
  <si>
    <t xml:space="preserve">Jaiba Brava</t>
  </si>
  <si>
    <t xml:space="preserve">Matagalpa FC</t>
  </si>
  <si>
    <t xml:space="preserve">Rancho Santana FC</t>
  </si>
  <si>
    <t xml:space="preserve">América</t>
  </si>
  <si>
    <t xml:space="preserve">Puebla</t>
  </si>
  <si>
    <t xml:space="preserve">Alianza</t>
  </si>
  <si>
    <t xml:space="preserve">Atlético Nacional</t>
  </si>
  <si>
    <t xml:space="preserve">Colorado Rapids</t>
  </si>
  <si>
    <t xml:space="preserve">Real Salt Lake</t>
  </si>
  <si>
    <t xml:space="preserve">San Antonio FC</t>
  </si>
  <si>
    <t xml:space="preserve">San Francisco FC</t>
  </si>
  <si>
    <t xml:space="preserve">Plaza Amador</t>
  </si>
  <si>
    <t xml:space="preserve">Perez Zeledon</t>
  </si>
  <si>
    <t xml:space="preserve">Alajuelense</t>
  </si>
  <si>
    <t xml:space="preserve">Monterey Bay FC</t>
  </si>
  <si>
    <t xml:space="preserve">Sacramento Republic FC</t>
  </si>
  <si>
    <t xml:space="preserve">Portland Timbers</t>
  </si>
  <si>
    <t xml:space="preserve">Austin FC</t>
  </si>
  <si>
    <t xml:space="preserve">San Diego FC</t>
  </si>
  <si>
    <t xml:space="preserve">LA Galaxy</t>
  </si>
  <si>
    <t xml:space="preserve">Las Vegas Lights FC</t>
  </si>
  <si>
    <t xml:space="preserve">Charleston Battery</t>
  </si>
  <si>
    <t xml:space="preserve">Phoenix Rising FC</t>
  </si>
  <si>
    <t xml:space="preserve">Indy Eleven</t>
  </si>
  <si>
    <t xml:space="preserve">30/08/2026</t>
  </si>
  <si>
    <t xml:space="preserve">Santos</t>
  </si>
  <si>
    <t xml:space="preserve">Tigres UANL</t>
  </si>
  <si>
    <t xml:space="preserve">33.7</t>
  </si>
  <si>
    <t xml:space="preserve">Austrália NPL - New South Wales Premier League</t>
  </si>
  <si>
    <t xml:space="preserve">Apia L Tigers</t>
  </si>
  <si>
    <t xml:space="preserve">St George City FA</t>
  </si>
  <si>
    <t xml:space="preserve">60.5</t>
  </si>
  <si>
    <t xml:space="preserve">Blacktown City</t>
  </si>
  <si>
    <t xml:space="preserve">Western Sydney Wanderers U21</t>
  </si>
  <si>
    <t xml:space="preserve">42.3</t>
  </si>
  <si>
    <t xml:space="preserve">Marconi Stallions</t>
  </si>
  <si>
    <t xml:space="preserve">NWS Spirit FC</t>
  </si>
  <si>
    <t xml:space="preserve">55.1</t>
  </si>
  <si>
    <t xml:space="preserve">Rockdale Ilinden FC</t>
  </si>
  <si>
    <t xml:space="preserve">University NSW</t>
  </si>
  <si>
    <t xml:space="preserve">51.5</t>
  </si>
  <si>
    <t xml:space="preserve">Sutherland Sharks</t>
  </si>
  <si>
    <t xml:space="preserve">SD Raiders</t>
  </si>
  <si>
    <t xml:space="preserve">49.9</t>
  </si>
  <si>
    <t xml:space="preserve">Sydney Olympic</t>
  </si>
  <si>
    <t xml:space="preserve">Sydney FC U21</t>
  </si>
  <si>
    <t xml:space="preserve">34.9</t>
  </si>
  <si>
    <t xml:space="preserve">Sydney United 58</t>
  </si>
  <si>
    <t xml:space="preserve">St George Saints</t>
  </si>
  <si>
    <t xml:space="preserve">60.8</t>
  </si>
  <si>
    <t xml:space="preserve">Wollongong Wolves</t>
  </si>
  <si>
    <t xml:space="preserve">Manly Utd</t>
  </si>
  <si>
    <t xml:space="preserve">40.6</t>
  </si>
  <si>
    <t xml:space="preserve">18.2</t>
  </si>
  <si>
    <t xml:space="preserve">Maitland FC</t>
  </si>
  <si>
    <t xml:space="preserve">Edgeworth Eagles</t>
  </si>
  <si>
    <t xml:space="preserve">44.6</t>
  </si>
  <si>
    <t xml:space="preserve">Queensland Lions</t>
  </si>
  <si>
    <t xml:space="preserve">Peninsula Power</t>
  </si>
  <si>
    <t xml:space="preserve">52.1</t>
  </si>
  <si>
    <t xml:space="preserve">FC Petrzalka</t>
  </si>
  <si>
    <t xml:space="preserve">FK Tatran Liptovsky Mikulas</t>
  </si>
  <si>
    <t xml:space="preserve">57.2</t>
  </si>
  <si>
    <t xml:space="preserve">Slovan Bratislava B</t>
  </si>
  <si>
    <t xml:space="preserve">MSK Povazska Bystrica</t>
  </si>
  <si>
    <t xml:space="preserve">45.2</t>
  </si>
  <si>
    <t xml:space="preserve">40.9</t>
  </si>
  <si>
    <t xml:space="preserve">Skanstes SK</t>
  </si>
  <si>
    <t xml:space="preserve">FK Tukums 2000/TSS II</t>
  </si>
  <si>
    <t xml:space="preserve">56.8</t>
  </si>
  <si>
    <t xml:space="preserve">Gangwon FC</t>
  </si>
  <si>
    <t xml:space="preserve">Pohang Steelers</t>
  </si>
  <si>
    <t xml:space="preserve">49.1</t>
  </si>
  <si>
    <t xml:space="preserve">Gwangju FC</t>
  </si>
  <si>
    <t xml:space="preserve">FC Seoul</t>
  </si>
  <si>
    <t xml:space="preserve">14.5</t>
  </si>
  <si>
    <t xml:space="preserve">Incheon Utd</t>
  </si>
  <si>
    <t xml:space="preserve">Jeonbuk Motors</t>
  </si>
  <si>
    <t xml:space="preserve">41.1</t>
  </si>
  <si>
    <t xml:space="preserve">Jeju SK</t>
  </si>
  <si>
    <t xml:space="preserve">Daejeon Hana Citizen</t>
  </si>
  <si>
    <t xml:space="preserve">56.5</t>
  </si>
  <si>
    <t xml:space="preserve">Gimhae FC 2008</t>
  </si>
  <si>
    <t xml:space="preserve">Yongin FC</t>
  </si>
  <si>
    <t xml:space="preserve">33.1</t>
  </si>
  <si>
    <t xml:space="preserve">Suwon FC</t>
  </si>
  <si>
    <t xml:space="preserve">Busan I Park</t>
  </si>
  <si>
    <t xml:space="preserve">50.5</t>
  </si>
  <si>
    <t xml:space="preserve">FK Arsenal Dzyarzhynsk</t>
  </si>
  <si>
    <t xml:space="preserve">Torpedo Zhodino</t>
  </si>
  <si>
    <t xml:space="preserve">31.9</t>
  </si>
  <si>
    <t xml:space="preserve">Dalian K'un City</t>
  </si>
  <si>
    <t xml:space="preserve">Nantong Zhiyun</t>
  </si>
  <si>
    <t xml:space="preserve">32.2</t>
  </si>
  <si>
    <t xml:space="preserve">Ningbo Professional FC</t>
  </si>
  <si>
    <t xml:space="preserve">Meizhou Hakka</t>
  </si>
  <si>
    <t xml:space="preserve">58.6</t>
  </si>
  <si>
    <t xml:space="preserve">Hillerød</t>
  </si>
  <si>
    <t xml:space="preserve">Hobro IK</t>
  </si>
  <si>
    <t xml:space="preserve">29.9</t>
  </si>
  <si>
    <t xml:space="preserve">Hvidovre IF</t>
  </si>
  <si>
    <t xml:space="preserve">FC Fredericia</t>
  </si>
  <si>
    <t xml:space="preserve">33.9</t>
  </si>
  <si>
    <t xml:space="preserve">Enkopings SK</t>
  </si>
  <si>
    <t xml:space="preserve">FC Stockholm Internazionale</t>
  </si>
  <si>
    <t xml:space="preserve">31.4</t>
  </si>
  <si>
    <t xml:space="preserve">FBK Karlstad</t>
  </si>
  <si>
    <t xml:space="preserve">Piteå IF</t>
  </si>
  <si>
    <t xml:space="preserve">56.0</t>
  </si>
  <si>
    <t xml:space="preserve">Guangdong GZ-Power</t>
  </si>
  <si>
    <t xml:space="preserve">Changchun Yatai</t>
  </si>
  <si>
    <t xml:space="preserve">58.5</t>
  </si>
  <si>
    <t xml:space="preserve">JK Nomme Kalju</t>
  </si>
  <si>
    <t xml:space="preserve">FC Levadia Tallinn</t>
  </si>
  <si>
    <t xml:space="preserve">34.1</t>
  </si>
  <si>
    <t xml:space="preserve">Umea FC</t>
  </si>
  <si>
    <t xml:space="preserve">Vasalunds IF</t>
  </si>
  <si>
    <t xml:space="preserve">44.2</t>
  </si>
  <si>
    <t xml:space="preserve">FC Lok Leipzig</t>
  </si>
  <si>
    <t xml:space="preserve">FC Erzgebirge Aue</t>
  </si>
  <si>
    <t xml:space="preserve">45.9</t>
  </si>
  <si>
    <t xml:space="preserve">FSV 63 Luckenwalde</t>
  </si>
  <si>
    <t xml:space="preserve">BFC Dynamo</t>
  </si>
  <si>
    <t xml:space="preserve">22.3</t>
  </si>
  <si>
    <t xml:space="preserve">RSV Eintracht</t>
  </si>
  <si>
    <t xml:space="preserve">Magdeburg II</t>
  </si>
  <si>
    <t xml:space="preserve">SV Tasmania Berlin</t>
  </si>
  <si>
    <t xml:space="preserve">Greifswalder SV 04</t>
  </si>
  <si>
    <t xml:space="preserve">21.6</t>
  </si>
  <si>
    <t xml:space="preserve">Hamburg SV II</t>
  </si>
  <si>
    <t xml:space="preserve">Eintracht Norderstedt</t>
  </si>
  <si>
    <t xml:space="preserve">47.8</t>
  </si>
  <si>
    <t xml:space="preserve">SV Todesfelde</t>
  </si>
  <si>
    <t xml:space="preserve">SSV Jeddeloh</t>
  </si>
  <si>
    <t xml:space="preserve">48.0</t>
  </si>
  <si>
    <t xml:space="preserve">FK Kaspyi Aktau</t>
  </si>
  <si>
    <t xml:space="preserve">Tobol Kostanay</t>
  </si>
  <si>
    <t xml:space="preserve">40.4</t>
  </si>
  <si>
    <t xml:space="preserve">Irtysh Pavlodar</t>
  </si>
  <si>
    <t xml:space="preserve">FK Aktobe</t>
  </si>
  <si>
    <t xml:space="preserve">33.4</t>
  </si>
  <si>
    <t xml:space="preserve">Lyngby</t>
  </si>
  <si>
    <t xml:space="preserve">Odense Boldklub</t>
  </si>
  <si>
    <t xml:space="preserve">39.3</t>
  </si>
  <si>
    <t xml:space="preserve">Aarhus Fremad</t>
  </si>
  <si>
    <t xml:space="preserve">Vejle BK</t>
  </si>
  <si>
    <t xml:space="preserve">39.2</t>
  </si>
  <si>
    <t xml:space="preserve">JK Nomme United II</t>
  </si>
  <si>
    <t xml:space="preserve">FC Elva</t>
  </si>
  <si>
    <t xml:space="preserve">39.8</t>
  </si>
  <si>
    <t xml:space="preserve">Rodina Moscow</t>
  </si>
  <si>
    <t xml:space="preserve">Baltika Kaliningrad</t>
  </si>
  <si>
    <t xml:space="preserve">31.1</t>
  </si>
  <si>
    <t xml:space="preserve">AIK</t>
  </si>
  <si>
    <t xml:space="preserve">Hammarby</t>
  </si>
  <si>
    <t xml:space="preserve">29.6</t>
  </si>
  <si>
    <t xml:space="preserve">Bodo/Glimt</t>
  </si>
  <si>
    <t xml:space="preserve">Rosenborg</t>
  </si>
  <si>
    <t xml:space="preserve">63.6</t>
  </si>
  <si>
    <t xml:space="preserve">U3.5,U2.5,BTTS-N</t>
  </si>
  <si>
    <t xml:space="preserve">Arka Gdynia</t>
  </si>
  <si>
    <t xml:space="preserve">Polonia Bytom</t>
  </si>
  <si>
    <t xml:space="preserve">63.2</t>
  </si>
  <si>
    <t xml:space="preserve">Bremer SV</t>
  </si>
  <si>
    <t xml:space="preserve">FSV Schoningen</t>
  </si>
  <si>
    <t xml:space="preserve">18.1</t>
  </si>
  <si>
    <t xml:space="preserve">Dnepr Mogilev</t>
  </si>
  <si>
    <t xml:space="preserve">Isloch</t>
  </si>
  <si>
    <t xml:space="preserve">Esbjerg FB</t>
  </si>
  <si>
    <t xml:space="preserve">Vendsyssel</t>
  </si>
  <si>
    <t xml:space="preserve">45.5</t>
  </si>
  <si>
    <t xml:space="preserve">Farul Constanta</t>
  </si>
  <si>
    <t xml:space="preserve">FC Botosani</t>
  </si>
  <si>
    <t xml:space="preserve">50.3</t>
  </si>
  <si>
    <t xml:space="preserve">Varbergs BoIS FC</t>
  </si>
  <si>
    <t xml:space="preserve">IK Oddevold</t>
  </si>
  <si>
    <t xml:space="preserve">47.2</t>
  </si>
  <si>
    <t xml:space="preserve">Uruguai 2. Segunda Divisão</t>
  </si>
  <si>
    <t xml:space="preserve">Miramar Misiones</t>
  </si>
  <si>
    <t xml:space="preserve">Athletico-PR</t>
  </si>
  <si>
    <t xml:space="preserve">Fluminense</t>
  </si>
  <si>
    <t xml:space="preserve">46.3</t>
  </si>
  <si>
    <t xml:space="preserve">FC Flora Tallinn</t>
  </si>
  <si>
    <t xml:space="preserve">Paide Linnameeskond</t>
  </si>
  <si>
    <t xml:space="preserve">48.5</t>
  </si>
  <si>
    <t xml:space="preserve">B36 Torshavn</t>
  </si>
  <si>
    <t xml:space="preserve">B68 Toftir</t>
  </si>
  <si>
    <t xml:space="preserve">NSI Runavik</t>
  </si>
  <si>
    <t xml:space="preserve">AB Argir</t>
  </si>
  <si>
    <t xml:space="preserve">59.8</t>
  </si>
  <si>
    <t xml:space="preserve">Ogre United</t>
  </si>
  <si>
    <t xml:space="preserve">Rigas FS</t>
  </si>
  <si>
    <t xml:space="preserve">15.8</t>
  </si>
  <si>
    <t xml:space="preserve">Rezeknes FA</t>
  </si>
  <si>
    <t xml:space="preserve">Valmiera FC</t>
  </si>
  <si>
    <t xml:space="preserve">10.4</t>
  </si>
  <si>
    <t xml:space="preserve">Lituânia 1. A Lyga</t>
  </si>
  <si>
    <t xml:space="preserve">FK Siauliai</t>
  </si>
  <si>
    <t xml:space="preserve">Suduva Marijampole</t>
  </si>
  <si>
    <t xml:space="preserve">Laholms FK</t>
  </si>
  <si>
    <t xml:space="preserve">Ariana FC Malmo</t>
  </si>
  <si>
    <t xml:space="preserve">35.0</t>
  </si>
  <si>
    <t xml:space="preserve">Trelleborgs FF</t>
  </si>
  <si>
    <t xml:space="preserve">Utsiktens BK</t>
  </si>
  <si>
    <t xml:space="preserve">69.1</t>
  </si>
  <si>
    <t xml:space="preserve">Spartak Moscow</t>
  </si>
  <si>
    <t xml:space="preserve">Gazovik Orenburg</t>
  </si>
  <si>
    <t xml:space="preserve">62.6</t>
  </si>
  <si>
    <t xml:space="preserve">IFK</t>
  </si>
  <si>
    <t xml:space="preserve">Orgryte IS</t>
  </si>
  <si>
    <t xml:space="preserve">48.6</t>
  </si>
  <si>
    <t xml:space="preserve">FK Atyrau</t>
  </si>
  <si>
    <t xml:space="preserve">FC Astana</t>
  </si>
  <si>
    <t xml:space="preserve">SJK II</t>
  </si>
  <si>
    <t xml:space="preserve">Klubi-04</t>
  </si>
  <si>
    <t xml:space="preserve">34.6</t>
  </si>
  <si>
    <t xml:space="preserve">Samgurali</t>
  </si>
  <si>
    <t xml:space="preserve">FC Rustavi</t>
  </si>
  <si>
    <t xml:space="preserve">Derry City</t>
  </si>
  <si>
    <t xml:space="preserve">Shamrock Rovers</t>
  </si>
  <si>
    <t xml:space="preserve">35.2</t>
  </si>
  <si>
    <t xml:space="preserve">CS Petrocub</t>
  </si>
  <si>
    <t xml:space="preserve">FC Balti</t>
  </si>
  <si>
    <t xml:space="preserve">69.6</t>
  </si>
  <si>
    <t xml:space="preserve">Ham-Kam</t>
  </si>
  <si>
    <t xml:space="preserve">Kristiansund BK</t>
  </si>
  <si>
    <t xml:space="preserve">48.4</t>
  </si>
  <si>
    <t xml:space="preserve">IK Start</t>
  </si>
  <si>
    <t xml:space="preserve">KFUM</t>
  </si>
  <si>
    <t xml:space="preserve">36.7</t>
  </si>
  <si>
    <t xml:space="preserve">Sandefjord</t>
  </si>
  <si>
    <t xml:space="preserve">SK Brann</t>
  </si>
  <si>
    <t xml:space="preserve">33.6</t>
  </si>
  <si>
    <t xml:space="preserve">Tromso</t>
  </si>
  <si>
    <t xml:space="preserve">Sarpsborg FK</t>
  </si>
  <si>
    <t xml:space="preserve">55.0</t>
  </si>
  <si>
    <t xml:space="preserve">39.6</t>
  </si>
  <si>
    <t xml:space="preserve">65.5</t>
  </si>
  <si>
    <t xml:space="preserve">33.0</t>
  </si>
  <si>
    <t xml:space="preserve">Egersund</t>
  </si>
  <si>
    <t xml:space="preserve">Asane</t>
  </si>
  <si>
    <t xml:space="preserve">52.5</t>
  </si>
  <si>
    <t xml:space="preserve">Hodd</t>
  </si>
  <si>
    <t xml:space="preserve">Stabaek</t>
  </si>
  <si>
    <t xml:space="preserve">30.1</t>
  </si>
  <si>
    <t xml:space="preserve">Kongsvinger</t>
  </si>
  <si>
    <t xml:space="preserve">Lyn 1896</t>
  </si>
  <si>
    <t xml:space="preserve">58.9</t>
  </si>
  <si>
    <t xml:space="preserve">Moss</t>
  </si>
  <si>
    <t xml:space="preserve">Strommen</t>
  </si>
  <si>
    <t xml:space="preserve">49.2</t>
  </si>
  <si>
    <t xml:space="preserve">Ranheim</t>
  </si>
  <si>
    <t xml:space="preserve">Odds BK</t>
  </si>
  <si>
    <t xml:space="preserve">41.9</t>
  </si>
  <si>
    <t xml:space="preserve">Raufoss</t>
  </si>
  <si>
    <t xml:space="preserve">Sandnes Ulf</t>
  </si>
  <si>
    <t xml:space="preserve">40.0</t>
  </si>
  <si>
    <t xml:space="preserve">Sogndal</t>
  </si>
  <si>
    <t xml:space="preserve">Stromsgodset</t>
  </si>
  <si>
    <t xml:space="preserve">31.2</t>
  </si>
  <si>
    <t xml:space="preserve">62.9</t>
  </si>
  <si>
    <t xml:space="preserve">OFK Vrsac</t>
  </si>
  <si>
    <t xml:space="preserve">Borac Cacak</t>
  </si>
  <si>
    <t xml:space="preserve">42.7</t>
  </si>
  <si>
    <t xml:space="preserve">Sandvikens IF</t>
  </si>
  <si>
    <t xml:space="preserve">Osters IF</t>
  </si>
  <si>
    <t xml:space="preserve">44.3</t>
  </si>
  <si>
    <t xml:space="preserve">Deportivo Armenio</t>
  </si>
  <si>
    <t xml:space="preserve">San Carlos</t>
  </si>
  <si>
    <t xml:space="preserve">Karcagi SE</t>
  </si>
  <si>
    <t xml:space="preserve">Fehervar FC</t>
  </si>
  <si>
    <t xml:space="preserve">49.3</t>
  </si>
  <si>
    <t xml:space="preserve">Soroksar</t>
  </si>
  <si>
    <t xml:space="preserve">Csakvari Tk</t>
  </si>
  <si>
    <t xml:space="preserve">64.8</t>
  </si>
  <si>
    <t xml:space="preserve">Banga Gargzdai</t>
  </si>
  <si>
    <t xml:space="preserve">FK Kauno Zalgiris</t>
  </si>
  <si>
    <t xml:space="preserve">36.0</t>
  </si>
  <si>
    <t xml:space="preserve">Botev Plovdiv</t>
  </si>
  <si>
    <t xml:space="preserve">Levski Sofia</t>
  </si>
  <si>
    <t xml:space="preserve">19.4</t>
  </si>
  <si>
    <t xml:space="preserve">Spartak Varna</t>
  </si>
  <si>
    <t xml:space="preserve">Ludogorets Razgrad</t>
  </si>
  <si>
    <t xml:space="preserve">25.2</t>
  </si>
  <si>
    <t xml:space="preserve">FC Cincinnati II</t>
  </si>
  <si>
    <t xml:space="preserve">Philadelphia Union II</t>
  </si>
  <si>
    <t xml:space="preserve">JK Trans Narva</t>
  </si>
  <si>
    <t xml:space="preserve">JK Tammeka Tartu</t>
  </si>
  <si>
    <t xml:space="preserve">29.1</t>
  </si>
  <si>
    <t xml:space="preserve">Panevezys</t>
  </si>
  <si>
    <t xml:space="preserve">FK Zalgiris Vilnius</t>
  </si>
  <si>
    <t xml:space="preserve">Deportivo Moquegua</t>
  </si>
  <si>
    <t xml:space="preserve">Alianza Atletico</t>
  </si>
  <si>
    <t xml:space="preserve">35.8</t>
  </si>
  <si>
    <t xml:space="preserve">Javor Ivanjica</t>
  </si>
  <si>
    <t xml:space="preserve">FK Napredak</t>
  </si>
  <si>
    <t xml:space="preserve">River Plate</t>
  </si>
  <si>
    <t xml:space="preserve">Rentistas</t>
  </si>
  <si>
    <t xml:space="preserve">40.1</t>
  </si>
  <si>
    <t xml:space="preserve">Skala IF</t>
  </si>
  <si>
    <t xml:space="preserve">07 Vestur</t>
  </si>
  <si>
    <t xml:space="preserve">Deportes Copiapo</t>
  </si>
  <si>
    <t xml:space="preserve">Antofagasta</t>
  </si>
  <si>
    <t xml:space="preserve">36.4</t>
  </si>
  <si>
    <t xml:space="preserve">BATE Borisov</t>
  </si>
  <si>
    <t xml:space="preserve">FC Minsk</t>
  </si>
  <si>
    <t xml:space="preserve">Cartagines</t>
  </si>
  <si>
    <t xml:space="preserve">Herediano</t>
  </si>
  <si>
    <t xml:space="preserve">68.0</t>
  </si>
  <si>
    <t xml:space="preserve">FC Spartak Trnava</t>
  </si>
  <si>
    <t xml:space="preserve">MSK Zilina</t>
  </si>
  <si>
    <t xml:space="preserve">61.9</t>
  </si>
  <si>
    <t xml:space="preserve">Columbus Crew II</t>
  </si>
  <si>
    <t xml:space="preserve">Chicago Fire II</t>
  </si>
  <si>
    <t xml:space="preserve">43.7</t>
  </si>
  <si>
    <t xml:space="preserve">Dinamo Batumi</t>
  </si>
  <si>
    <t xml:space="preserve">FC Spaeri</t>
  </si>
  <si>
    <t xml:space="preserve">47.7</t>
  </si>
  <si>
    <t xml:space="preserve">FH Hafnarfjordur</t>
  </si>
  <si>
    <t xml:space="preserve">Keflavik</t>
  </si>
  <si>
    <t xml:space="preserve">41.3</t>
  </si>
  <si>
    <t xml:space="preserve">Fram Reykjavik</t>
  </si>
  <si>
    <t xml:space="preserve">KA Akureyri</t>
  </si>
  <si>
    <t xml:space="preserve">56.2</t>
  </si>
  <si>
    <t xml:space="preserve">Dacia Buiucani</t>
  </si>
  <si>
    <t xml:space="preserve">FC Milsami</t>
  </si>
  <si>
    <t xml:space="preserve">47.0</t>
  </si>
  <si>
    <t xml:space="preserve">FK Rubin Kazan</t>
  </si>
  <si>
    <t xml:space="preserve">Dynamo Makhachkala</t>
  </si>
  <si>
    <t xml:space="preserve">35.1</t>
  </si>
  <si>
    <t xml:space="preserve">FC Nizhny Novgorod</t>
  </si>
  <si>
    <t xml:space="preserve">FK Volga Ulyanovsk</t>
  </si>
  <si>
    <t xml:space="preserve">66.2</t>
  </si>
  <si>
    <t xml:space="preserve">Lillestrom</t>
  </si>
  <si>
    <t xml:space="preserve">Fredrikstad</t>
  </si>
  <si>
    <t xml:space="preserve">49.4</t>
  </si>
  <si>
    <t xml:space="preserve">Banfield</t>
  </si>
  <si>
    <t xml:space="preserve">Almirante Brown</t>
  </si>
  <si>
    <t xml:space="preserve">Deportivo Madryn</t>
  </si>
  <si>
    <t xml:space="preserve">Mitre (SE)</t>
  </si>
  <si>
    <t xml:space="preserve">Central Norte</t>
  </si>
  <si>
    <t xml:space="preserve">39.0</t>
  </si>
  <si>
    <t xml:space="preserve">Argentino Merlo</t>
  </si>
  <si>
    <t xml:space="preserve">Villa Dálmine</t>
  </si>
  <si>
    <t xml:space="preserve">28.9</t>
  </si>
  <si>
    <t xml:space="preserve">Flandria</t>
  </si>
  <si>
    <t xml:space="preserve">San Martín Burzaco</t>
  </si>
  <si>
    <t xml:space="preserve">37.4</t>
  </si>
  <si>
    <t xml:space="preserve">35.5</t>
  </si>
  <si>
    <t xml:space="preserve">Aucas</t>
  </si>
  <si>
    <t xml:space="preserve">Club Atletico Libertad</t>
  </si>
  <si>
    <t xml:space="preserve">42.8</t>
  </si>
  <si>
    <t xml:space="preserve">U. de G.</t>
  </si>
  <si>
    <t xml:space="preserve">Piratas</t>
  </si>
  <si>
    <t xml:space="preserve">56.6</t>
  </si>
  <si>
    <t xml:space="preserve">Sparta Prague</t>
  </si>
  <si>
    <t xml:space="preserve">Slavia Prague</t>
  </si>
  <si>
    <t xml:space="preserve">41.0</t>
  </si>
  <si>
    <t xml:space="preserve">FCSB</t>
  </si>
  <si>
    <t xml:space="preserve">ACS UTA Batrana Doamna</t>
  </si>
  <si>
    <t xml:space="preserve">59.9</t>
  </si>
  <si>
    <t xml:space="preserve">CSKA Sofia</t>
  </si>
  <si>
    <t xml:space="preserve">Cherno More Varna</t>
  </si>
  <si>
    <t xml:space="preserve">71.5</t>
  </si>
  <si>
    <t xml:space="preserve">NK Nafta 1903</t>
  </si>
  <si>
    <t xml:space="preserve">NK Maribor</t>
  </si>
  <si>
    <t xml:space="preserve">AD Tarma</t>
  </si>
  <si>
    <t xml:space="preserve">Sport Huancayo</t>
  </si>
  <si>
    <t xml:space="preserve">All Boys</t>
  </si>
  <si>
    <t xml:space="preserve">CA Chaco For Ever</t>
  </si>
  <si>
    <t xml:space="preserve">36.5</t>
  </si>
  <si>
    <t xml:space="preserve">Atlanta</t>
  </si>
  <si>
    <t xml:space="preserve">San Martin SJ</t>
  </si>
  <si>
    <t xml:space="preserve">41.8</t>
  </si>
  <si>
    <t xml:space="preserve">Deportivo Morón</t>
  </si>
  <si>
    <t xml:space="preserve">San Miguel</t>
  </si>
  <si>
    <t xml:space="preserve">53.6</t>
  </si>
  <si>
    <t xml:space="preserve">Estudiantes de Caseros</t>
  </si>
  <si>
    <t xml:space="preserve">Ferro Carril Oeste</t>
  </si>
  <si>
    <t xml:space="preserve">35.4</t>
  </si>
  <si>
    <t xml:space="preserve">Patronato</t>
  </si>
  <si>
    <t xml:space="preserve">Almagro</t>
  </si>
  <si>
    <t xml:space="preserve">39.5</t>
  </si>
  <si>
    <t xml:space="preserve">Peñarol</t>
  </si>
  <si>
    <t xml:space="preserve">50.4</t>
  </si>
  <si>
    <t xml:space="preserve">Quilmes</t>
  </si>
  <si>
    <t xml:space="preserve">Temperley</t>
  </si>
  <si>
    <t xml:space="preserve">40.5</t>
  </si>
  <si>
    <t xml:space="preserve">Corinthians</t>
  </si>
  <si>
    <t xml:space="preserve">Flamengo</t>
  </si>
  <si>
    <t xml:space="preserve">Botafogo</t>
  </si>
  <si>
    <t xml:space="preserve">América-MG</t>
  </si>
  <si>
    <t xml:space="preserve">Ponte Preta</t>
  </si>
  <si>
    <t xml:space="preserve">Avaí</t>
  </si>
  <si>
    <t xml:space="preserve">Atlético-GO</t>
  </si>
  <si>
    <t xml:space="preserve">38.7</t>
  </si>
  <si>
    <t xml:space="preserve">Brasil Série D</t>
  </si>
  <si>
    <t xml:space="preserve">Gama</t>
  </si>
  <si>
    <t xml:space="preserve">ASA</t>
  </si>
  <si>
    <t xml:space="preserve">44.4</t>
  </si>
  <si>
    <t xml:space="preserve">Universidad de Concepción</t>
  </si>
  <si>
    <t xml:space="preserve">Universidad de Chile</t>
  </si>
  <si>
    <t xml:space="preserve">23.4</t>
  </si>
  <si>
    <t xml:space="preserve">Deportes Temuco</t>
  </si>
  <si>
    <t xml:space="preserve">Puerto Montt</t>
  </si>
  <si>
    <t xml:space="preserve">45.4</t>
  </si>
  <si>
    <t xml:space="preserve">Rionegro Águilas</t>
  </si>
  <si>
    <t xml:space="preserve">Boyacá Chicó FC</t>
  </si>
  <si>
    <t xml:space="preserve">51.2</t>
  </si>
  <si>
    <t xml:space="preserve">Cerro Porteño</t>
  </si>
  <si>
    <t xml:space="preserve">Libertad</t>
  </si>
  <si>
    <t xml:space="preserve">IMT Novi Belgrade</t>
  </si>
  <si>
    <t xml:space="preserve">Mladost Lucani</t>
  </si>
  <si>
    <t xml:space="preserve">48.1</t>
  </si>
  <si>
    <t xml:space="preserve">FK Backa Topola</t>
  </si>
  <si>
    <t xml:space="preserve">Smederevo</t>
  </si>
  <si>
    <t xml:space="preserve">45.0</t>
  </si>
  <si>
    <t xml:space="preserve">Valur Reykjavik</t>
  </si>
  <si>
    <t xml:space="preserve">IA Akranes</t>
  </si>
  <si>
    <t xml:space="preserve">41.6</t>
  </si>
  <si>
    <t xml:space="preserve">Argentinos Juniors</t>
  </si>
  <si>
    <t xml:space="preserve">Aldosivi</t>
  </si>
  <si>
    <t xml:space="preserve">56.1</t>
  </si>
  <si>
    <t xml:space="preserve">Racing de Cordoba</t>
  </si>
  <si>
    <t xml:space="preserve">Colón de Santa Fe</t>
  </si>
  <si>
    <t xml:space="preserve">30.0</t>
  </si>
  <si>
    <t xml:space="preserve">ABC</t>
  </si>
  <si>
    <t xml:space="preserve">Uberlândia</t>
  </si>
  <si>
    <t xml:space="preserve">46.1</t>
  </si>
  <si>
    <t xml:space="preserve">Portland Timbers 2</t>
  </si>
  <si>
    <t xml:space="preserve">Austin FC II</t>
  </si>
  <si>
    <t xml:space="preserve">33.2</t>
  </si>
  <si>
    <t xml:space="preserve">Venezuela 1. Primeira Divisão</t>
  </si>
  <si>
    <t xml:space="preserve">Academia Anzoategui FC</t>
  </si>
  <si>
    <t xml:space="preserve">Monagas SC</t>
  </si>
  <si>
    <t xml:space="preserve">43.6</t>
  </si>
  <si>
    <t xml:space="preserve">Academia Puerto Cabello</t>
  </si>
  <si>
    <t xml:space="preserve">Deportivo La Guaira</t>
  </si>
  <si>
    <t xml:space="preserve">Caracas F.C.</t>
  </si>
  <si>
    <t xml:space="preserve">Portuguesa</t>
  </si>
  <si>
    <t xml:space="preserve">Dep. Metropolitano</t>
  </si>
  <si>
    <t xml:space="preserve">Trujillanos</t>
  </si>
  <si>
    <t xml:space="preserve">59.7</t>
  </si>
  <si>
    <t xml:space="preserve">Deportivo Rayo Zuliano</t>
  </si>
  <si>
    <t xml:space="preserve">Carabobo</t>
  </si>
  <si>
    <t xml:space="preserve">27.0</t>
  </si>
  <si>
    <t xml:space="preserve">Estudiantes de Mérida</t>
  </si>
  <si>
    <t xml:space="preserve">UCV</t>
  </si>
  <si>
    <t xml:space="preserve">41.5</t>
  </si>
  <si>
    <t xml:space="preserve">Zamora</t>
  </si>
  <si>
    <t xml:space="preserve">Deportivo Táchira</t>
  </si>
  <si>
    <t xml:space="preserve">34.4</t>
  </si>
  <si>
    <t xml:space="preserve">Orense</t>
  </si>
  <si>
    <t xml:space="preserve">Macara</t>
  </si>
  <si>
    <t xml:space="preserve">34.8</t>
  </si>
  <si>
    <t xml:space="preserve">Sport Boys</t>
  </si>
  <si>
    <t xml:space="preserve">Sporting Cristal</t>
  </si>
  <si>
    <t xml:space="preserve">43.3</t>
  </si>
  <si>
    <t xml:space="preserve">37.1</t>
  </si>
  <si>
    <t xml:space="preserve">Godoy Cruz de Mendoza</t>
  </si>
  <si>
    <t xml:space="preserve">San Telmo</t>
  </si>
  <si>
    <t xml:space="preserve">46.9</t>
  </si>
  <si>
    <t xml:space="preserve">CRB</t>
  </si>
  <si>
    <t xml:space="preserve">Criciúma</t>
  </si>
  <si>
    <t xml:space="preserve">38.3</t>
  </si>
  <si>
    <t xml:space="preserve">Aguila</t>
  </si>
  <si>
    <t xml:space="preserve">Fuerte San Francisco</t>
  </si>
  <si>
    <t xml:space="preserve">40.7</t>
  </si>
  <si>
    <t xml:space="preserve">Union Cocle</t>
  </si>
  <si>
    <t xml:space="preserve">Alianza FC Panama</t>
  </si>
  <si>
    <t xml:space="preserve">Independiente Medellín</t>
  </si>
  <si>
    <t xml:space="preserve">Llaneros</t>
  </si>
  <si>
    <t xml:space="preserve">San Martin de Tucuman</t>
  </si>
  <si>
    <t xml:space="preserve">CA Guemes</t>
  </si>
  <si>
    <t xml:space="preserve">52.4</t>
  </si>
  <si>
    <t xml:space="preserve">Grêmio</t>
  </si>
  <si>
    <t xml:space="preserve">Chapecoense</t>
  </si>
  <si>
    <t xml:space="preserve">52.3</t>
  </si>
  <si>
    <t xml:space="preserve">Mirassol</t>
  </si>
  <si>
    <t xml:space="preserve">Palmeiras</t>
  </si>
  <si>
    <t xml:space="preserve">26.4</t>
  </si>
  <si>
    <t xml:space="preserve">Vila Nova-GO</t>
  </si>
  <si>
    <t xml:space="preserve">Ceará</t>
  </si>
  <si>
    <t xml:space="preserve">Colo Colo</t>
  </si>
  <si>
    <t xml:space="preserve">Audax Italiano</t>
  </si>
  <si>
    <t xml:space="preserve">59.6</t>
  </si>
  <si>
    <t xml:space="preserve">Curico Unido</t>
  </si>
  <si>
    <t xml:space="preserve">Deportes Recoleta</t>
  </si>
  <si>
    <t xml:space="preserve">Real Monarchs SLC</t>
  </si>
  <si>
    <t xml:space="preserve">Tacoma Defiance</t>
  </si>
  <si>
    <t xml:space="preserve">38.4</t>
  </si>
  <si>
    <t xml:space="preserve">Guaraní</t>
  </si>
  <si>
    <t xml:space="preserve">Sportivo Ameliano</t>
  </si>
  <si>
    <t xml:space="preserve">39.4</t>
  </si>
  <si>
    <t xml:space="preserve">Pacific FC (CA)</t>
  </si>
  <si>
    <t xml:space="preserve">HFX Wanderers</t>
  </si>
  <si>
    <t xml:space="preserve">37.7</t>
  </si>
  <si>
    <t xml:space="preserve">Puntarenas</t>
  </si>
  <si>
    <t xml:space="preserve">34.2</t>
  </si>
  <si>
    <t xml:space="preserve">Cerro Largo</t>
  </si>
  <si>
    <t xml:space="preserve">Liverpool</t>
  </si>
  <si>
    <t xml:space="preserve">Independiente</t>
  </si>
  <si>
    <t xml:space="preserve">Gimnasia (M)</t>
  </si>
  <si>
    <t xml:space="preserve">47.5</t>
  </si>
  <si>
    <t xml:space="preserve">Bahia</t>
  </si>
  <si>
    <t xml:space="preserve">Internacional</t>
  </si>
  <si>
    <t xml:space="preserve">48.2</t>
  </si>
  <si>
    <t xml:space="preserve">Emelec</t>
  </si>
  <si>
    <t xml:space="preserve">Leones FC</t>
  </si>
  <si>
    <t xml:space="preserve">35.6</t>
  </si>
  <si>
    <t xml:space="preserve">St. Louis City SC</t>
  </si>
  <si>
    <t xml:space="preserve">FC Dallas</t>
  </si>
  <si>
    <t xml:space="preserve">Houston Dynamo II</t>
  </si>
  <si>
    <t xml:space="preserve">Minnesota United FC II</t>
  </si>
  <si>
    <t xml:space="preserve">59.2</t>
  </si>
  <si>
    <t xml:space="preserve">New England Revolution II</t>
  </si>
  <si>
    <t xml:space="preserve">Huntsville City</t>
  </si>
  <si>
    <t xml:space="preserve">Orlando City II</t>
  </si>
  <si>
    <t xml:space="preserve">Crown Legacy</t>
  </si>
  <si>
    <t xml:space="preserve">Vancouver Whitecaps II</t>
  </si>
  <si>
    <t xml:space="preserve">Sporting Kansas City II</t>
  </si>
  <si>
    <t xml:space="preserve">50.2</t>
  </si>
  <si>
    <t xml:space="preserve">Aurora</t>
  </si>
  <si>
    <t xml:space="preserve">Malacateco</t>
  </si>
  <si>
    <t xml:space="preserve">51.9</t>
  </si>
  <si>
    <t xml:space="preserve">San Marcos FC</t>
  </si>
  <si>
    <t xml:space="preserve">CD Walter Ferretti</t>
  </si>
  <si>
    <t xml:space="preserve">52.9</t>
  </si>
  <si>
    <t xml:space="preserve">Millonarios</t>
  </si>
  <si>
    <t xml:space="preserve">Internacional de Bogota</t>
  </si>
  <si>
    <t xml:space="preserve">53.0</t>
  </si>
  <si>
    <t xml:space="preserve">Sporting San Miguelito</t>
  </si>
  <si>
    <t xml:space="preserve">Herrera FC</t>
  </si>
  <si>
    <t xml:space="preserve">CD FAS</t>
  </si>
  <si>
    <t xml:space="preserve">Luis Angel Firpo</t>
  </si>
  <si>
    <t xml:space="preserve">Club Oriental</t>
  </si>
  <si>
    <t xml:space="preserve">Plaza Colonia</t>
  </si>
  <si>
    <t xml:space="preserve">54.4</t>
  </si>
  <si>
    <t xml:space="preserve">Coquimbo Unido</t>
  </si>
  <si>
    <t xml:space="preserve">Huachipato</t>
  </si>
  <si>
    <t xml:space="preserve">53.2</t>
  </si>
  <si>
    <t xml:space="preserve">Saprissa</t>
  </si>
  <si>
    <t xml:space="preserve">Escorpiones de Belen FC</t>
  </si>
  <si>
    <t xml:space="preserve">63.7</t>
  </si>
  <si>
    <t xml:space="preserve">Toluca</t>
  </si>
  <si>
    <t xml:space="preserve">FC Juarez</t>
  </si>
  <si>
    <t xml:space="preserve">73.2</t>
  </si>
  <si>
    <t xml:space="preserve">Cienciano</t>
  </si>
  <si>
    <t xml:space="preserve">Cusco FC</t>
  </si>
  <si>
    <t xml:space="preserve">46.0</t>
  </si>
  <si>
    <t xml:space="preserve">Independiente Rivadavia</t>
  </si>
  <si>
    <t xml:space="preserve">Racing Club</t>
  </si>
  <si>
    <t xml:space="preserve">UNAN Managua</t>
  </si>
  <si>
    <t xml:space="preserve">Managua FC</t>
  </si>
  <si>
    <t xml:space="preserve">Deportivo Cali</t>
  </si>
  <si>
    <t xml:space="preserve">Bucaramanga</t>
  </si>
  <si>
    <t xml:space="preserve">Monterrey</t>
  </si>
  <si>
    <t xml:space="preserve">At. San Luis</t>
  </si>
  <si>
    <t xml:space="preserve">The Town</t>
  </si>
  <si>
    <t xml:space="preserve">Los Angeles FC II</t>
  </si>
  <si>
    <t xml:space="preserve">51.6</t>
  </si>
  <si>
    <t xml:space="preserve">Date</t>
  </si>
  <si>
    <t xml:space="preserve">Time</t>
  </si>
  <si>
    <t xml:space="preserve">Won</t>
  </si>
  <si>
    <t xml:space="preserve">Lost</t>
  </si>
  <si>
    <t xml:space="preserve">Result</t>
  </si>
  <si>
    <t xml:space="preserve">Deposits</t>
  </si>
  <si>
    <t xml:space="preserve">Place</t>
  </si>
  <si>
    <t xml:space="preserve">League</t>
  </si>
  <si>
    <t xml:space="preserve">Home</t>
  </si>
  <si>
    <t xml:space="preserve">Away</t>
  </si>
  <si>
    <t xml:space="preserve">Menos de 3.5</t>
  </si>
  <si>
    <t xml:space="preserve">A/M Sim</t>
  </si>
  <si>
    <t xml:space="preserve">Stake</t>
  </si>
  <si>
    <t xml:space="preserve">Tip</t>
  </si>
  <si>
    <t xml:space="preserve">Odds</t>
  </si>
  <si>
    <t xml:space="preserve">Settled</t>
  </si>
  <si>
    <t xml:space="preserve">Pinnacle Pre-game bets for Aug .Total Stake: $</t>
  </si>
  <si>
    <t xml:space="preserve">Loss</t>
  </si>
  <si>
    <t xml:space="preserve">Deposit</t>
  </si>
  <si>
    <t xml:space="preserve">Wager</t>
  </si>
  <si>
    <t xml:space="preserve">Amount</t>
  </si>
  <si>
    <t xml:space="preserve">Avg</t>
  </si>
  <si>
    <t xml:space="preserve">Rotor Volgograd</t>
  </si>
  <si>
    <t xml:space="preserve">Win</t>
  </si>
  <si>
    <t xml:space="preserve">ROE</t>
  </si>
  <si>
    <t xml:space="preserve">ROI</t>
  </si>
  <si>
    <t xml:space="preserve">FK Spartak Kostroma</t>
  </si>
  <si>
    <t xml:space="preserve">Dalian Young Boy Reserves</t>
  </si>
  <si>
    <t xml:space="preserve">Beijing Institute</t>
  </si>
  <si>
    <t xml:space="preserve">Dinamo Brest</t>
  </si>
  <si>
    <t xml:space="preserve">Hammarby TFF</t>
  </si>
  <si>
    <t xml:space="preserve">Hegelmann Litauen</t>
  </si>
  <si>
    <t xml:space="preserve">Universitatea Craiova</t>
  </si>
  <si>
    <t xml:space="preserve">KR Reykjavik</t>
  </si>
  <si>
    <t xml:space="preserve">CA Atenas</t>
  </si>
  <si>
    <t xml:space="preserve">Huracan DPA</t>
  </si>
  <si>
    <t xml:space="preserve">Melgar</t>
  </si>
  <si>
    <t xml:space="preserve">O'Higgins</t>
  </si>
  <si>
    <t xml:space="preserve">Guabirá</t>
  </si>
  <si>
    <t xml:space="preserve">Blooming</t>
  </si>
  <si>
    <t xml:space="preserve">UMECIT</t>
  </si>
  <si>
    <t xml:space="preserve">Real Tomayapo</t>
  </si>
  <si>
    <t xml:space="preserve">Always Ready</t>
  </si>
  <si>
    <t xml:space="preserve">FK Transinvest</t>
  </si>
  <si>
    <t xml:space="preserve">San Jose de Oruro</t>
  </si>
  <si>
    <t xml:space="preserve">Oriente Petrolero</t>
  </si>
  <si>
    <t xml:space="preserve">Cúcuta Deportivo</t>
  </si>
  <si>
    <t xml:space="preserve">San Antonio Bulo Bulo</t>
  </si>
  <si>
    <t xml:space="preserve">The Strongest</t>
  </si>
  <si>
    <t xml:space="preserve">Universidad Católica</t>
  </si>
  <si>
    <t xml:space="preserve">Real Potosí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</si>
</sst>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_-\$* #,##0.00_-;&quot;-$&quot;* #,##0.00_-;_-\$* \-??_-;_-@_-"/>
    <numFmt numFmtId="167" formatCode="h:mm"/>
    <numFmt numFmtId="168" formatCode="General"/>
    <numFmt numFmtId="169" formatCode="_-* #,##0.00_-;\-* #,##0.00_-;_-* \-??_-;_-@_-"/>
    <numFmt numFmtId="170" formatCode="m/d/yyyy"/>
    <numFmt numFmtId="171" formatCode="[$-F400]h:mm:ss\ AM/PM"/>
    <numFmt numFmtId="172" formatCode="0.00%"/>
  </numFmts>
  <fonts count="10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9"/>
        <bgColor rgb="FF808000"/>
      </patternFill>
    </fill>
    <fill>
      <patternFill patternType="solid">
        <fgColor theme="4"/>
        <bgColor rgb="FF008080"/>
      </patternFill>
    </fill>
    <fill>
      <patternFill patternType="solid">
        <fgColor theme="5" tint="0.7998"/>
        <bgColor rgb="FFE8E8E8"/>
      </patternFill>
    </fill>
    <fill>
      <patternFill patternType="solid">
        <fgColor theme="7" tint="0.7998"/>
        <bgColor rgb="FFC6EFCE"/>
      </patternFill>
    </fill>
    <fill>
      <patternFill patternType="solid">
        <fgColor theme="2"/>
        <bgColor rgb="FFFBE3D6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9" fontId="5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5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applyFont="true" applyBorder="tru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6" borderId="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6" borderId="5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6" borderId="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6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7" borderId="5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te 2" xfId="22"/>
  </cellStyles>
  <dxfs count="25">
    <dxf>
      <fill>
        <patternFill patternType="solid">
          <fgColor rgb="FF15608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CAEEFB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156082"/>
      <rgbColor rgb="FFB2B2B2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6EFCE"/>
      <rgbColor rgb="FFFBE3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390" activeCellId="0" sqref="B390"/>
    </sheetView>
  </sheetViews>
  <sheetFormatPr defaultColWidth="8.71484375" defaultRowHeight="15" zeroHeight="true" outlineLevelRow="0" outlineLevelCol="1"/>
  <cols>
    <col collapsed="false" customWidth="true" hidden="false" outlineLevel="0" max="1" min="1" style="1" width="3.15"/>
    <col collapsed="false" customWidth="true" hidden="false" outlineLevel="0" max="2" min="2" style="1" width="24.14"/>
    <col collapsed="false" customWidth="true" hidden="false" outlineLevel="0" max="3" min="3" style="1" width="10.43"/>
    <col collapsed="false" customWidth="true" hidden="false" outlineLevel="0" max="4" min="4" style="1" width="11.82"/>
    <col collapsed="false" customWidth="true" hidden="false" outlineLevel="0" max="5" min="5" style="1" width="20.14"/>
    <col collapsed="false" customWidth="true" hidden="false" outlineLevel="0" max="6" min="6" style="1" width="19.15"/>
    <col collapsed="false" customWidth="true" hidden="true" outlineLevel="1" max="7" min="7" style="2" width="8.29"/>
    <col collapsed="false" customWidth="true" hidden="true" outlineLevel="1" max="10" min="8" style="1" width="5"/>
    <col collapsed="false" customWidth="true" hidden="true" outlineLevel="1" max="13" min="11" style="1" width="5.3"/>
    <col collapsed="false" customWidth="true" hidden="true" outlineLevel="1" max="14" min="14" style="1" width="6.7"/>
    <col collapsed="false" customWidth="true" hidden="true" outlineLevel="1" max="15" min="15" style="1" width="7"/>
    <col collapsed="false" customWidth="true" hidden="true" outlineLevel="1" max="16" min="16" style="1" width="6.7"/>
    <col collapsed="false" customWidth="true" hidden="true" outlineLevel="1" max="17" min="17" style="1" width="15.43"/>
    <col collapsed="false" customWidth="true" hidden="true" outlineLevel="1" max="18" min="18" style="1" width="12.72"/>
    <col collapsed="false" customWidth="true" hidden="false" outlineLevel="0" max="19" min="19" style="1" width="7.72"/>
    <col collapsed="false" customWidth="true" hidden="false" outlineLevel="0" max="21" min="20" style="1" width="7.43"/>
    <col collapsed="false" customWidth="true" hidden="false" outlineLevel="0" max="22" min="22" style="1" width="9.71"/>
    <col collapsed="false" customWidth="true" hidden="false" outlineLevel="0" max="23" min="23" style="1" width="11"/>
    <col collapsed="false" customWidth="true" hidden="true" outlineLevel="1" max="25" min="24" style="1" width="11"/>
    <col collapsed="false" customWidth="true" hidden="false" outlineLevel="0" max="26" min="26" style="1" width="7.43"/>
    <col collapsed="false" customWidth="true" hidden="true" outlineLevel="0" max="27" min="27" style="1" width="5.43"/>
    <col collapsed="false" customWidth="true" hidden="false" outlineLevel="0" max="29" min="28" style="1" width="5.71"/>
    <col collapsed="false" customWidth="true" hidden="false" outlineLevel="0" max="30" min="30" style="1" width="7.74"/>
    <col collapsed="false" customWidth="true" hidden="false" outlineLevel="0" max="32" min="31" style="1" width="4.29"/>
    <col collapsed="false" customWidth="true" hidden="false" outlineLevel="0" max="33" min="33" style="1" width="9.71"/>
    <col collapsed="false" customWidth="true" hidden="false" outlineLevel="0" max="34" min="34" style="3" width="9.71"/>
  </cols>
  <sheetData>
    <row r="1" customFormat="false" ht="15" hidden="false" customHeight="false" outlineLevel="0" collapsed="false">
      <c r="AH1" s="4" t="s">
        <v>0</v>
      </c>
      <c r="AI1" s="5" t="n">
        <v>1</v>
      </c>
    </row>
    <row r="2" customFormat="false" ht="15" hidden="false" customHeight="false" outlineLevel="0" collapsed="false">
      <c r="AA2" s="3"/>
      <c r="AB2" s="3"/>
      <c r="AC2" s="3"/>
      <c r="AD2" s="3"/>
      <c r="AE2" s="3"/>
      <c r="AF2" s="3"/>
    </row>
    <row r="3" customFormat="false" ht="15" hidden="false" customHeight="false" outlineLevel="0" collapsed="false">
      <c r="A3" s="6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8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  <c r="Q3" s="7" t="s">
        <v>17</v>
      </c>
      <c r="R3" s="7" t="s">
        <v>18</v>
      </c>
      <c r="S3" s="7" t="s">
        <v>19</v>
      </c>
      <c r="T3" s="7" t="s">
        <v>20</v>
      </c>
      <c r="U3" s="7" t="s">
        <v>21</v>
      </c>
      <c r="V3" s="7" t="s">
        <v>22</v>
      </c>
      <c r="W3" s="7" t="s">
        <v>23</v>
      </c>
      <c r="X3" s="9" t="s">
        <v>24</v>
      </c>
      <c r="Y3" s="9" t="s">
        <v>25</v>
      </c>
      <c r="Z3" s="10" t="s">
        <v>26</v>
      </c>
      <c r="AA3" s="10" t="s">
        <v>27</v>
      </c>
      <c r="AB3" s="11" t="s">
        <v>19</v>
      </c>
      <c r="AC3" s="11" t="s">
        <v>20</v>
      </c>
      <c r="AD3" s="11" t="s">
        <v>21</v>
      </c>
      <c r="AE3" s="11" t="s">
        <v>28</v>
      </c>
      <c r="AF3" s="11" t="s">
        <v>29</v>
      </c>
      <c r="AG3" s="11" t="s">
        <v>30</v>
      </c>
      <c r="AH3" s="12" t="s">
        <v>0</v>
      </c>
      <c r="AI3" s="11" t="s">
        <v>31</v>
      </c>
    </row>
    <row r="4" customFormat="false" ht="16.4" hidden="true" customHeight="false" outlineLevel="0" collapsed="false">
      <c r="B4" s="1" t="s">
        <v>32</v>
      </c>
      <c r="C4" s="1" t="s">
        <v>33</v>
      </c>
      <c r="D4" s="13" t="n">
        <v>0.9375</v>
      </c>
      <c r="E4" s="14" t="s">
        <v>34</v>
      </c>
      <c r="F4" s="14" t="s">
        <v>35</v>
      </c>
      <c r="H4" s="1" t="n">
        <v>45.4</v>
      </c>
      <c r="I4" s="1" t="n">
        <v>28.7</v>
      </c>
      <c r="J4" s="1" t="n">
        <v>25.9</v>
      </c>
      <c r="K4" s="1" t="n">
        <v>74.1</v>
      </c>
      <c r="L4" s="1" t="n">
        <v>54.6</v>
      </c>
      <c r="M4" s="1" t="n">
        <v>71.3</v>
      </c>
      <c r="N4" s="1" t="n">
        <v>31.3</v>
      </c>
      <c r="O4" s="1" t="n">
        <v>46.7</v>
      </c>
      <c r="P4" s="1" t="n">
        <v>22</v>
      </c>
      <c r="Q4" s="1" t="n">
        <v>64.4</v>
      </c>
      <c r="R4" s="1" t="n">
        <v>73.2</v>
      </c>
      <c r="S4" s="1" t="n">
        <v>46.5</v>
      </c>
      <c r="T4" s="1" t="n">
        <v>53.5</v>
      </c>
      <c r="U4" s="1" t="n">
        <v>59.4</v>
      </c>
      <c r="V4" s="1" t="n">
        <v>51.7</v>
      </c>
      <c r="W4" s="1" t="n">
        <v>48.3</v>
      </c>
      <c r="X4" s="15" t="n">
        <f aca="false">100-R4</f>
        <v>26.8</v>
      </c>
      <c r="Y4" s="15" t="n">
        <f aca="false">100-U4</f>
        <v>40.6</v>
      </c>
      <c r="Z4" s="14" t="s">
        <v>36</v>
      </c>
      <c r="AB4" s="16" t="n">
        <f aca="false">1/S4*100</f>
        <v>2.1505376344086</v>
      </c>
      <c r="AC4" s="16" t="n">
        <f aca="false">1/T4*100</f>
        <v>1.86915887850467</v>
      </c>
      <c r="AD4" s="16" t="n">
        <f aca="false">1/U4*100</f>
        <v>1.68350168350168</v>
      </c>
      <c r="AE4" s="16" t="n">
        <f aca="false">1/V4*100</f>
        <v>1.93423597678917</v>
      </c>
      <c r="AF4" s="16" t="n">
        <f aca="false">1/W4*100</f>
        <v>2.0703933747412</v>
      </c>
    </row>
    <row r="5" customFormat="false" ht="16.4" hidden="true" customHeight="false" outlineLevel="0" collapsed="false">
      <c r="B5" s="1" t="s">
        <v>37</v>
      </c>
      <c r="C5" s="1" t="s">
        <v>38</v>
      </c>
      <c r="D5" s="13" t="n">
        <v>0.3125</v>
      </c>
      <c r="E5" s="14" t="s">
        <v>39</v>
      </c>
      <c r="F5" s="14" t="s">
        <v>40</v>
      </c>
      <c r="H5" s="1" t="n">
        <v>30.6</v>
      </c>
      <c r="I5" s="1" t="n">
        <v>27.1</v>
      </c>
      <c r="J5" s="1" t="n">
        <v>42.3</v>
      </c>
      <c r="K5" s="1" t="n">
        <v>57.7</v>
      </c>
      <c r="L5" s="1" t="n">
        <v>69.4</v>
      </c>
      <c r="M5" s="1" t="n">
        <v>72.9</v>
      </c>
      <c r="N5" s="1" t="n">
        <v>29</v>
      </c>
      <c r="O5" s="1" t="n">
        <v>42.3</v>
      </c>
      <c r="P5" s="1" t="n">
        <v>28.7</v>
      </c>
      <c r="Q5" s="1" t="n">
        <v>71.7</v>
      </c>
      <c r="R5" s="1" t="n">
        <v>82.4</v>
      </c>
      <c r="S5" s="1" t="n">
        <v>59.6</v>
      </c>
      <c r="T5" s="1" t="n">
        <v>40.4</v>
      </c>
      <c r="U5" s="1" t="n">
        <v>46.1</v>
      </c>
      <c r="V5" s="1" t="n">
        <v>62.7</v>
      </c>
      <c r="W5" s="1" t="n">
        <v>37.3</v>
      </c>
      <c r="Z5" s="14" t="s">
        <v>22</v>
      </c>
    </row>
    <row r="6" customFormat="false" ht="16.4" hidden="true" customHeight="false" outlineLevel="0" collapsed="false">
      <c r="B6" s="1" t="s">
        <v>37</v>
      </c>
      <c r="C6" s="1" t="s">
        <v>38</v>
      </c>
      <c r="D6" s="13" t="n">
        <v>0.3125</v>
      </c>
      <c r="E6" s="14" t="s">
        <v>41</v>
      </c>
      <c r="F6" s="14" t="s">
        <v>42</v>
      </c>
      <c r="H6" s="1" t="n">
        <v>38.7</v>
      </c>
      <c r="I6" s="1" t="n">
        <v>28.8</v>
      </c>
      <c r="J6" s="1" t="n">
        <v>32.5</v>
      </c>
      <c r="K6" s="1" t="n">
        <v>67.5</v>
      </c>
      <c r="L6" s="1" t="n">
        <v>61.3</v>
      </c>
      <c r="M6" s="1" t="n">
        <v>71.2</v>
      </c>
      <c r="N6" s="1" t="n">
        <v>35.5</v>
      </c>
      <c r="O6" s="1" t="n">
        <v>45.4</v>
      </c>
      <c r="P6" s="1" t="n">
        <v>19.1</v>
      </c>
      <c r="Q6" s="1" t="n">
        <v>65.6</v>
      </c>
      <c r="R6" s="1" t="n">
        <v>75.8</v>
      </c>
      <c r="S6" s="1" t="n">
        <v>49.9</v>
      </c>
      <c r="T6" s="1" t="n">
        <v>50.1</v>
      </c>
      <c r="U6" s="1" t="n">
        <v>55.7</v>
      </c>
      <c r="V6" s="1" t="n">
        <v>55.5</v>
      </c>
      <c r="W6" s="1" t="n">
        <v>44.5</v>
      </c>
      <c r="Z6" s="14" t="s">
        <v>36</v>
      </c>
    </row>
    <row r="7" customFormat="false" ht="16.4" hidden="true" customHeight="false" outlineLevel="0" collapsed="false">
      <c r="B7" s="1" t="s">
        <v>43</v>
      </c>
      <c r="C7" s="1" t="s">
        <v>38</v>
      </c>
      <c r="D7" s="13" t="n">
        <v>0.357638888888889</v>
      </c>
      <c r="E7" s="14" t="s">
        <v>44</v>
      </c>
      <c r="F7" s="14" t="s">
        <v>45</v>
      </c>
      <c r="H7" s="1" t="n">
        <v>36.9</v>
      </c>
      <c r="I7" s="1" t="n">
        <v>26.8</v>
      </c>
      <c r="J7" s="1" t="n">
        <v>36.3</v>
      </c>
      <c r="K7" s="1" t="n">
        <v>63.7</v>
      </c>
      <c r="L7" s="1" t="n">
        <v>63.1</v>
      </c>
      <c r="M7" s="1" t="n">
        <v>73.2</v>
      </c>
      <c r="N7" s="1" t="n">
        <v>20.4</v>
      </c>
      <c r="O7" s="1" t="n">
        <v>45.4</v>
      </c>
      <c r="P7" s="1" t="n">
        <v>34.2</v>
      </c>
      <c r="Q7" s="1" t="n">
        <v>66.3</v>
      </c>
      <c r="R7" s="1" t="n">
        <v>83.6</v>
      </c>
      <c r="S7" s="1" t="n">
        <v>61.5</v>
      </c>
      <c r="T7" s="1" t="n">
        <v>38.5</v>
      </c>
      <c r="U7" s="1" t="n">
        <v>44.1</v>
      </c>
      <c r="V7" s="1" t="n">
        <v>64.6</v>
      </c>
      <c r="W7" s="1" t="n">
        <v>35.4</v>
      </c>
      <c r="Z7" s="14" t="s">
        <v>36</v>
      </c>
    </row>
    <row r="8" customFormat="false" ht="16.4" hidden="true" customHeight="false" outlineLevel="0" collapsed="false">
      <c r="B8" s="1" t="s">
        <v>43</v>
      </c>
      <c r="C8" s="1" t="s">
        <v>38</v>
      </c>
      <c r="D8" s="13" t="n">
        <v>0.357638888888889</v>
      </c>
      <c r="E8" s="14" t="s">
        <v>46</v>
      </c>
      <c r="F8" s="14" t="s">
        <v>47</v>
      </c>
      <c r="H8" s="1" t="n">
        <v>47.5</v>
      </c>
      <c r="I8" s="1" t="n">
        <v>25.1</v>
      </c>
      <c r="J8" s="1" t="n">
        <v>27.4</v>
      </c>
      <c r="K8" s="1" t="n">
        <v>72.6</v>
      </c>
      <c r="L8" s="1" t="n">
        <v>52.5</v>
      </c>
      <c r="M8" s="1" t="n">
        <v>74.9</v>
      </c>
      <c r="N8" s="1" t="n">
        <v>36.4</v>
      </c>
      <c r="O8" s="1" t="n">
        <v>36.9</v>
      </c>
      <c r="P8" s="1" t="n">
        <v>26.7</v>
      </c>
      <c r="Q8" s="1" t="n">
        <v>79.6</v>
      </c>
      <c r="R8" s="1" t="n">
        <v>88</v>
      </c>
      <c r="S8" s="1" t="n">
        <v>69.2</v>
      </c>
      <c r="T8" s="1" t="n">
        <v>30.8</v>
      </c>
      <c r="U8" s="1" t="n">
        <v>36.5</v>
      </c>
      <c r="V8" s="1" t="n">
        <v>69.4</v>
      </c>
      <c r="W8" s="1" t="n">
        <v>30.6</v>
      </c>
      <c r="Z8" s="14" t="s">
        <v>48</v>
      </c>
    </row>
    <row r="9" customFormat="false" ht="16.4" hidden="true" customHeight="false" outlineLevel="0" collapsed="false">
      <c r="B9" s="1" t="s">
        <v>43</v>
      </c>
      <c r="C9" s="1" t="s">
        <v>38</v>
      </c>
      <c r="D9" s="13" t="n">
        <v>0.375</v>
      </c>
      <c r="E9" s="14" t="s">
        <v>49</v>
      </c>
      <c r="F9" s="14" t="s">
        <v>50</v>
      </c>
      <c r="H9" s="1" t="n">
        <v>37.2</v>
      </c>
      <c r="I9" s="1" t="n">
        <v>27.4</v>
      </c>
      <c r="J9" s="1" t="n">
        <v>35.4</v>
      </c>
      <c r="K9" s="1" t="n">
        <v>64.6</v>
      </c>
      <c r="L9" s="1" t="n">
        <v>62.8</v>
      </c>
      <c r="M9" s="1" t="n">
        <v>72.6</v>
      </c>
      <c r="N9" s="1" t="n">
        <v>32.2</v>
      </c>
      <c r="O9" s="1" t="n">
        <v>41.7</v>
      </c>
      <c r="P9" s="1" t="n">
        <v>26.1</v>
      </c>
      <c r="Q9" s="1" t="n">
        <v>72.4</v>
      </c>
      <c r="R9" s="1" t="n">
        <v>81.1</v>
      </c>
      <c r="S9" s="1" t="n">
        <v>57.6</v>
      </c>
      <c r="T9" s="1" t="n">
        <v>42.4</v>
      </c>
      <c r="U9" s="1" t="n">
        <v>48</v>
      </c>
      <c r="V9" s="1" t="n">
        <v>61.6</v>
      </c>
      <c r="W9" s="1" t="n">
        <v>38.4</v>
      </c>
      <c r="Z9" s="14" t="s">
        <v>36</v>
      </c>
    </row>
    <row r="10" customFormat="false" ht="16.4" hidden="true" customHeight="false" outlineLevel="0" collapsed="false">
      <c r="B10" s="1" t="s">
        <v>51</v>
      </c>
      <c r="C10" s="1" t="s">
        <v>38</v>
      </c>
      <c r="D10" s="13" t="n">
        <v>0.416666666666667</v>
      </c>
      <c r="E10" s="14" t="s">
        <v>52</v>
      </c>
      <c r="F10" s="14" t="s">
        <v>53</v>
      </c>
      <c r="H10" s="1" t="n">
        <v>50.4</v>
      </c>
      <c r="I10" s="1" t="n">
        <v>26.3</v>
      </c>
      <c r="J10" s="1" t="n">
        <v>23.2</v>
      </c>
      <c r="K10" s="1" t="n">
        <v>76.8</v>
      </c>
      <c r="L10" s="1" t="n">
        <v>49.6</v>
      </c>
      <c r="M10" s="1" t="n">
        <v>73.7</v>
      </c>
      <c r="N10" s="1" t="n">
        <v>25.4</v>
      </c>
      <c r="O10" s="1" t="n">
        <v>48.9</v>
      </c>
      <c r="P10" s="1" t="n">
        <v>25.7</v>
      </c>
      <c r="Q10" s="1" t="n">
        <v>61.6</v>
      </c>
      <c r="R10" s="1" t="n">
        <v>79.3</v>
      </c>
      <c r="S10" s="1" t="n">
        <v>54.9</v>
      </c>
      <c r="T10" s="1" t="n">
        <v>45.1</v>
      </c>
      <c r="U10" s="1" t="n">
        <v>51.5</v>
      </c>
      <c r="V10" s="1" t="n">
        <v>57.2</v>
      </c>
      <c r="W10" s="1" t="n">
        <v>42.8</v>
      </c>
      <c r="Z10" s="14" t="s">
        <v>54</v>
      </c>
    </row>
    <row r="11" customFormat="false" ht="16.4" hidden="true" customHeight="false" outlineLevel="0" collapsed="false">
      <c r="B11" s="1" t="s">
        <v>55</v>
      </c>
      <c r="C11" s="1" t="s">
        <v>38</v>
      </c>
      <c r="D11" s="13" t="n">
        <v>0.458333333333333</v>
      </c>
      <c r="E11" s="14" t="s">
        <v>56</v>
      </c>
      <c r="F11" s="14" t="s">
        <v>57</v>
      </c>
      <c r="H11" s="1" t="n">
        <v>62.9</v>
      </c>
      <c r="I11" s="1" t="n">
        <v>22.7</v>
      </c>
      <c r="J11" s="1" t="n">
        <v>14.4</v>
      </c>
      <c r="K11" s="1" t="n">
        <v>85.6</v>
      </c>
      <c r="L11" s="1" t="n">
        <v>37.1</v>
      </c>
      <c r="M11" s="1" t="n">
        <v>77.3</v>
      </c>
      <c r="N11" s="1" t="n">
        <v>46.1</v>
      </c>
      <c r="O11" s="1" t="n">
        <v>33.8</v>
      </c>
      <c r="P11" s="1" t="n">
        <v>20</v>
      </c>
      <c r="Q11" s="1" t="n">
        <v>82.2</v>
      </c>
      <c r="R11" s="1" t="n">
        <v>84.5</v>
      </c>
      <c r="S11" s="1" t="n">
        <v>63.3</v>
      </c>
      <c r="T11" s="1" t="n">
        <v>36.7</v>
      </c>
      <c r="U11" s="1" t="n">
        <v>44.9</v>
      </c>
      <c r="V11" s="1" t="n">
        <v>58.1</v>
      </c>
      <c r="W11" s="1" t="n">
        <v>41.9</v>
      </c>
      <c r="Z11" s="14" t="s">
        <v>54</v>
      </c>
    </row>
    <row r="12" customFormat="false" ht="16.4" hidden="true" customHeight="false" outlineLevel="0" collapsed="false">
      <c r="B12" s="1" t="s">
        <v>55</v>
      </c>
      <c r="C12" s="1" t="s">
        <v>38</v>
      </c>
      <c r="D12" s="13" t="n">
        <v>0.458333333333333</v>
      </c>
      <c r="E12" s="14" t="s">
        <v>58</v>
      </c>
      <c r="F12" s="14" t="s">
        <v>59</v>
      </c>
      <c r="H12" s="1" t="n">
        <v>18.2</v>
      </c>
      <c r="I12" s="1" t="n">
        <v>27.8</v>
      </c>
      <c r="J12" s="1" t="n">
        <v>54</v>
      </c>
      <c r="K12" s="1" t="n">
        <v>46</v>
      </c>
      <c r="L12" s="1" t="n">
        <v>81.8</v>
      </c>
      <c r="M12" s="1" t="n">
        <v>72.2</v>
      </c>
      <c r="N12" s="1" t="n">
        <v>24</v>
      </c>
      <c r="O12" s="1" t="n">
        <v>47.3</v>
      </c>
      <c r="P12" s="1" t="n">
        <v>28.7</v>
      </c>
      <c r="Q12" s="1" t="n">
        <v>64</v>
      </c>
      <c r="R12" s="1" t="n">
        <v>75.1</v>
      </c>
      <c r="S12" s="1" t="n">
        <v>49.1</v>
      </c>
      <c r="T12" s="1" t="n">
        <v>50.9</v>
      </c>
      <c r="U12" s="1" t="n">
        <v>58</v>
      </c>
      <c r="V12" s="1" t="n">
        <v>50.4</v>
      </c>
      <c r="W12" s="1" t="n">
        <v>49.6</v>
      </c>
      <c r="Z12" s="14" t="s">
        <v>54</v>
      </c>
    </row>
    <row r="13" customFormat="false" ht="16.4" hidden="true" customHeight="false" outlineLevel="0" collapsed="false">
      <c r="B13" s="1" t="s">
        <v>55</v>
      </c>
      <c r="C13" s="1" t="s">
        <v>38</v>
      </c>
      <c r="D13" s="13" t="n">
        <v>0.458333333333333</v>
      </c>
      <c r="E13" s="14" t="s">
        <v>60</v>
      </c>
      <c r="F13" s="14" t="s">
        <v>61</v>
      </c>
      <c r="H13" s="1" t="n">
        <v>40.9</v>
      </c>
      <c r="I13" s="1" t="n">
        <v>26.8</v>
      </c>
      <c r="J13" s="1" t="n">
        <v>32.3</v>
      </c>
      <c r="K13" s="1" t="n">
        <v>67.7</v>
      </c>
      <c r="L13" s="1" t="n">
        <v>59.1</v>
      </c>
      <c r="M13" s="1" t="n">
        <v>73.2</v>
      </c>
      <c r="N13" s="1" t="n">
        <v>21</v>
      </c>
      <c r="O13" s="1" t="n">
        <v>45</v>
      </c>
      <c r="P13" s="1" t="n">
        <v>34</v>
      </c>
      <c r="Q13" s="1" t="n">
        <v>67.1</v>
      </c>
      <c r="R13" s="1" t="n">
        <v>82.5</v>
      </c>
      <c r="S13" s="1" t="n">
        <v>59.7</v>
      </c>
      <c r="T13" s="1" t="n">
        <v>40.3</v>
      </c>
      <c r="U13" s="1" t="n">
        <v>45.9</v>
      </c>
      <c r="V13" s="1" t="n">
        <v>63</v>
      </c>
      <c r="W13" s="1" t="n">
        <v>37</v>
      </c>
      <c r="Z13" s="14" t="s">
        <v>54</v>
      </c>
    </row>
    <row r="14" customFormat="false" ht="16.4" hidden="true" customHeight="false" outlineLevel="0" collapsed="false">
      <c r="B14" s="1" t="s">
        <v>62</v>
      </c>
      <c r="C14" s="1" t="s">
        <v>38</v>
      </c>
      <c r="D14" s="13" t="n">
        <v>0.5</v>
      </c>
      <c r="E14" s="14" t="s">
        <v>63</v>
      </c>
      <c r="F14" s="14" t="s">
        <v>64</v>
      </c>
      <c r="H14" s="1" t="n">
        <v>61.3</v>
      </c>
      <c r="I14" s="1" t="n">
        <v>24.3</v>
      </c>
      <c r="J14" s="1" t="n">
        <v>14.5</v>
      </c>
      <c r="K14" s="1" t="n">
        <v>85.5</v>
      </c>
      <c r="L14" s="1" t="n">
        <v>38.7</v>
      </c>
      <c r="M14" s="1" t="n">
        <v>75.7</v>
      </c>
      <c r="N14" s="1" t="n">
        <v>47.2</v>
      </c>
      <c r="O14" s="1" t="n">
        <v>35.9</v>
      </c>
      <c r="P14" s="1" t="n">
        <v>16.9</v>
      </c>
      <c r="Q14" s="1" t="n">
        <v>77.8</v>
      </c>
      <c r="R14" s="1" t="n">
        <v>76.2</v>
      </c>
      <c r="S14" s="1" t="n">
        <v>50.6</v>
      </c>
      <c r="T14" s="1" t="n">
        <v>49.4</v>
      </c>
      <c r="U14" s="1" t="n">
        <v>57.7</v>
      </c>
      <c r="V14" s="1" t="n">
        <v>48.3</v>
      </c>
      <c r="W14" s="1" t="n">
        <v>51.7</v>
      </c>
      <c r="Z14" s="14" t="s">
        <v>54</v>
      </c>
    </row>
    <row r="15" customFormat="false" ht="16.4" hidden="true" customHeight="false" outlineLevel="0" collapsed="false">
      <c r="B15" s="1" t="s">
        <v>51</v>
      </c>
      <c r="C15" s="1" t="s">
        <v>38</v>
      </c>
      <c r="D15" s="13" t="n">
        <v>0.5</v>
      </c>
      <c r="E15" s="14" t="s">
        <v>65</v>
      </c>
      <c r="F15" s="14" t="s">
        <v>66</v>
      </c>
      <c r="H15" s="1" t="n">
        <v>49.2</v>
      </c>
      <c r="I15" s="1" t="n">
        <v>26.6</v>
      </c>
      <c r="J15" s="1" t="n">
        <v>24.2</v>
      </c>
      <c r="K15" s="1" t="n">
        <v>75.8</v>
      </c>
      <c r="L15" s="1" t="n">
        <v>50.8</v>
      </c>
      <c r="M15" s="1" t="n">
        <v>73.4</v>
      </c>
      <c r="N15" s="1" t="n">
        <v>35.2</v>
      </c>
      <c r="O15" s="1" t="n">
        <v>44.6</v>
      </c>
      <c r="P15" s="1" t="n">
        <v>20.2</v>
      </c>
      <c r="Q15" s="1" t="n">
        <v>67</v>
      </c>
      <c r="R15" s="1" t="n">
        <v>79</v>
      </c>
      <c r="S15" s="1" t="n">
        <v>54.4</v>
      </c>
      <c r="T15" s="1" t="n">
        <v>45.6</v>
      </c>
      <c r="U15" s="1" t="n">
        <v>51.8</v>
      </c>
      <c r="V15" s="1" t="n">
        <v>57.2</v>
      </c>
      <c r="W15" s="1" t="n">
        <v>42.8</v>
      </c>
      <c r="Z15" s="14" t="s">
        <v>54</v>
      </c>
    </row>
    <row r="16" customFormat="false" ht="16.4" hidden="true" customHeight="false" outlineLevel="0" collapsed="false">
      <c r="B16" s="1" t="s">
        <v>67</v>
      </c>
      <c r="C16" s="1" t="s">
        <v>38</v>
      </c>
      <c r="D16" s="13" t="n">
        <v>0.5</v>
      </c>
      <c r="E16" s="14" t="s">
        <v>68</v>
      </c>
      <c r="F16" s="14" t="s">
        <v>69</v>
      </c>
      <c r="H16" s="1" t="n">
        <v>24</v>
      </c>
      <c r="I16" s="1" t="n">
        <v>28.7</v>
      </c>
      <c r="J16" s="1" t="n">
        <v>47.4</v>
      </c>
      <c r="K16" s="1" t="n">
        <v>52.6</v>
      </c>
      <c r="L16" s="1" t="n">
        <v>76</v>
      </c>
      <c r="M16" s="1" t="n">
        <v>71.3</v>
      </c>
      <c r="N16" s="1" t="n">
        <v>15.3</v>
      </c>
      <c r="O16" s="1" t="n">
        <v>44.1</v>
      </c>
      <c r="P16" s="1" t="n">
        <v>40.5</v>
      </c>
      <c r="Q16" s="1" t="n">
        <v>66.7</v>
      </c>
      <c r="R16" s="1" t="n">
        <v>75.4</v>
      </c>
      <c r="S16" s="1" t="n">
        <v>49.4</v>
      </c>
      <c r="T16" s="1" t="n">
        <v>50.6</v>
      </c>
      <c r="U16" s="1" t="n">
        <v>56.7</v>
      </c>
      <c r="V16" s="1" t="n">
        <v>53.4</v>
      </c>
      <c r="W16" s="1" t="n">
        <v>46.6</v>
      </c>
      <c r="Z16" s="14" t="s">
        <v>54</v>
      </c>
    </row>
    <row r="17" customFormat="false" ht="16.4" hidden="true" customHeight="false" outlineLevel="0" collapsed="false">
      <c r="B17" s="1" t="s">
        <v>70</v>
      </c>
      <c r="C17" s="1" t="s">
        <v>38</v>
      </c>
      <c r="D17" s="13" t="n">
        <v>0.5</v>
      </c>
      <c r="E17" s="14" t="s">
        <v>71</v>
      </c>
      <c r="F17" s="14" t="s">
        <v>72</v>
      </c>
      <c r="H17" s="1" t="n">
        <v>21.1</v>
      </c>
      <c r="I17" s="1" t="n">
        <v>31.2</v>
      </c>
      <c r="J17" s="1" t="n">
        <v>47.7</v>
      </c>
      <c r="K17" s="1" t="n">
        <v>52.3</v>
      </c>
      <c r="L17" s="1" t="n">
        <v>78.9</v>
      </c>
      <c r="M17" s="1" t="n">
        <v>68.8</v>
      </c>
      <c r="N17" s="1" t="n">
        <v>8.3</v>
      </c>
      <c r="O17" s="1" t="n">
        <v>44.3</v>
      </c>
      <c r="P17" s="1" t="n">
        <v>47.3</v>
      </c>
      <c r="Q17" s="1" t="n">
        <v>62.8</v>
      </c>
      <c r="R17" s="1" t="n">
        <v>66.3</v>
      </c>
      <c r="S17" s="1" t="n">
        <v>38.3</v>
      </c>
      <c r="T17" s="1" t="n">
        <v>61.7</v>
      </c>
      <c r="U17" s="1" t="n">
        <v>67.6</v>
      </c>
      <c r="V17" s="1" t="n">
        <v>43.7</v>
      </c>
      <c r="W17" s="1" t="n">
        <v>56.3</v>
      </c>
      <c r="Z17" s="14" t="s">
        <v>36</v>
      </c>
    </row>
    <row r="18" customFormat="false" ht="16.4" hidden="true" customHeight="false" outlineLevel="0" collapsed="false">
      <c r="B18" s="1" t="s">
        <v>73</v>
      </c>
      <c r="C18" s="1" t="s">
        <v>38</v>
      </c>
      <c r="D18" s="13" t="n">
        <v>0.520833333333333</v>
      </c>
      <c r="E18" s="14" t="s">
        <v>74</v>
      </c>
      <c r="F18" s="14" t="s">
        <v>75</v>
      </c>
      <c r="H18" s="1" t="n">
        <v>45.4</v>
      </c>
      <c r="I18" s="1" t="n">
        <v>28.4</v>
      </c>
      <c r="J18" s="1" t="n">
        <v>26.2</v>
      </c>
      <c r="K18" s="1" t="n">
        <v>73.8</v>
      </c>
      <c r="L18" s="1" t="n">
        <v>54.6</v>
      </c>
      <c r="M18" s="1" t="n">
        <v>71.6</v>
      </c>
      <c r="N18" s="1" t="n">
        <v>36.8</v>
      </c>
      <c r="O18" s="1" t="n">
        <v>44.6</v>
      </c>
      <c r="P18" s="1" t="n">
        <v>18.6</v>
      </c>
      <c r="Q18" s="1" t="n">
        <v>66.5</v>
      </c>
      <c r="R18" s="1" t="n">
        <v>74.1</v>
      </c>
      <c r="S18" s="1" t="n">
        <v>47.7</v>
      </c>
      <c r="T18" s="1" t="n">
        <v>52.3</v>
      </c>
      <c r="U18" s="1" t="n">
        <v>58.2</v>
      </c>
      <c r="V18" s="1" t="n">
        <v>52.7</v>
      </c>
      <c r="W18" s="1" t="n">
        <v>47.3</v>
      </c>
      <c r="Z18" s="14" t="s">
        <v>54</v>
      </c>
    </row>
    <row r="19" customFormat="false" ht="16.4" hidden="true" customHeight="false" outlineLevel="0" collapsed="false">
      <c r="B19" s="1" t="s">
        <v>73</v>
      </c>
      <c r="C19" s="1" t="s">
        <v>38</v>
      </c>
      <c r="D19" s="13" t="n">
        <v>0.520833333333333</v>
      </c>
      <c r="E19" s="14" t="s">
        <v>76</v>
      </c>
      <c r="F19" s="14" t="s">
        <v>77</v>
      </c>
      <c r="H19" s="1" t="n">
        <v>41.3</v>
      </c>
      <c r="I19" s="1" t="n">
        <v>27.8</v>
      </c>
      <c r="J19" s="1" t="n">
        <v>30.9</v>
      </c>
      <c r="K19" s="1" t="n">
        <v>69.1</v>
      </c>
      <c r="L19" s="1" t="n">
        <v>58.7</v>
      </c>
      <c r="M19" s="1" t="n">
        <v>72.2</v>
      </c>
      <c r="N19" s="1" t="n">
        <v>31.8</v>
      </c>
      <c r="O19" s="1" t="n">
        <v>42.5</v>
      </c>
      <c r="P19" s="1" t="n">
        <v>25.7</v>
      </c>
      <c r="Q19" s="1" t="n">
        <v>71.1</v>
      </c>
      <c r="R19" s="1" t="n">
        <v>78.5</v>
      </c>
      <c r="S19" s="1" t="n">
        <v>53.7</v>
      </c>
      <c r="T19" s="1" t="n">
        <v>46.3</v>
      </c>
      <c r="U19" s="1" t="n">
        <v>52</v>
      </c>
      <c r="V19" s="1" t="n">
        <v>58.2</v>
      </c>
      <c r="W19" s="1" t="n">
        <v>41.8</v>
      </c>
      <c r="Z19" s="14" t="s">
        <v>54</v>
      </c>
    </row>
    <row r="20" customFormat="false" ht="16.4" hidden="true" customHeight="false" outlineLevel="0" collapsed="false">
      <c r="B20" s="1" t="s">
        <v>78</v>
      </c>
      <c r="C20" s="1" t="s">
        <v>38</v>
      </c>
      <c r="D20" s="13" t="n">
        <v>0.541666666666667</v>
      </c>
      <c r="E20" s="14" t="s">
        <v>79</v>
      </c>
      <c r="F20" s="14" t="s">
        <v>80</v>
      </c>
      <c r="H20" s="1" t="n">
        <v>56.7</v>
      </c>
      <c r="I20" s="1" t="n">
        <v>29.2</v>
      </c>
      <c r="J20" s="1" t="n">
        <v>14.1</v>
      </c>
      <c r="K20" s="1" t="n">
        <v>85.9</v>
      </c>
      <c r="L20" s="1" t="n">
        <v>43.3</v>
      </c>
      <c r="M20" s="1" t="n">
        <v>70.8</v>
      </c>
      <c r="N20" s="1" t="n">
        <v>37.2</v>
      </c>
      <c r="O20" s="1" t="n">
        <v>49.3</v>
      </c>
      <c r="P20" s="1" t="n">
        <v>13.5</v>
      </c>
      <c r="Q20" s="1" t="n">
        <v>58.6</v>
      </c>
      <c r="R20" s="1" t="n">
        <v>59.3</v>
      </c>
      <c r="S20" s="1" t="n">
        <v>31.2</v>
      </c>
      <c r="T20" s="1" t="n">
        <v>68.8</v>
      </c>
      <c r="U20" s="1" t="n">
        <v>75.8</v>
      </c>
      <c r="V20" s="1" t="n">
        <v>33.2</v>
      </c>
      <c r="W20" s="1" t="n">
        <v>66.8</v>
      </c>
      <c r="Z20" s="14" t="s">
        <v>36</v>
      </c>
    </row>
    <row r="21" customFormat="false" ht="16.05" hidden="true" customHeight="false" outlineLevel="0" collapsed="false">
      <c r="B21" s="1" t="s">
        <v>81</v>
      </c>
      <c r="C21" s="1" t="s">
        <v>38</v>
      </c>
      <c r="D21" s="13" t="n">
        <v>0.541666666666667</v>
      </c>
      <c r="E21" s="14" t="s">
        <v>82</v>
      </c>
      <c r="F21" s="14" t="s">
        <v>83</v>
      </c>
      <c r="H21" s="1" t="n">
        <v>44.9</v>
      </c>
      <c r="I21" s="1" t="n">
        <v>26.1</v>
      </c>
      <c r="J21" s="1" t="n">
        <v>29</v>
      </c>
      <c r="K21" s="1" t="n">
        <v>71</v>
      </c>
      <c r="L21" s="1" t="n">
        <v>55.1</v>
      </c>
      <c r="M21" s="1" t="n">
        <v>73.9</v>
      </c>
      <c r="N21" s="1" t="n">
        <v>39</v>
      </c>
      <c r="O21" s="1" t="n">
        <v>42.2</v>
      </c>
      <c r="P21" s="1" t="n">
        <v>18.8</v>
      </c>
      <c r="Q21" s="1" t="n">
        <v>69.9</v>
      </c>
      <c r="R21" s="1" t="n">
        <v>84</v>
      </c>
      <c r="S21" s="1" t="n">
        <v>62.1</v>
      </c>
      <c r="T21" s="1" t="n">
        <v>37.9</v>
      </c>
      <c r="U21" s="1" t="n">
        <v>43.7</v>
      </c>
      <c r="V21" s="1" t="n">
        <v>64.3</v>
      </c>
      <c r="W21" s="1" t="n">
        <v>35.7</v>
      </c>
      <c r="Z21" s="14" t="s">
        <v>48</v>
      </c>
    </row>
    <row r="22" customFormat="false" ht="16.05" hidden="true" customHeight="false" outlineLevel="0" collapsed="false">
      <c r="B22" s="1" t="s">
        <v>51</v>
      </c>
      <c r="C22" s="1" t="s">
        <v>38</v>
      </c>
      <c r="D22" s="13" t="n">
        <v>0.541666666666667</v>
      </c>
      <c r="E22" s="14" t="s">
        <v>84</v>
      </c>
      <c r="F22" s="14" t="s">
        <v>85</v>
      </c>
      <c r="H22" s="1" t="n">
        <v>12.9</v>
      </c>
      <c r="I22" s="1" t="n">
        <v>25</v>
      </c>
      <c r="J22" s="1" t="n">
        <v>62.2</v>
      </c>
      <c r="K22" s="1" t="n">
        <v>37.8</v>
      </c>
      <c r="L22" s="1" t="n">
        <v>87.1</v>
      </c>
      <c r="M22" s="1" t="n">
        <v>75</v>
      </c>
      <c r="N22" s="1" t="n">
        <v>16.7</v>
      </c>
      <c r="O22" s="1" t="n">
        <v>44.8</v>
      </c>
      <c r="P22" s="1" t="n">
        <v>38.5</v>
      </c>
      <c r="Q22" s="1" t="n">
        <v>66.2</v>
      </c>
      <c r="R22" s="1" t="n">
        <v>79.9</v>
      </c>
      <c r="S22" s="1" t="n">
        <v>56</v>
      </c>
      <c r="T22" s="1" t="n">
        <v>44</v>
      </c>
      <c r="U22" s="1" t="n">
        <v>52.7</v>
      </c>
      <c r="V22" s="1" t="n">
        <v>51.3</v>
      </c>
      <c r="W22" s="1" t="n">
        <v>48.7</v>
      </c>
      <c r="Z22" s="14" t="s">
        <v>48</v>
      </c>
    </row>
    <row r="23" customFormat="false" ht="16.05" hidden="true" customHeight="false" outlineLevel="0" collapsed="false">
      <c r="B23" s="1" t="s">
        <v>86</v>
      </c>
      <c r="C23" s="1" t="s">
        <v>38</v>
      </c>
      <c r="D23" s="13" t="n">
        <v>0.541666666666667</v>
      </c>
      <c r="E23" s="14" t="s">
        <v>87</v>
      </c>
      <c r="F23" s="14" t="s">
        <v>88</v>
      </c>
      <c r="H23" s="1" t="n">
        <v>59.5</v>
      </c>
      <c r="I23" s="1" t="n">
        <v>23.9</v>
      </c>
      <c r="J23" s="1" t="n">
        <v>16.5</v>
      </c>
      <c r="K23" s="1" t="n">
        <v>83.5</v>
      </c>
      <c r="L23" s="1" t="n">
        <v>40.5</v>
      </c>
      <c r="M23" s="1" t="n">
        <v>76.1</v>
      </c>
      <c r="N23" s="1" t="n">
        <v>52.9</v>
      </c>
      <c r="O23" s="1" t="n">
        <v>40.4</v>
      </c>
      <c r="P23" s="1" t="n">
        <v>6.6</v>
      </c>
      <c r="Q23" s="1" t="n">
        <v>65.5</v>
      </c>
      <c r="R23" s="1" t="n">
        <v>81.3</v>
      </c>
      <c r="S23" s="1" t="n">
        <v>58.1</v>
      </c>
      <c r="T23" s="1" t="n">
        <v>41.9</v>
      </c>
      <c r="U23" s="1" t="n">
        <v>49.6</v>
      </c>
      <c r="V23" s="1" t="n">
        <v>55.8</v>
      </c>
      <c r="W23" s="1" t="n">
        <v>44.2</v>
      </c>
      <c r="Z23" s="14" t="s">
        <v>48</v>
      </c>
    </row>
    <row r="24" customFormat="false" ht="16.05" hidden="true" customHeight="false" outlineLevel="0" collapsed="false">
      <c r="B24" s="1" t="s">
        <v>86</v>
      </c>
      <c r="C24" s="1" t="s">
        <v>38</v>
      </c>
      <c r="D24" s="13" t="n">
        <v>0.552083333333333</v>
      </c>
      <c r="E24" s="14" t="s">
        <v>89</v>
      </c>
      <c r="F24" s="14" t="s">
        <v>90</v>
      </c>
      <c r="H24" s="1" t="n">
        <v>57.2</v>
      </c>
      <c r="I24" s="1" t="n">
        <v>25.4</v>
      </c>
      <c r="J24" s="1" t="n">
        <v>17.4</v>
      </c>
      <c r="K24" s="1" t="n">
        <v>82.6</v>
      </c>
      <c r="L24" s="1" t="n">
        <v>42.8</v>
      </c>
      <c r="M24" s="1" t="n">
        <v>74.6</v>
      </c>
      <c r="N24" s="1" t="n">
        <v>59.7</v>
      </c>
      <c r="O24" s="1" t="n">
        <v>35.8</v>
      </c>
      <c r="P24" s="1" t="n">
        <v>4.5</v>
      </c>
      <c r="Q24" s="1" t="n">
        <v>69</v>
      </c>
      <c r="R24" s="1" t="n">
        <v>76.3</v>
      </c>
      <c r="S24" s="1" t="n">
        <v>50.7</v>
      </c>
      <c r="T24" s="1" t="n">
        <v>49.3</v>
      </c>
      <c r="U24" s="1" t="n">
        <v>56.8</v>
      </c>
      <c r="V24" s="1" t="n">
        <v>50.7</v>
      </c>
      <c r="W24" s="1" t="n">
        <v>49.3</v>
      </c>
      <c r="Z24" s="14" t="s">
        <v>48</v>
      </c>
    </row>
    <row r="25" customFormat="false" ht="16.05" hidden="true" customHeight="false" outlineLevel="0" collapsed="false">
      <c r="B25" s="1" t="s">
        <v>55</v>
      </c>
      <c r="C25" s="1" t="s">
        <v>38</v>
      </c>
      <c r="D25" s="13" t="n">
        <v>0.5625</v>
      </c>
      <c r="E25" s="14" t="s">
        <v>91</v>
      </c>
      <c r="F25" s="14" t="s">
        <v>92</v>
      </c>
      <c r="H25" s="1" t="n">
        <v>28.4</v>
      </c>
      <c r="I25" s="1" t="n">
        <v>31.2</v>
      </c>
      <c r="J25" s="1" t="n">
        <v>40.4</v>
      </c>
      <c r="K25" s="1" t="n">
        <v>59.6</v>
      </c>
      <c r="L25" s="1" t="n">
        <v>71.6</v>
      </c>
      <c r="M25" s="1" t="n">
        <v>68.8</v>
      </c>
      <c r="N25" s="1" t="n">
        <v>14.4</v>
      </c>
      <c r="O25" s="1" t="n">
        <v>48.2</v>
      </c>
      <c r="P25" s="1" t="n">
        <v>37.4</v>
      </c>
      <c r="Q25" s="1" t="n">
        <v>60.8</v>
      </c>
      <c r="R25" s="1" t="n">
        <v>68.6</v>
      </c>
      <c r="S25" s="1" t="n">
        <v>40.8</v>
      </c>
      <c r="T25" s="1" t="n">
        <v>59.2</v>
      </c>
      <c r="U25" s="1" t="n">
        <v>64.5</v>
      </c>
      <c r="V25" s="1" t="n">
        <v>47.9</v>
      </c>
      <c r="W25" s="1" t="n">
        <v>52.1</v>
      </c>
      <c r="Z25" s="14" t="s">
        <v>48</v>
      </c>
    </row>
    <row r="26" customFormat="false" ht="16.05" hidden="true" customHeight="false" outlineLevel="0" collapsed="false">
      <c r="B26" s="1" t="s">
        <v>93</v>
      </c>
      <c r="C26" s="1" t="s">
        <v>38</v>
      </c>
      <c r="D26" s="13" t="n">
        <v>0.583333333333333</v>
      </c>
      <c r="E26" s="14" t="s">
        <v>94</v>
      </c>
      <c r="F26" s="14" t="s">
        <v>95</v>
      </c>
      <c r="H26" s="1" t="n">
        <v>45.9</v>
      </c>
      <c r="I26" s="1" t="n">
        <v>27.8</v>
      </c>
      <c r="J26" s="1" t="n">
        <v>26.2</v>
      </c>
      <c r="K26" s="1" t="n">
        <v>73.8</v>
      </c>
      <c r="L26" s="1" t="n">
        <v>54.1</v>
      </c>
      <c r="M26" s="1" t="n">
        <v>72.2</v>
      </c>
      <c r="N26" s="1" t="n">
        <v>27.5</v>
      </c>
      <c r="O26" s="1" t="n">
        <v>43.4</v>
      </c>
      <c r="P26" s="1" t="n">
        <v>29.1</v>
      </c>
      <c r="Q26" s="1" t="n">
        <v>70</v>
      </c>
      <c r="R26" s="1" t="n">
        <v>76.1</v>
      </c>
      <c r="S26" s="1" t="n">
        <v>50.3</v>
      </c>
      <c r="T26" s="1" t="n">
        <v>49.7</v>
      </c>
      <c r="U26" s="1" t="n">
        <v>55.6</v>
      </c>
      <c r="V26" s="1" t="n">
        <v>54.7</v>
      </c>
      <c r="W26" s="1" t="n">
        <v>45.3</v>
      </c>
      <c r="Z26" s="14" t="s">
        <v>48</v>
      </c>
    </row>
    <row r="27" customFormat="false" ht="16.05" hidden="true" customHeight="false" outlineLevel="0" collapsed="false">
      <c r="B27" s="1" t="s">
        <v>96</v>
      </c>
      <c r="C27" s="1" t="s">
        <v>38</v>
      </c>
      <c r="D27" s="13" t="n">
        <v>0.583333333333333</v>
      </c>
      <c r="E27" s="14" t="s">
        <v>97</v>
      </c>
      <c r="F27" s="14" t="s">
        <v>98</v>
      </c>
      <c r="H27" s="1" t="n">
        <v>59.6</v>
      </c>
      <c r="I27" s="1" t="n">
        <v>25</v>
      </c>
      <c r="J27" s="1" t="n">
        <v>15.4</v>
      </c>
      <c r="K27" s="1" t="n">
        <v>84.6</v>
      </c>
      <c r="L27" s="1" t="n">
        <v>40.4</v>
      </c>
      <c r="M27" s="1" t="n">
        <v>75</v>
      </c>
      <c r="N27" s="1" t="n">
        <v>34.1</v>
      </c>
      <c r="O27" s="1" t="n">
        <v>52.2</v>
      </c>
      <c r="P27" s="1" t="n">
        <v>13.7</v>
      </c>
      <c r="Q27" s="1" t="n">
        <v>54.9</v>
      </c>
      <c r="R27" s="1" t="n">
        <v>75</v>
      </c>
      <c r="S27" s="1" t="n">
        <v>49</v>
      </c>
      <c r="T27" s="1" t="n">
        <v>51</v>
      </c>
      <c r="U27" s="1" t="n">
        <v>59</v>
      </c>
      <c r="V27" s="1" t="n">
        <v>47.9</v>
      </c>
      <c r="W27" s="1" t="n">
        <v>52.1</v>
      </c>
      <c r="Z27" s="14" t="s">
        <v>48</v>
      </c>
    </row>
    <row r="28" customFormat="false" ht="16.05" hidden="true" customHeight="false" outlineLevel="0" collapsed="false">
      <c r="B28" s="1" t="s">
        <v>96</v>
      </c>
      <c r="C28" s="1" t="s">
        <v>38</v>
      </c>
      <c r="D28" s="13" t="n">
        <v>0.583333333333333</v>
      </c>
      <c r="E28" s="14" t="s">
        <v>99</v>
      </c>
      <c r="F28" s="14" t="s">
        <v>100</v>
      </c>
      <c r="H28" s="1" t="n">
        <v>68.7</v>
      </c>
      <c r="I28" s="1" t="n">
        <v>21.3</v>
      </c>
      <c r="J28" s="1" t="n">
        <v>10</v>
      </c>
      <c r="K28" s="1" t="n">
        <v>90</v>
      </c>
      <c r="L28" s="1" t="n">
        <v>31.3</v>
      </c>
      <c r="M28" s="1" t="n">
        <v>78.7</v>
      </c>
      <c r="N28" s="1" t="n">
        <v>51.4</v>
      </c>
      <c r="O28" s="1" t="n">
        <v>36.8</v>
      </c>
      <c r="P28" s="1" t="n">
        <v>11.9</v>
      </c>
      <c r="Q28" s="1" t="n">
        <v>73.9</v>
      </c>
      <c r="R28" s="1" t="n">
        <v>80.5</v>
      </c>
      <c r="S28" s="1" t="n">
        <v>57.1</v>
      </c>
      <c r="T28" s="1" t="n">
        <v>42.9</v>
      </c>
      <c r="U28" s="1" t="n">
        <v>53</v>
      </c>
      <c r="V28" s="1" t="n">
        <v>48</v>
      </c>
      <c r="W28" s="1" t="n">
        <v>52</v>
      </c>
      <c r="Z28" s="14" t="s">
        <v>48</v>
      </c>
    </row>
    <row r="29" customFormat="false" ht="16.05" hidden="true" customHeight="false" outlineLevel="0" collapsed="false">
      <c r="B29" s="1" t="s">
        <v>62</v>
      </c>
      <c r="C29" s="1" t="s">
        <v>38</v>
      </c>
      <c r="D29" s="13" t="n">
        <v>0.583333333333333</v>
      </c>
      <c r="E29" s="14" t="s">
        <v>101</v>
      </c>
      <c r="F29" s="14" t="s">
        <v>102</v>
      </c>
      <c r="H29" s="1" t="n">
        <v>60.3</v>
      </c>
      <c r="I29" s="1" t="n">
        <v>25.2</v>
      </c>
      <c r="J29" s="1" t="n">
        <v>14.5</v>
      </c>
      <c r="K29" s="1" t="n">
        <v>85.5</v>
      </c>
      <c r="L29" s="1" t="n">
        <v>39.7</v>
      </c>
      <c r="M29" s="1" t="n">
        <v>74.8</v>
      </c>
      <c r="N29" s="1" t="n">
        <v>38.8</v>
      </c>
      <c r="O29" s="1" t="n">
        <v>42.9</v>
      </c>
      <c r="P29" s="1" t="n">
        <v>18.3</v>
      </c>
      <c r="Q29" s="1" t="n">
        <v>68.8</v>
      </c>
      <c r="R29" s="1" t="n">
        <v>72.6</v>
      </c>
      <c r="S29" s="1" t="n">
        <v>45.9</v>
      </c>
      <c r="T29" s="1" t="n">
        <v>54.1</v>
      </c>
      <c r="U29" s="1" t="n">
        <v>62.2</v>
      </c>
      <c r="V29" s="1" t="n">
        <v>44.8</v>
      </c>
      <c r="W29" s="1" t="n">
        <v>55.2</v>
      </c>
      <c r="Z29" s="14" t="s">
        <v>48</v>
      </c>
    </row>
    <row r="30" customFormat="false" ht="16.05" hidden="true" customHeight="false" outlineLevel="0" collapsed="false">
      <c r="B30" s="1" t="s">
        <v>103</v>
      </c>
      <c r="C30" s="1" t="s">
        <v>38</v>
      </c>
      <c r="D30" s="13" t="n">
        <v>0.583333333333333</v>
      </c>
      <c r="E30" s="14" t="s">
        <v>104</v>
      </c>
      <c r="F30" s="14" t="s">
        <v>105</v>
      </c>
      <c r="H30" s="1" t="n">
        <v>30.8</v>
      </c>
      <c r="I30" s="1" t="n">
        <v>33.4</v>
      </c>
      <c r="J30" s="1" t="n">
        <v>35.8</v>
      </c>
      <c r="K30" s="1" t="n">
        <v>64.2</v>
      </c>
      <c r="L30" s="1" t="n">
        <v>69.2</v>
      </c>
      <c r="M30" s="1" t="n">
        <v>66.6</v>
      </c>
      <c r="N30" s="1" t="n">
        <v>19</v>
      </c>
      <c r="O30" s="1" t="n">
        <v>45</v>
      </c>
      <c r="P30" s="1" t="n">
        <v>36</v>
      </c>
      <c r="Q30" s="1" t="n">
        <v>66.7</v>
      </c>
      <c r="R30" s="1" t="n">
        <v>61.8</v>
      </c>
      <c r="S30" s="1" t="n">
        <v>33.4</v>
      </c>
      <c r="T30" s="1" t="n">
        <v>66.6</v>
      </c>
      <c r="U30" s="1" t="n">
        <v>71.2</v>
      </c>
      <c r="V30" s="1" t="n">
        <v>42.2</v>
      </c>
      <c r="W30" s="1" t="n">
        <v>57.8</v>
      </c>
      <c r="Z30" s="14" t="s">
        <v>48</v>
      </c>
    </row>
    <row r="31" customFormat="false" ht="16.05" hidden="true" customHeight="false" outlineLevel="0" collapsed="false">
      <c r="B31" s="1" t="s">
        <v>106</v>
      </c>
      <c r="C31" s="1" t="s">
        <v>38</v>
      </c>
      <c r="D31" s="13" t="n">
        <v>0.583333333333333</v>
      </c>
      <c r="E31" s="14" t="s">
        <v>107</v>
      </c>
      <c r="F31" s="14" t="s">
        <v>108</v>
      </c>
      <c r="H31" s="1" t="n">
        <v>54.3</v>
      </c>
      <c r="I31" s="1" t="n">
        <v>24.4</v>
      </c>
      <c r="J31" s="1" t="n">
        <v>21.3</v>
      </c>
      <c r="K31" s="1" t="n">
        <v>78.7</v>
      </c>
      <c r="L31" s="1" t="n">
        <v>45.7</v>
      </c>
      <c r="M31" s="1" t="n">
        <v>75.6</v>
      </c>
      <c r="N31" s="1" t="n">
        <v>37.5</v>
      </c>
      <c r="O31" s="1" t="n">
        <v>37.4</v>
      </c>
      <c r="P31" s="1" t="n">
        <v>25.1</v>
      </c>
      <c r="Q31" s="1" t="n">
        <v>78.6</v>
      </c>
      <c r="R31" s="1" t="n">
        <v>86.5</v>
      </c>
      <c r="S31" s="1" t="n">
        <v>66.5</v>
      </c>
      <c r="T31" s="1" t="n">
        <v>33.5</v>
      </c>
      <c r="U31" s="1" t="n">
        <v>40</v>
      </c>
      <c r="V31" s="1" t="n">
        <v>65.2</v>
      </c>
      <c r="W31" s="1" t="n">
        <v>34.8</v>
      </c>
      <c r="Z31" s="14" t="s">
        <v>48</v>
      </c>
    </row>
    <row r="32" customFormat="false" ht="16.05" hidden="true" customHeight="false" outlineLevel="0" collapsed="false">
      <c r="B32" s="1" t="s">
        <v>109</v>
      </c>
      <c r="C32" s="1" t="s">
        <v>38</v>
      </c>
      <c r="D32" s="13" t="n">
        <v>0.604166666666667</v>
      </c>
      <c r="E32" s="14" t="s">
        <v>110</v>
      </c>
      <c r="F32" s="14" t="s">
        <v>111</v>
      </c>
      <c r="H32" s="1" t="n">
        <v>42</v>
      </c>
      <c r="I32" s="1" t="n">
        <v>28.2</v>
      </c>
      <c r="J32" s="1" t="n">
        <v>29.8</v>
      </c>
      <c r="K32" s="1" t="n">
        <v>70.2</v>
      </c>
      <c r="L32" s="1" t="n">
        <v>58</v>
      </c>
      <c r="M32" s="1" t="n">
        <v>71.8</v>
      </c>
      <c r="N32" s="1" t="n">
        <v>30.6</v>
      </c>
      <c r="O32" s="1" t="n">
        <v>42.4</v>
      </c>
      <c r="P32" s="1" t="n">
        <v>26.9</v>
      </c>
      <c r="Q32" s="1" t="n">
        <v>71.4</v>
      </c>
      <c r="R32" s="1" t="n">
        <v>76.6</v>
      </c>
      <c r="S32" s="1" t="n">
        <v>51</v>
      </c>
      <c r="T32" s="1" t="n">
        <v>49</v>
      </c>
      <c r="U32" s="1" t="n">
        <v>54.6</v>
      </c>
      <c r="V32" s="1" t="n">
        <v>56.1</v>
      </c>
      <c r="W32" s="1" t="n">
        <v>43.9</v>
      </c>
      <c r="Z32" s="14" t="s">
        <v>48</v>
      </c>
    </row>
    <row r="33" customFormat="false" ht="16.05" hidden="true" customHeight="false" outlineLevel="0" collapsed="false">
      <c r="B33" s="1" t="s">
        <v>112</v>
      </c>
      <c r="C33" s="1" t="s">
        <v>38</v>
      </c>
      <c r="D33" s="13" t="n">
        <v>0.625</v>
      </c>
      <c r="E33" s="14" t="s">
        <v>113</v>
      </c>
      <c r="F33" s="14" t="s">
        <v>114</v>
      </c>
      <c r="H33" s="1" t="n">
        <v>33</v>
      </c>
      <c r="I33" s="1" t="n">
        <v>27.5</v>
      </c>
      <c r="J33" s="1" t="n">
        <v>39.6</v>
      </c>
      <c r="K33" s="1" t="n">
        <v>60.4</v>
      </c>
      <c r="L33" s="1" t="n">
        <v>67</v>
      </c>
      <c r="M33" s="1" t="n">
        <v>72.5</v>
      </c>
      <c r="N33" s="1" t="n">
        <v>32.7</v>
      </c>
      <c r="O33" s="1" t="n">
        <v>36.9</v>
      </c>
      <c r="P33" s="1" t="n">
        <v>30.4</v>
      </c>
      <c r="Q33" s="1" t="n">
        <v>80.2</v>
      </c>
      <c r="R33" s="1" t="n">
        <v>81.3</v>
      </c>
      <c r="S33" s="1" t="n">
        <v>57.8</v>
      </c>
      <c r="T33" s="1" t="n">
        <v>42.2</v>
      </c>
      <c r="U33" s="1" t="n">
        <v>47.8</v>
      </c>
      <c r="V33" s="1" t="n">
        <v>61.7</v>
      </c>
      <c r="W33" s="1" t="n">
        <v>38.3</v>
      </c>
      <c r="Z33" s="14" t="s">
        <v>48</v>
      </c>
    </row>
    <row r="34" customFormat="false" ht="16.05" hidden="true" customHeight="false" outlineLevel="0" collapsed="false">
      <c r="B34" s="1" t="s">
        <v>115</v>
      </c>
      <c r="C34" s="1" t="s">
        <v>38</v>
      </c>
      <c r="D34" s="13" t="n">
        <v>0.625</v>
      </c>
      <c r="E34" s="14" t="s">
        <v>116</v>
      </c>
      <c r="F34" s="14" t="s">
        <v>117</v>
      </c>
      <c r="H34" s="1" t="n">
        <v>57.3</v>
      </c>
      <c r="I34" s="1" t="n">
        <v>23.9</v>
      </c>
      <c r="J34" s="1" t="n">
        <v>18.8</v>
      </c>
      <c r="K34" s="1" t="n">
        <v>81.2</v>
      </c>
      <c r="L34" s="1" t="n">
        <v>42.7</v>
      </c>
      <c r="M34" s="1" t="n">
        <v>76.1</v>
      </c>
      <c r="N34" s="1" t="n">
        <v>54</v>
      </c>
      <c r="O34" s="1" t="n">
        <v>31.6</v>
      </c>
      <c r="P34" s="1" t="n">
        <v>14.3</v>
      </c>
      <c r="Q34" s="1" t="n">
        <v>82.3</v>
      </c>
      <c r="R34" s="1" t="n">
        <v>91.4</v>
      </c>
      <c r="S34" s="1" t="n">
        <v>75.9</v>
      </c>
      <c r="T34" s="1" t="n">
        <v>24.1</v>
      </c>
      <c r="U34" s="1" t="n">
        <v>30.3</v>
      </c>
      <c r="V34" s="1" t="n">
        <v>71.6</v>
      </c>
      <c r="W34" s="1" t="n">
        <v>28.4</v>
      </c>
      <c r="Z34" s="14" t="s">
        <v>48</v>
      </c>
    </row>
    <row r="35" customFormat="false" ht="16.05" hidden="true" customHeight="false" outlineLevel="0" collapsed="false">
      <c r="B35" s="1" t="s">
        <v>67</v>
      </c>
      <c r="C35" s="1" t="s">
        <v>38</v>
      </c>
      <c r="D35" s="13" t="n">
        <v>0.625</v>
      </c>
      <c r="E35" s="14" t="s">
        <v>118</v>
      </c>
      <c r="F35" s="14" t="s">
        <v>119</v>
      </c>
      <c r="H35" s="1" t="n">
        <v>48.1</v>
      </c>
      <c r="I35" s="1" t="n">
        <v>30</v>
      </c>
      <c r="J35" s="1" t="n">
        <v>21.9</v>
      </c>
      <c r="K35" s="1" t="n">
        <v>78.1</v>
      </c>
      <c r="L35" s="1" t="n">
        <v>51.9</v>
      </c>
      <c r="M35" s="1" t="n">
        <v>70</v>
      </c>
      <c r="N35" s="1" t="n">
        <v>26.1</v>
      </c>
      <c r="O35" s="1" t="n">
        <v>48.7</v>
      </c>
      <c r="P35" s="1" t="n">
        <v>25.2</v>
      </c>
      <c r="Q35" s="1" t="n">
        <v>61.8</v>
      </c>
      <c r="R35" s="1" t="n">
        <v>66.2</v>
      </c>
      <c r="S35" s="1" t="n">
        <v>38.1</v>
      </c>
      <c r="T35" s="1" t="n">
        <v>61.9</v>
      </c>
      <c r="U35" s="1" t="n">
        <v>67.7</v>
      </c>
      <c r="V35" s="1" t="n">
        <v>43.8</v>
      </c>
      <c r="W35" s="1" t="n">
        <v>56.2</v>
      </c>
      <c r="Z35" s="14" t="s">
        <v>48</v>
      </c>
    </row>
    <row r="36" customFormat="false" ht="16.05" hidden="true" customHeight="false" outlineLevel="0" collapsed="false">
      <c r="B36" s="1" t="s">
        <v>78</v>
      </c>
      <c r="C36" s="1" t="s">
        <v>38</v>
      </c>
      <c r="D36" s="13" t="n">
        <v>0.635416666666667</v>
      </c>
      <c r="E36" s="14" t="s">
        <v>120</v>
      </c>
      <c r="F36" s="14" t="s">
        <v>121</v>
      </c>
      <c r="H36" s="1" t="n">
        <v>65</v>
      </c>
      <c r="I36" s="1" t="n">
        <v>23.1</v>
      </c>
      <c r="J36" s="1" t="n">
        <v>11.9</v>
      </c>
      <c r="K36" s="1" t="n">
        <v>88.1</v>
      </c>
      <c r="L36" s="1" t="n">
        <v>35</v>
      </c>
      <c r="M36" s="1" t="n">
        <v>76.9</v>
      </c>
      <c r="N36" s="1" t="n">
        <v>32.4</v>
      </c>
      <c r="O36" s="1" t="n">
        <v>47</v>
      </c>
      <c r="P36" s="1" t="n">
        <v>20.6</v>
      </c>
      <c r="Q36" s="1" t="n">
        <v>63.7</v>
      </c>
      <c r="R36" s="1" t="n">
        <v>75.6</v>
      </c>
      <c r="S36" s="1" t="n">
        <v>50</v>
      </c>
      <c r="T36" s="1" t="n">
        <v>50</v>
      </c>
      <c r="U36" s="1" t="n">
        <v>59.3</v>
      </c>
      <c r="V36" s="1" t="n">
        <v>45</v>
      </c>
      <c r="W36" s="1" t="n">
        <v>55</v>
      </c>
      <c r="Z36" s="14" t="s">
        <v>19</v>
      </c>
    </row>
    <row r="37" customFormat="false" ht="16.05" hidden="true" customHeight="false" outlineLevel="0" collapsed="false">
      <c r="B37" s="1" t="s">
        <v>122</v>
      </c>
      <c r="C37" s="1" t="s">
        <v>38</v>
      </c>
      <c r="D37" s="13" t="n">
        <v>0.635416666666667</v>
      </c>
      <c r="E37" s="14" t="s">
        <v>123</v>
      </c>
      <c r="F37" s="14" t="s">
        <v>124</v>
      </c>
      <c r="H37" s="1" t="n">
        <v>47.9</v>
      </c>
      <c r="I37" s="1" t="n">
        <v>29.5</v>
      </c>
      <c r="J37" s="1" t="n">
        <v>22.7</v>
      </c>
      <c r="K37" s="1" t="n">
        <v>77.3</v>
      </c>
      <c r="L37" s="1" t="n">
        <v>52.1</v>
      </c>
      <c r="M37" s="1" t="n">
        <v>70.5</v>
      </c>
      <c r="N37" s="1" t="n">
        <v>54.8</v>
      </c>
      <c r="O37" s="1" t="n">
        <v>34.5</v>
      </c>
      <c r="P37" s="1" t="n">
        <v>10.6</v>
      </c>
      <c r="Q37" s="1" t="n">
        <v>75.8</v>
      </c>
      <c r="R37" s="1" t="n">
        <v>68.2</v>
      </c>
      <c r="S37" s="1" t="n">
        <v>40.5</v>
      </c>
      <c r="T37" s="1" t="n">
        <v>59.5</v>
      </c>
      <c r="U37" s="1" t="n">
        <v>65.5</v>
      </c>
      <c r="V37" s="1" t="n">
        <v>45.9</v>
      </c>
      <c r="W37" s="1" t="n">
        <v>54.1</v>
      </c>
      <c r="Z37" s="14" t="s">
        <v>48</v>
      </c>
    </row>
    <row r="38" customFormat="false" ht="16.05" hidden="true" customHeight="false" outlineLevel="0" collapsed="false">
      <c r="B38" s="1" t="s">
        <v>125</v>
      </c>
      <c r="C38" s="1" t="s">
        <v>38</v>
      </c>
      <c r="D38" s="13" t="n">
        <v>0.645833333333333</v>
      </c>
      <c r="E38" s="14" t="s">
        <v>126</v>
      </c>
      <c r="F38" s="14" t="s">
        <v>127</v>
      </c>
      <c r="H38" s="1" t="n">
        <v>66.2</v>
      </c>
      <c r="I38" s="1" t="n">
        <v>22</v>
      </c>
      <c r="J38" s="1" t="n">
        <v>11.9</v>
      </c>
      <c r="K38" s="1" t="n">
        <v>88.1</v>
      </c>
      <c r="L38" s="1" t="n">
        <v>33.8</v>
      </c>
      <c r="M38" s="1" t="n">
        <v>78</v>
      </c>
      <c r="N38" s="1" t="n">
        <v>51.7</v>
      </c>
      <c r="O38" s="1" t="n">
        <v>35.6</v>
      </c>
      <c r="P38" s="1" t="n">
        <v>12.6</v>
      </c>
      <c r="Q38" s="1" t="n">
        <v>75.9</v>
      </c>
      <c r="R38" s="1" t="n">
        <v>82.1</v>
      </c>
      <c r="S38" s="1" t="n">
        <v>59.5</v>
      </c>
      <c r="T38" s="1" t="n">
        <v>40.5</v>
      </c>
      <c r="U38" s="1" t="n">
        <v>49.7</v>
      </c>
      <c r="V38" s="1" t="n">
        <v>52.4</v>
      </c>
      <c r="W38" s="1" t="n">
        <v>47.6</v>
      </c>
      <c r="Z38" s="14" t="s">
        <v>48</v>
      </c>
    </row>
    <row r="39" customFormat="false" ht="16.4" hidden="true" customHeight="false" outlineLevel="0" collapsed="false">
      <c r="B39" s="1" t="s">
        <v>128</v>
      </c>
      <c r="C39" s="1" t="s">
        <v>38</v>
      </c>
      <c r="D39" s="13" t="n">
        <v>0.65625</v>
      </c>
      <c r="E39" s="14" t="s">
        <v>129</v>
      </c>
      <c r="F39" s="14" t="s">
        <v>130</v>
      </c>
      <c r="H39" s="1" t="n">
        <v>58.5</v>
      </c>
      <c r="I39" s="1" t="n">
        <v>24.8</v>
      </c>
      <c r="J39" s="1" t="n">
        <v>16.7</v>
      </c>
      <c r="K39" s="1" t="n">
        <v>83.3</v>
      </c>
      <c r="L39" s="1" t="n">
        <v>41.5</v>
      </c>
      <c r="M39" s="1" t="n">
        <v>75.2</v>
      </c>
      <c r="N39" s="1" t="n">
        <v>36.6</v>
      </c>
      <c r="O39" s="1" t="n">
        <v>44.4</v>
      </c>
      <c r="P39" s="1" t="n">
        <v>19</v>
      </c>
      <c r="Q39" s="1" t="n">
        <v>66.9</v>
      </c>
      <c r="R39" s="1" t="n">
        <v>77.7</v>
      </c>
      <c r="S39" s="1" t="n">
        <v>52.8</v>
      </c>
      <c r="T39" s="1" t="n">
        <v>47.2</v>
      </c>
      <c r="U39" s="1" t="n">
        <v>54.9</v>
      </c>
      <c r="V39" s="1" t="n">
        <v>51.8</v>
      </c>
      <c r="W39" s="1" t="n">
        <v>48.2</v>
      </c>
      <c r="Z39" s="14" t="s">
        <v>20</v>
      </c>
    </row>
    <row r="40" customFormat="false" ht="16.4" hidden="true" customHeight="false" outlineLevel="0" collapsed="false">
      <c r="B40" s="1" t="s">
        <v>128</v>
      </c>
      <c r="C40" s="1" t="s">
        <v>38</v>
      </c>
      <c r="D40" s="13" t="n">
        <v>0.65625</v>
      </c>
      <c r="E40" s="14" t="s">
        <v>131</v>
      </c>
      <c r="F40" s="14" t="s">
        <v>132</v>
      </c>
      <c r="H40" s="1" t="n">
        <v>42.5</v>
      </c>
      <c r="I40" s="1" t="n">
        <v>27.5</v>
      </c>
      <c r="J40" s="1" t="n">
        <v>30</v>
      </c>
      <c r="K40" s="1" t="n">
        <v>70</v>
      </c>
      <c r="L40" s="1" t="n">
        <v>57.5</v>
      </c>
      <c r="M40" s="1" t="n">
        <v>72.5</v>
      </c>
      <c r="N40" s="1" t="n">
        <v>33.4</v>
      </c>
      <c r="O40" s="1" t="n">
        <v>42.8</v>
      </c>
      <c r="P40" s="1" t="n">
        <v>23.9</v>
      </c>
      <c r="Q40" s="1" t="n">
        <v>70.4</v>
      </c>
      <c r="R40" s="1" t="n">
        <v>79.3</v>
      </c>
      <c r="S40" s="1" t="n">
        <v>54.8</v>
      </c>
      <c r="T40" s="1" t="n">
        <v>45.2</v>
      </c>
      <c r="U40" s="1" t="n">
        <v>51</v>
      </c>
      <c r="V40" s="1" t="n">
        <v>59</v>
      </c>
      <c r="W40" s="1" t="n">
        <v>41</v>
      </c>
      <c r="Z40" s="14" t="s">
        <v>133</v>
      </c>
    </row>
    <row r="41" customFormat="false" ht="16.4" hidden="true" customHeight="false" outlineLevel="0" collapsed="false">
      <c r="B41" s="1" t="s">
        <v>128</v>
      </c>
      <c r="C41" s="1" t="s">
        <v>38</v>
      </c>
      <c r="D41" s="13" t="n">
        <v>0.65625</v>
      </c>
      <c r="E41" s="14" t="s">
        <v>134</v>
      </c>
      <c r="F41" s="14" t="s">
        <v>135</v>
      </c>
      <c r="H41" s="1" t="n">
        <v>56</v>
      </c>
      <c r="I41" s="1" t="n">
        <v>25.5</v>
      </c>
      <c r="J41" s="1" t="n">
        <v>18.5</v>
      </c>
      <c r="K41" s="1" t="n">
        <v>81.5</v>
      </c>
      <c r="L41" s="1" t="n">
        <v>44</v>
      </c>
      <c r="M41" s="1" t="n">
        <v>74.5</v>
      </c>
      <c r="N41" s="1" t="n">
        <v>41.9</v>
      </c>
      <c r="O41" s="1" t="n">
        <v>39.9</v>
      </c>
      <c r="P41" s="1" t="n">
        <v>18.2</v>
      </c>
      <c r="Q41" s="1" t="n">
        <v>72.9</v>
      </c>
      <c r="R41" s="1" t="n">
        <v>77.6</v>
      </c>
      <c r="S41" s="1" t="n">
        <v>52.5</v>
      </c>
      <c r="T41" s="1" t="n">
        <v>47.5</v>
      </c>
      <c r="U41" s="1" t="n">
        <v>54.7</v>
      </c>
      <c r="V41" s="1" t="n">
        <v>52.9</v>
      </c>
      <c r="W41" s="1" t="n">
        <v>47.1</v>
      </c>
      <c r="Z41" s="14" t="s">
        <v>20</v>
      </c>
    </row>
    <row r="42" customFormat="false" ht="16.05" hidden="true" customHeight="false" outlineLevel="0" collapsed="false">
      <c r="B42" s="1" t="s">
        <v>136</v>
      </c>
      <c r="C42" s="1" t="s">
        <v>38</v>
      </c>
      <c r="D42" s="13" t="n">
        <v>0.65625</v>
      </c>
      <c r="E42" s="14" t="s">
        <v>137</v>
      </c>
      <c r="F42" s="14" t="s">
        <v>138</v>
      </c>
      <c r="H42" s="1" t="n">
        <v>36.3</v>
      </c>
      <c r="I42" s="1" t="n">
        <v>28.6</v>
      </c>
      <c r="J42" s="1" t="n">
        <v>35.1</v>
      </c>
      <c r="K42" s="1" t="n">
        <v>64.9</v>
      </c>
      <c r="L42" s="1" t="n">
        <v>63.7</v>
      </c>
      <c r="M42" s="1" t="n">
        <v>71.4</v>
      </c>
      <c r="N42" s="1" t="n">
        <v>27.7</v>
      </c>
      <c r="O42" s="1" t="n">
        <v>44.5</v>
      </c>
      <c r="P42" s="1" t="n">
        <v>27.9</v>
      </c>
      <c r="Q42" s="1" t="n">
        <v>68.3</v>
      </c>
      <c r="R42" s="1" t="n">
        <v>76.9</v>
      </c>
      <c r="S42" s="1" t="n">
        <v>51.3</v>
      </c>
      <c r="T42" s="1" t="n">
        <v>48.7</v>
      </c>
      <c r="U42" s="1" t="n">
        <v>54.2</v>
      </c>
      <c r="V42" s="1" t="n">
        <v>56.8</v>
      </c>
      <c r="W42" s="1" t="n">
        <v>43.2</v>
      </c>
      <c r="Z42" s="14" t="s">
        <v>54</v>
      </c>
    </row>
    <row r="43" customFormat="false" ht="16.05" hidden="true" customHeight="false" outlineLevel="0" collapsed="false">
      <c r="B43" s="1" t="s">
        <v>136</v>
      </c>
      <c r="C43" s="1" t="s">
        <v>38</v>
      </c>
      <c r="D43" s="13" t="n">
        <v>0.65625</v>
      </c>
      <c r="E43" s="14" t="s">
        <v>139</v>
      </c>
      <c r="F43" s="14" t="s">
        <v>140</v>
      </c>
      <c r="H43" s="1" t="n">
        <v>39.5</v>
      </c>
      <c r="I43" s="1" t="n">
        <v>29.4</v>
      </c>
      <c r="J43" s="1" t="n">
        <v>31</v>
      </c>
      <c r="K43" s="1" t="n">
        <v>69</v>
      </c>
      <c r="L43" s="1" t="n">
        <v>60.5</v>
      </c>
      <c r="M43" s="1" t="n">
        <v>70.6</v>
      </c>
      <c r="N43" s="1" t="n">
        <v>29.8</v>
      </c>
      <c r="O43" s="1" t="n">
        <v>46.6</v>
      </c>
      <c r="P43" s="1" t="n">
        <v>23.6</v>
      </c>
      <c r="Q43" s="1" t="n">
        <v>64.8</v>
      </c>
      <c r="R43" s="1" t="n">
        <v>73.2</v>
      </c>
      <c r="S43" s="1" t="n">
        <v>46.5</v>
      </c>
      <c r="T43" s="1" t="n">
        <v>53.5</v>
      </c>
      <c r="U43" s="1" t="n">
        <v>59</v>
      </c>
      <c r="V43" s="1" t="n">
        <v>52.7</v>
      </c>
      <c r="W43" s="1" t="n">
        <v>47.3</v>
      </c>
      <c r="Z43" s="14" t="s">
        <v>54</v>
      </c>
    </row>
    <row r="44" customFormat="false" ht="16.05" hidden="true" customHeight="false" outlineLevel="0" collapsed="false">
      <c r="B44" s="1" t="s">
        <v>136</v>
      </c>
      <c r="C44" s="1" t="s">
        <v>38</v>
      </c>
      <c r="D44" s="13" t="n">
        <v>0.65625</v>
      </c>
      <c r="E44" s="14" t="s">
        <v>141</v>
      </c>
      <c r="F44" s="14" t="s">
        <v>142</v>
      </c>
      <c r="H44" s="1" t="n">
        <v>60.5</v>
      </c>
      <c r="I44" s="1" t="n">
        <v>23.9</v>
      </c>
      <c r="J44" s="1" t="n">
        <v>15.5</v>
      </c>
      <c r="K44" s="1" t="n">
        <v>84.5</v>
      </c>
      <c r="L44" s="1" t="n">
        <v>39.5</v>
      </c>
      <c r="M44" s="1" t="n">
        <v>76.1</v>
      </c>
      <c r="N44" s="1" t="n">
        <v>34.3</v>
      </c>
      <c r="O44" s="1" t="n">
        <v>45</v>
      </c>
      <c r="P44" s="1" t="n">
        <v>20.7</v>
      </c>
      <c r="Q44" s="1" t="n">
        <v>66.6</v>
      </c>
      <c r="R44" s="1" t="n">
        <v>79.5</v>
      </c>
      <c r="S44" s="1" t="n">
        <v>55.4</v>
      </c>
      <c r="T44" s="1" t="n">
        <v>44.6</v>
      </c>
      <c r="U44" s="1" t="n">
        <v>52.6</v>
      </c>
      <c r="V44" s="1" t="n">
        <v>52.9</v>
      </c>
      <c r="W44" s="1" t="n">
        <v>47.1</v>
      </c>
      <c r="Z44" s="14" t="s">
        <v>54</v>
      </c>
    </row>
    <row r="45" customFormat="false" ht="16.05" hidden="true" customHeight="false" outlineLevel="0" collapsed="false">
      <c r="B45" s="1" t="s">
        <v>136</v>
      </c>
      <c r="C45" s="1" t="s">
        <v>38</v>
      </c>
      <c r="D45" s="13" t="n">
        <v>0.65625</v>
      </c>
      <c r="E45" s="14" t="s">
        <v>143</v>
      </c>
      <c r="F45" s="14" t="s">
        <v>144</v>
      </c>
      <c r="H45" s="1" t="n">
        <v>49.1</v>
      </c>
      <c r="I45" s="1" t="n">
        <v>28.3</v>
      </c>
      <c r="J45" s="1" t="n">
        <v>22.6</v>
      </c>
      <c r="K45" s="1" t="n">
        <v>77.4</v>
      </c>
      <c r="L45" s="1" t="n">
        <v>50.9</v>
      </c>
      <c r="M45" s="1" t="n">
        <v>71.7</v>
      </c>
      <c r="N45" s="1" t="n">
        <v>38.3</v>
      </c>
      <c r="O45" s="1" t="n">
        <v>46.1</v>
      </c>
      <c r="P45" s="1" t="n">
        <v>15.6</v>
      </c>
      <c r="Q45" s="1" t="n">
        <v>63.5</v>
      </c>
      <c r="R45" s="1" t="n">
        <v>72</v>
      </c>
      <c r="S45" s="1" t="n">
        <v>45</v>
      </c>
      <c r="T45" s="1" t="n">
        <v>55</v>
      </c>
      <c r="U45" s="1" t="n">
        <v>61.2</v>
      </c>
      <c r="V45" s="1" t="n">
        <v>49.4</v>
      </c>
      <c r="W45" s="1" t="n">
        <v>50.6</v>
      </c>
      <c r="Z45" s="14" t="s">
        <v>54</v>
      </c>
    </row>
    <row r="46" customFormat="false" ht="16.05" hidden="true" customHeight="false" outlineLevel="0" collapsed="false">
      <c r="B46" s="1" t="s">
        <v>136</v>
      </c>
      <c r="C46" s="1" t="s">
        <v>38</v>
      </c>
      <c r="D46" s="13" t="n">
        <v>0.65625</v>
      </c>
      <c r="E46" s="14" t="s">
        <v>145</v>
      </c>
      <c r="F46" s="14" t="s">
        <v>146</v>
      </c>
      <c r="H46" s="1" t="n">
        <v>62.8</v>
      </c>
      <c r="I46" s="1" t="n">
        <v>23.3</v>
      </c>
      <c r="J46" s="1" t="n">
        <v>14</v>
      </c>
      <c r="K46" s="1" t="n">
        <v>86</v>
      </c>
      <c r="L46" s="1" t="n">
        <v>37.2</v>
      </c>
      <c r="M46" s="1" t="n">
        <v>76.7</v>
      </c>
      <c r="N46" s="1" t="n">
        <v>45.9</v>
      </c>
      <c r="O46" s="1" t="n">
        <v>39.4</v>
      </c>
      <c r="P46" s="1" t="n">
        <v>14.7</v>
      </c>
      <c r="Q46" s="1" t="n">
        <v>72</v>
      </c>
      <c r="R46" s="1" t="n">
        <v>79.7</v>
      </c>
      <c r="S46" s="1" t="n">
        <v>55.7</v>
      </c>
      <c r="T46" s="1" t="n">
        <v>44.3</v>
      </c>
      <c r="U46" s="1" t="n">
        <v>52.9</v>
      </c>
      <c r="V46" s="1" t="n">
        <v>51.6</v>
      </c>
      <c r="W46" s="1" t="n">
        <v>48.4</v>
      </c>
      <c r="Z46" s="14" t="s">
        <v>54</v>
      </c>
    </row>
    <row r="47" customFormat="false" ht="16.4" hidden="true" customHeight="false" outlineLevel="0" collapsed="false">
      <c r="B47" s="1" t="s">
        <v>86</v>
      </c>
      <c r="C47" s="1" t="s">
        <v>38</v>
      </c>
      <c r="D47" s="13" t="n">
        <v>0.65625</v>
      </c>
      <c r="E47" s="14" t="s">
        <v>147</v>
      </c>
      <c r="F47" s="14" t="s">
        <v>148</v>
      </c>
      <c r="H47" s="1" t="n">
        <v>37</v>
      </c>
      <c r="I47" s="1" t="n">
        <v>30</v>
      </c>
      <c r="J47" s="1" t="n">
        <v>33</v>
      </c>
      <c r="K47" s="1" t="n">
        <v>67</v>
      </c>
      <c r="L47" s="1" t="n">
        <v>63</v>
      </c>
      <c r="M47" s="1" t="n">
        <v>70</v>
      </c>
      <c r="N47" s="1" t="n">
        <v>44.1</v>
      </c>
      <c r="O47" s="1" t="n">
        <v>36.8</v>
      </c>
      <c r="P47" s="1" t="n">
        <v>19.1</v>
      </c>
      <c r="Q47" s="1" t="n">
        <v>77.7</v>
      </c>
      <c r="R47" s="1" t="n">
        <v>71.8</v>
      </c>
      <c r="S47" s="1" t="n">
        <v>44.7</v>
      </c>
      <c r="T47" s="1" t="n">
        <v>55.3</v>
      </c>
      <c r="U47" s="1" t="n">
        <v>60.6</v>
      </c>
      <c r="V47" s="1" t="n">
        <v>51.5</v>
      </c>
      <c r="W47" s="1" t="n">
        <v>48.5</v>
      </c>
      <c r="Z47" s="14" t="s">
        <v>54</v>
      </c>
    </row>
    <row r="48" customFormat="false" ht="16.4" hidden="true" customHeight="false" outlineLevel="0" collapsed="false">
      <c r="B48" s="1" t="s">
        <v>128</v>
      </c>
      <c r="C48" s="1" t="s">
        <v>38</v>
      </c>
      <c r="D48" s="13" t="n">
        <v>0.666666666666667</v>
      </c>
      <c r="E48" s="14" t="s">
        <v>149</v>
      </c>
      <c r="F48" s="14" t="s">
        <v>150</v>
      </c>
      <c r="H48" s="1" t="n">
        <v>39.6</v>
      </c>
      <c r="I48" s="1" t="n">
        <v>27.7</v>
      </c>
      <c r="J48" s="1" t="n">
        <v>32.7</v>
      </c>
      <c r="K48" s="1" t="n">
        <v>67.3</v>
      </c>
      <c r="L48" s="1" t="n">
        <v>60.4</v>
      </c>
      <c r="M48" s="1" t="n">
        <v>72.3</v>
      </c>
      <c r="N48" s="1" t="n">
        <v>24.3</v>
      </c>
      <c r="O48" s="1" t="n">
        <v>43.2</v>
      </c>
      <c r="P48" s="1" t="n">
        <v>32.4</v>
      </c>
      <c r="Q48" s="1" t="n">
        <v>70.1</v>
      </c>
      <c r="R48" s="1" t="n">
        <v>79.6</v>
      </c>
      <c r="S48" s="1" t="n">
        <v>55.3</v>
      </c>
      <c r="T48" s="1" t="n">
        <v>44.7</v>
      </c>
      <c r="U48" s="1" t="n">
        <v>50.4</v>
      </c>
      <c r="V48" s="1" t="n">
        <v>59.7</v>
      </c>
      <c r="W48" s="1" t="n">
        <v>40.3</v>
      </c>
      <c r="Z48" s="14" t="s">
        <v>133</v>
      </c>
    </row>
    <row r="49" customFormat="false" ht="16.4" hidden="true" customHeight="false" outlineLevel="0" collapsed="false">
      <c r="B49" s="1" t="s">
        <v>151</v>
      </c>
      <c r="C49" s="1" t="s">
        <v>38</v>
      </c>
      <c r="D49" s="13" t="n">
        <v>0.666666666666667</v>
      </c>
      <c r="E49" s="14" t="s">
        <v>152</v>
      </c>
      <c r="F49" s="14" t="s">
        <v>153</v>
      </c>
      <c r="H49" s="1" t="n">
        <v>42.5</v>
      </c>
      <c r="I49" s="1" t="n">
        <v>29.8</v>
      </c>
      <c r="J49" s="1" t="n">
        <v>27.7</v>
      </c>
      <c r="K49" s="1" t="n">
        <v>72.3</v>
      </c>
      <c r="L49" s="1" t="n">
        <v>57.5</v>
      </c>
      <c r="M49" s="1" t="n">
        <v>70.2</v>
      </c>
      <c r="N49" s="1" t="n">
        <v>33.2</v>
      </c>
      <c r="O49" s="1" t="n">
        <v>47.1</v>
      </c>
      <c r="P49" s="1" t="n">
        <v>19.7</v>
      </c>
      <c r="Q49" s="1" t="n">
        <v>63.4</v>
      </c>
      <c r="R49" s="1" t="n">
        <v>70.6</v>
      </c>
      <c r="S49" s="1" t="n">
        <v>43.2</v>
      </c>
      <c r="T49" s="1" t="n">
        <v>56.8</v>
      </c>
      <c r="U49" s="1" t="n">
        <v>62.3</v>
      </c>
      <c r="V49" s="1" t="n">
        <v>49.6</v>
      </c>
      <c r="W49" s="1" t="n">
        <v>50.4</v>
      </c>
      <c r="Z49" s="14" t="s">
        <v>54</v>
      </c>
    </row>
    <row r="50" customFormat="false" ht="16.05" hidden="true" customHeight="false" outlineLevel="0" collapsed="false">
      <c r="B50" s="1" t="s">
        <v>154</v>
      </c>
      <c r="C50" s="1" t="s">
        <v>38</v>
      </c>
      <c r="D50" s="13" t="n">
        <v>0.677083333333333</v>
      </c>
      <c r="E50" s="14" t="s">
        <v>155</v>
      </c>
      <c r="F50" s="14" t="s">
        <v>156</v>
      </c>
      <c r="H50" s="1" t="n">
        <v>54.1</v>
      </c>
      <c r="I50" s="1" t="n">
        <v>24.2</v>
      </c>
      <c r="J50" s="1" t="n">
        <v>21.7</v>
      </c>
      <c r="K50" s="1" t="n">
        <v>78.3</v>
      </c>
      <c r="L50" s="1" t="n">
        <v>45.9</v>
      </c>
      <c r="M50" s="1" t="n">
        <v>75.8</v>
      </c>
      <c r="N50" s="1" t="n">
        <v>44.3</v>
      </c>
      <c r="O50" s="1" t="n">
        <v>33.9</v>
      </c>
      <c r="P50" s="1" t="n">
        <v>21.7</v>
      </c>
      <c r="Q50" s="1" t="n">
        <v>82.7</v>
      </c>
      <c r="R50" s="1" t="n">
        <v>90.5</v>
      </c>
      <c r="S50" s="1" t="n">
        <v>74</v>
      </c>
      <c r="T50" s="1" t="n">
        <v>26</v>
      </c>
      <c r="U50" s="1" t="n">
        <v>32</v>
      </c>
      <c r="V50" s="1" t="n">
        <v>71.3</v>
      </c>
      <c r="W50" s="1" t="n">
        <v>28.7</v>
      </c>
      <c r="Z50" s="14" t="s">
        <v>54</v>
      </c>
    </row>
    <row r="51" customFormat="false" ht="16.05" hidden="true" customHeight="false" outlineLevel="0" collapsed="false">
      <c r="B51" s="1" t="s">
        <v>154</v>
      </c>
      <c r="C51" s="1" t="s">
        <v>38</v>
      </c>
      <c r="D51" s="13" t="n">
        <v>0.677083333333333</v>
      </c>
      <c r="E51" s="14" t="s">
        <v>157</v>
      </c>
      <c r="F51" s="14" t="s">
        <v>158</v>
      </c>
      <c r="H51" s="1" t="n">
        <v>68.7</v>
      </c>
      <c r="I51" s="1" t="n">
        <v>21.9</v>
      </c>
      <c r="J51" s="1" t="n">
        <v>9.4</v>
      </c>
      <c r="K51" s="1" t="n">
        <v>90.6</v>
      </c>
      <c r="L51" s="1" t="n">
        <v>31.3</v>
      </c>
      <c r="M51" s="1" t="n">
        <v>78.1</v>
      </c>
      <c r="N51" s="1" t="n">
        <v>59.1</v>
      </c>
      <c r="O51" s="1" t="n">
        <v>29.9</v>
      </c>
      <c r="P51" s="1" t="n">
        <v>10.9</v>
      </c>
      <c r="Q51" s="1" t="n">
        <v>82.1</v>
      </c>
      <c r="R51" s="1" t="n">
        <v>90.5</v>
      </c>
      <c r="S51" s="1" t="n">
        <v>74.5</v>
      </c>
      <c r="T51" s="1" t="n">
        <v>25.5</v>
      </c>
      <c r="U51" s="1" t="n">
        <v>34.3</v>
      </c>
      <c r="V51" s="1" t="n">
        <v>62.3</v>
      </c>
      <c r="W51" s="1" t="n">
        <v>37.7</v>
      </c>
      <c r="Z51" s="14" t="s">
        <v>54</v>
      </c>
    </row>
    <row r="52" customFormat="false" ht="16.4" hidden="true" customHeight="false" outlineLevel="0" collapsed="false">
      <c r="B52" s="1" t="s">
        <v>115</v>
      </c>
      <c r="C52" s="1" t="s">
        <v>38</v>
      </c>
      <c r="D52" s="13" t="n">
        <v>0.677083333333333</v>
      </c>
      <c r="E52" s="14" t="s">
        <v>159</v>
      </c>
      <c r="F52" s="14" t="s">
        <v>160</v>
      </c>
      <c r="H52" s="1" t="n">
        <v>60</v>
      </c>
      <c r="I52" s="1" t="n">
        <v>23.4</v>
      </c>
      <c r="J52" s="1" t="n">
        <v>16.6</v>
      </c>
      <c r="K52" s="1" t="n">
        <v>83.4</v>
      </c>
      <c r="L52" s="1" t="n">
        <v>40</v>
      </c>
      <c r="M52" s="1" t="n">
        <v>76.6</v>
      </c>
      <c r="N52" s="1" t="n">
        <v>47.1</v>
      </c>
      <c r="O52" s="1" t="n">
        <v>36.4</v>
      </c>
      <c r="P52" s="1" t="n">
        <v>16.5</v>
      </c>
      <c r="Q52" s="1" t="n">
        <v>77</v>
      </c>
      <c r="R52" s="1" t="n">
        <v>90.5</v>
      </c>
      <c r="S52" s="1" t="n">
        <v>74.1</v>
      </c>
      <c r="T52" s="1" t="n">
        <v>25.9</v>
      </c>
      <c r="U52" s="1" t="n">
        <v>32.7</v>
      </c>
      <c r="V52" s="1" t="n">
        <v>68.8</v>
      </c>
      <c r="W52" s="1" t="n">
        <v>31.2</v>
      </c>
      <c r="Z52" s="14" t="s">
        <v>54</v>
      </c>
    </row>
    <row r="53" customFormat="false" ht="16.4" hidden="true" customHeight="false" outlineLevel="0" collapsed="false">
      <c r="B53" s="1" t="s">
        <v>161</v>
      </c>
      <c r="C53" s="1" t="s">
        <v>38</v>
      </c>
      <c r="D53" s="13" t="n">
        <v>0.708333333333333</v>
      </c>
      <c r="E53" s="14" t="s">
        <v>162</v>
      </c>
      <c r="F53" s="14" t="s">
        <v>163</v>
      </c>
      <c r="H53" s="1" t="n">
        <v>50.8</v>
      </c>
      <c r="I53" s="1" t="n">
        <v>26</v>
      </c>
      <c r="J53" s="1" t="n">
        <v>23.2</v>
      </c>
      <c r="K53" s="1" t="n">
        <v>76.8</v>
      </c>
      <c r="L53" s="1" t="n">
        <v>49.2</v>
      </c>
      <c r="M53" s="1" t="n">
        <v>74</v>
      </c>
      <c r="N53" s="1" t="n">
        <v>36.2</v>
      </c>
      <c r="O53" s="1" t="n">
        <v>41.4</v>
      </c>
      <c r="P53" s="1" t="n">
        <v>22.4</v>
      </c>
      <c r="Q53" s="1" t="n">
        <v>72.1</v>
      </c>
      <c r="R53" s="1" t="n">
        <v>80.4</v>
      </c>
      <c r="S53" s="1" t="n">
        <v>56.5</v>
      </c>
      <c r="T53" s="1" t="n">
        <v>43.5</v>
      </c>
      <c r="U53" s="1" t="n">
        <v>49.9</v>
      </c>
      <c r="V53" s="1" t="n">
        <v>58.4</v>
      </c>
      <c r="W53" s="1" t="n">
        <v>41.6</v>
      </c>
      <c r="Z53" s="14" t="s">
        <v>54</v>
      </c>
    </row>
    <row r="54" customFormat="false" ht="16.4" hidden="true" customHeight="false" outlineLevel="0" collapsed="false">
      <c r="B54" s="1" t="s">
        <v>164</v>
      </c>
      <c r="C54" s="1" t="s">
        <v>38</v>
      </c>
      <c r="D54" s="13" t="n">
        <v>0.729166666666667</v>
      </c>
      <c r="E54" s="14" t="s">
        <v>165</v>
      </c>
      <c r="F54" s="14" t="s">
        <v>166</v>
      </c>
      <c r="H54" s="1" t="n">
        <v>55.7</v>
      </c>
      <c r="I54" s="1" t="n">
        <v>28.8</v>
      </c>
      <c r="J54" s="1" t="n">
        <v>15.6</v>
      </c>
      <c r="K54" s="1" t="n">
        <v>84.4</v>
      </c>
      <c r="L54" s="1" t="n">
        <v>44.3</v>
      </c>
      <c r="M54" s="1" t="n">
        <v>71.2</v>
      </c>
      <c r="N54" s="1" t="n">
        <v>50.5</v>
      </c>
      <c r="O54" s="1" t="n">
        <v>41</v>
      </c>
      <c r="P54" s="1" t="n">
        <v>8.5</v>
      </c>
      <c r="Q54" s="1" t="n">
        <v>66.2</v>
      </c>
      <c r="R54" s="1" t="n">
        <v>62.7</v>
      </c>
      <c r="S54" s="1" t="n">
        <v>34.5</v>
      </c>
      <c r="T54" s="1" t="n">
        <v>65.5</v>
      </c>
      <c r="U54" s="1" t="n">
        <v>72.4</v>
      </c>
      <c r="V54" s="1" t="n">
        <v>37.1</v>
      </c>
      <c r="W54" s="1" t="n">
        <v>62.9</v>
      </c>
      <c r="Z54" s="14" t="s">
        <v>36</v>
      </c>
    </row>
    <row r="55" customFormat="false" ht="16.4" hidden="true" customHeight="false" outlineLevel="0" collapsed="false">
      <c r="B55" s="1" t="s">
        <v>167</v>
      </c>
      <c r="C55" s="1" t="s">
        <v>38</v>
      </c>
      <c r="D55" s="13" t="n">
        <v>0.729166666666667</v>
      </c>
      <c r="E55" s="14" t="s">
        <v>168</v>
      </c>
      <c r="F55" s="14" t="s">
        <v>169</v>
      </c>
      <c r="H55" s="1" t="n">
        <v>45.8</v>
      </c>
      <c r="I55" s="1" t="n">
        <v>30.8</v>
      </c>
      <c r="J55" s="1" t="n">
        <v>23.4</v>
      </c>
      <c r="K55" s="1" t="n">
        <v>76.6</v>
      </c>
      <c r="L55" s="1" t="n">
        <v>54.2</v>
      </c>
      <c r="M55" s="1" t="n">
        <v>69.2</v>
      </c>
      <c r="N55" s="1" t="n">
        <v>32.8</v>
      </c>
      <c r="O55" s="1" t="n">
        <v>48</v>
      </c>
      <c r="P55" s="1" t="n">
        <v>19.2</v>
      </c>
      <c r="Q55" s="1" t="n">
        <v>62.1</v>
      </c>
      <c r="R55" s="1" t="n">
        <v>64.8</v>
      </c>
      <c r="S55" s="1" t="n">
        <v>36.6</v>
      </c>
      <c r="T55" s="1" t="n">
        <v>63.4</v>
      </c>
      <c r="U55" s="1" t="n">
        <v>68.9</v>
      </c>
      <c r="V55" s="1" t="n">
        <v>43.1</v>
      </c>
      <c r="W55" s="1" t="n">
        <v>56.9</v>
      </c>
      <c r="Z55" s="14" t="s">
        <v>36</v>
      </c>
    </row>
    <row r="56" customFormat="false" ht="16.4" hidden="true" customHeight="false" outlineLevel="0" collapsed="false">
      <c r="B56" s="1" t="s">
        <v>151</v>
      </c>
      <c r="C56" s="1" t="s">
        <v>38</v>
      </c>
      <c r="D56" s="13" t="n">
        <v>0.770833333333333</v>
      </c>
      <c r="E56" s="14" t="s">
        <v>170</v>
      </c>
      <c r="F56" s="14" t="s">
        <v>171</v>
      </c>
      <c r="H56" s="1" t="n">
        <v>21.5</v>
      </c>
      <c r="I56" s="1" t="n">
        <v>31.2</v>
      </c>
      <c r="J56" s="1" t="n">
        <v>47.2</v>
      </c>
      <c r="K56" s="1" t="n">
        <v>52.8</v>
      </c>
      <c r="L56" s="1" t="n">
        <v>78.5</v>
      </c>
      <c r="M56" s="1" t="n">
        <v>68.8</v>
      </c>
      <c r="N56" s="1" t="n">
        <v>23.3</v>
      </c>
      <c r="O56" s="1" t="n">
        <v>47.7</v>
      </c>
      <c r="P56" s="1" t="n">
        <v>29</v>
      </c>
      <c r="Q56" s="1" t="n">
        <v>63.3</v>
      </c>
      <c r="R56" s="1" t="n">
        <v>66.4</v>
      </c>
      <c r="S56" s="1" t="n">
        <v>38.3</v>
      </c>
      <c r="T56" s="1" t="n">
        <v>61.7</v>
      </c>
      <c r="U56" s="1" t="n">
        <v>67.5</v>
      </c>
      <c r="V56" s="1" t="n">
        <v>44</v>
      </c>
      <c r="W56" s="1" t="n">
        <v>56</v>
      </c>
      <c r="Z56" s="14" t="s">
        <v>54</v>
      </c>
    </row>
    <row r="57" customFormat="false" ht="16.4" hidden="true" customHeight="false" outlineLevel="0" collapsed="false">
      <c r="B57" s="1" t="s">
        <v>172</v>
      </c>
      <c r="C57" s="1" t="s">
        <v>38</v>
      </c>
      <c r="D57" s="13" t="n">
        <v>0.791666666666667</v>
      </c>
      <c r="E57" s="14" t="s">
        <v>173</v>
      </c>
      <c r="F57" s="14" t="s">
        <v>174</v>
      </c>
      <c r="H57" s="1" t="n">
        <v>47.9</v>
      </c>
      <c r="I57" s="1" t="n">
        <v>28.2</v>
      </c>
      <c r="J57" s="1" t="n">
        <v>23.9</v>
      </c>
      <c r="K57" s="1" t="n">
        <v>76.1</v>
      </c>
      <c r="L57" s="1" t="n">
        <v>52.1</v>
      </c>
      <c r="M57" s="1" t="n">
        <v>71.8</v>
      </c>
      <c r="N57" s="1" t="n">
        <v>32.4</v>
      </c>
      <c r="O57" s="1" t="n">
        <v>48</v>
      </c>
      <c r="P57" s="1" t="n">
        <v>19.7</v>
      </c>
      <c r="Q57" s="1" t="n">
        <v>62.2</v>
      </c>
      <c r="R57" s="1" t="n">
        <v>73.2</v>
      </c>
      <c r="S57" s="1" t="n">
        <v>46.5</v>
      </c>
      <c r="T57" s="1" t="n">
        <v>53.5</v>
      </c>
      <c r="U57" s="1" t="n">
        <v>59.5</v>
      </c>
      <c r="V57" s="1" t="n">
        <v>51.1</v>
      </c>
      <c r="W57" s="1" t="n">
        <v>48.9</v>
      </c>
      <c r="Z57" s="14" t="s">
        <v>133</v>
      </c>
    </row>
    <row r="58" customFormat="false" ht="16.05" hidden="true" customHeight="false" outlineLevel="0" collapsed="false">
      <c r="B58" s="1" t="s">
        <v>175</v>
      </c>
      <c r="C58" s="1" t="s">
        <v>38</v>
      </c>
      <c r="D58" s="13" t="n">
        <v>0.791666666666667</v>
      </c>
      <c r="E58" s="14" t="s">
        <v>176</v>
      </c>
      <c r="F58" s="14" t="s">
        <v>177</v>
      </c>
      <c r="H58" s="1" t="n">
        <v>28.9</v>
      </c>
      <c r="I58" s="1" t="n">
        <v>31.2</v>
      </c>
      <c r="J58" s="1" t="n">
        <v>39.8</v>
      </c>
      <c r="K58" s="1" t="n">
        <v>60.2</v>
      </c>
      <c r="L58" s="1" t="n">
        <v>71.1</v>
      </c>
      <c r="M58" s="1" t="n">
        <v>68.8</v>
      </c>
      <c r="N58" s="1" t="n">
        <v>29.4</v>
      </c>
      <c r="O58" s="1" t="n">
        <v>46.7</v>
      </c>
      <c r="P58" s="1" t="n">
        <v>23.9</v>
      </c>
      <c r="Q58" s="1" t="n">
        <v>64.7</v>
      </c>
      <c r="R58" s="1" t="n">
        <v>68.4</v>
      </c>
      <c r="S58" s="1" t="n">
        <v>40.6</v>
      </c>
      <c r="T58" s="1" t="n">
        <v>59.4</v>
      </c>
      <c r="U58" s="1" t="n">
        <v>64.6</v>
      </c>
      <c r="V58" s="1" t="n">
        <v>47.9</v>
      </c>
      <c r="W58" s="1" t="n">
        <v>52.1</v>
      </c>
      <c r="Z58" s="14" t="s">
        <v>54</v>
      </c>
    </row>
    <row r="59" customFormat="false" ht="16.4" hidden="true" customHeight="false" outlineLevel="0" collapsed="false">
      <c r="B59" s="1" t="s">
        <v>178</v>
      </c>
      <c r="C59" s="1" t="s">
        <v>38</v>
      </c>
      <c r="D59" s="13" t="n">
        <v>0.791666666666667</v>
      </c>
      <c r="E59" s="14" t="s">
        <v>179</v>
      </c>
      <c r="F59" s="14" t="s">
        <v>180</v>
      </c>
      <c r="H59" s="1" t="n">
        <v>42.1</v>
      </c>
      <c r="I59" s="1" t="n">
        <v>29.7</v>
      </c>
      <c r="J59" s="1" t="n">
        <v>28.3</v>
      </c>
      <c r="K59" s="1" t="n">
        <v>71.7</v>
      </c>
      <c r="L59" s="1" t="n">
        <v>57.9</v>
      </c>
      <c r="M59" s="1" t="n">
        <v>70.3</v>
      </c>
      <c r="N59" s="1" t="n">
        <v>29.6</v>
      </c>
      <c r="O59" s="1" t="n">
        <v>47.7</v>
      </c>
      <c r="P59" s="1" t="n">
        <v>22.7</v>
      </c>
      <c r="Q59" s="1" t="n">
        <v>63.1</v>
      </c>
      <c r="R59" s="1" t="n">
        <v>71.3</v>
      </c>
      <c r="S59" s="1" t="n">
        <v>44.1</v>
      </c>
      <c r="T59" s="1" t="n">
        <v>55.9</v>
      </c>
      <c r="U59" s="1" t="n">
        <v>61.4</v>
      </c>
      <c r="V59" s="1" t="n">
        <v>50.4</v>
      </c>
      <c r="W59" s="1" t="n">
        <v>49.6</v>
      </c>
      <c r="Z59" s="14" t="s">
        <v>48</v>
      </c>
    </row>
    <row r="60" customFormat="false" ht="16.4" hidden="true" customHeight="false" outlineLevel="0" collapsed="false">
      <c r="B60" s="1" t="s">
        <v>181</v>
      </c>
      <c r="C60" s="1" t="s">
        <v>38</v>
      </c>
      <c r="D60" s="13" t="n">
        <v>0.8125</v>
      </c>
      <c r="E60" s="14" t="s">
        <v>182</v>
      </c>
      <c r="F60" s="14" t="s">
        <v>183</v>
      </c>
      <c r="H60" s="1" t="n">
        <v>35.4</v>
      </c>
      <c r="I60" s="1" t="n">
        <v>30.8</v>
      </c>
      <c r="J60" s="1" t="n">
        <v>33.8</v>
      </c>
      <c r="K60" s="1" t="n">
        <v>66.2</v>
      </c>
      <c r="L60" s="1" t="n">
        <v>64.6</v>
      </c>
      <c r="M60" s="1" t="n">
        <v>69.2</v>
      </c>
      <c r="N60" s="1" t="n">
        <v>32.3</v>
      </c>
      <c r="O60" s="1" t="n">
        <v>47.5</v>
      </c>
      <c r="P60" s="1" t="n">
        <v>20.2</v>
      </c>
      <c r="Q60" s="1" t="n">
        <v>63</v>
      </c>
      <c r="R60" s="1" t="n">
        <v>69.7</v>
      </c>
      <c r="S60" s="1" t="n">
        <v>42.1</v>
      </c>
      <c r="T60" s="1" t="n">
        <v>57.9</v>
      </c>
      <c r="U60" s="1" t="n">
        <v>63.1</v>
      </c>
      <c r="V60" s="1" t="n">
        <v>49.4</v>
      </c>
      <c r="W60" s="1" t="n">
        <v>50.6</v>
      </c>
      <c r="Z60" s="14" t="s">
        <v>54</v>
      </c>
    </row>
    <row r="61" customFormat="false" ht="16.4" hidden="true" customHeight="false" outlineLevel="0" collapsed="false">
      <c r="B61" s="1" t="s">
        <v>184</v>
      </c>
      <c r="C61" s="1" t="s">
        <v>38</v>
      </c>
      <c r="D61" s="13" t="n">
        <v>0.8125</v>
      </c>
      <c r="E61" s="14" t="s">
        <v>185</v>
      </c>
      <c r="F61" s="14" t="s">
        <v>186</v>
      </c>
      <c r="H61" s="1" t="n">
        <v>35.6</v>
      </c>
      <c r="I61" s="1" t="n">
        <v>27.2</v>
      </c>
      <c r="J61" s="1" t="n">
        <v>37.2</v>
      </c>
      <c r="K61" s="1" t="n">
        <v>62.8</v>
      </c>
      <c r="L61" s="1" t="n">
        <v>64.4</v>
      </c>
      <c r="M61" s="1" t="n">
        <v>72.8</v>
      </c>
      <c r="N61" s="1" t="n">
        <v>24.9</v>
      </c>
      <c r="O61" s="1" t="n">
        <v>41.1</v>
      </c>
      <c r="P61" s="1" t="n">
        <v>34</v>
      </c>
      <c r="Q61" s="1" t="n">
        <v>73.4</v>
      </c>
      <c r="R61" s="1" t="n">
        <v>82.2</v>
      </c>
      <c r="S61" s="1" t="n">
        <v>59.2</v>
      </c>
      <c r="T61" s="1" t="n">
        <v>40.8</v>
      </c>
      <c r="U61" s="1" t="n">
        <v>46.4</v>
      </c>
      <c r="V61" s="1" t="n">
        <v>62.8</v>
      </c>
      <c r="W61" s="1" t="n">
        <v>37.2</v>
      </c>
      <c r="Z61" s="14" t="s">
        <v>54</v>
      </c>
    </row>
    <row r="62" customFormat="false" ht="16.05" hidden="true" customHeight="false" outlineLevel="0" collapsed="false">
      <c r="B62" s="1" t="s">
        <v>187</v>
      </c>
      <c r="C62" s="1" t="s">
        <v>38</v>
      </c>
      <c r="D62" s="13" t="n">
        <v>0.833333333333333</v>
      </c>
      <c r="E62" s="14" t="s">
        <v>188</v>
      </c>
      <c r="F62" s="14" t="s">
        <v>189</v>
      </c>
      <c r="H62" s="1" t="n">
        <v>55.8</v>
      </c>
      <c r="I62" s="1" t="n">
        <v>24</v>
      </c>
      <c r="J62" s="1" t="n">
        <v>20.2</v>
      </c>
      <c r="K62" s="1" t="n">
        <v>79.8</v>
      </c>
      <c r="L62" s="1" t="n">
        <v>44.2</v>
      </c>
      <c r="M62" s="1" t="n">
        <v>76</v>
      </c>
      <c r="N62" s="1" t="n">
        <v>32.8</v>
      </c>
      <c r="O62" s="1" t="n">
        <v>40.7</v>
      </c>
      <c r="P62" s="1" t="n">
        <v>26.5</v>
      </c>
      <c r="Q62" s="1" t="n">
        <v>74</v>
      </c>
      <c r="R62" s="1" t="n">
        <v>87.8</v>
      </c>
      <c r="S62" s="1" t="n">
        <v>68.9</v>
      </c>
      <c r="T62" s="1" t="n">
        <v>31.1</v>
      </c>
      <c r="U62" s="1" t="n">
        <v>37.6</v>
      </c>
      <c r="V62" s="1" t="n">
        <v>66.5</v>
      </c>
      <c r="W62" s="1" t="n">
        <v>33.5</v>
      </c>
      <c r="Z62" s="14" t="s">
        <v>54</v>
      </c>
    </row>
    <row r="63" customFormat="false" ht="16.05" hidden="true" customHeight="false" outlineLevel="0" collapsed="false">
      <c r="B63" s="1" t="s">
        <v>187</v>
      </c>
      <c r="C63" s="1" t="s">
        <v>38</v>
      </c>
      <c r="D63" s="13" t="n">
        <v>0.833333333333333</v>
      </c>
      <c r="E63" s="14" t="s">
        <v>190</v>
      </c>
      <c r="F63" s="14" t="s">
        <v>191</v>
      </c>
      <c r="H63" s="1" t="n">
        <v>30.8</v>
      </c>
      <c r="I63" s="1" t="n">
        <v>28.4</v>
      </c>
      <c r="J63" s="1" t="n">
        <v>40.8</v>
      </c>
      <c r="K63" s="1" t="n">
        <v>59.2</v>
      </c>
      <c r="L63" s="1" t="n">
        <v>69.2</v>
      </c>
      <c r="M63" s="1" t="n">
        <v>71.6</v>
      </c>
      <c r="N63" s="1" t="n">
        <v>25.7</v>
      </c>
      <c r="O63" s="1" t="n">
        <v>47.6</v>
      </c>
      <c r="P63" s="1" t="n">
        <v>26.7</v>
      </c>
      <c r="Q63" s="1" t="n">
        <v>63.6</v>
      </c>
      <c r="R63" s="1" t="n">
        <v>78</v>
      </c>
      <c r="S63" s="1" t="n">
        <v>52.9</v>
      </c>
      <c r="T63" s="1" t="n">
        <v>47.1</v>
      </c>
      <c r="U63" s="1" t="n">
        <v>52.8</v>
      </c>
      <c r="V63" s="1" t="n">
        <v>57.6</v>
      </c>
      <c r="W63" s="1" t="n">
        <v>42.4</v>
      </c>
      <c r="Z63" s="14" t="s">
        <v>54</v>
      </c>
    </row>
    <row r="64" customFormat="false" ht="16.05" hidden="true" customHeight="false" outlineLevel="0" collapsed="false">
      <c r="B64" s="1" t="s">
        <v>192</v>
      </c>
      <c r="C64" s="1" t="s">
        <v>38</v>
      </c>
      <c r="D64" s="13" t="n">
        <v>0.833333333333333</v>
      </c>
      <c r="E64" s="14" t="s">
        <v>193</v>
      </c>
      <c r="F64" s="14" t="s">
        <v>194</v>
      </c>
      <c r="H64" s="1" t="n">
        <v>27.4</v>
      </c>
      <c r="I64" s="1" t="n">
        <v>26.1</v>
      </c>
      <c r="J64" s="1" t="n">
        <v>46.6</v>
      </c>
      <c r="K64" s="1" t="n">
        <v>53.4</v>
      </c>
      <c r="L64" s="1" t="n">
        <v>72.6</v>
      </c>
      <c r="M64" s="1" t="n">
        <v>73.9</v>
      </c>
      <c r="N64" s="1" t="n">
        <v>27.9</v>
      </c>
      <c r="O64" s="1" t="n">
        <v>39.2</v>
      </c>
      <c r="P64" s="1" t="n">
        <v>32.9</v>
      </c>
      <c r="Q64" s="1" t="n">
        <v>76.6</v>
      </c>
      <c r="R64" s="1" t="n">
        <v>86</v>
      </c>
      <c r="S64" s="1" t="n">
        <v>65.6</v>
      </c>
      <c r="T64" s="1" t="n">
        <v>34.4</v>
      </c>
      <c r="U64" s="1" t="n">
        <v>40.3</v>
      </c>
      <c r="V64" s="1" t="n">
        <v>66.6</v>
      </c>
      <c r="W64" s="1" t="n">
        <v>33.4</v>
      </c>
      <c r="Z64" s="14" t="s">
        <v>54</v>
      </c>
    </row>
    <row r="65" customFormat="false" ht="16.05" hidden="true" customHeight="false" outlineLevel="0" collapsed="false">
      <c r="B65" s="1" t="s">
        <v>192</v>
      </c>
      <c r="C65" s="1" t="s">
        <v>38</v>
      </c>
      <c r="D65" s="13" t="n">
        <v>0.833333333333333</v>
      </c>
      <c r="E65" s="14" t="s">
        <v>195</v>
      </c>
      <c r="F65" s="14" t="s">
        <v>196</v>
      </c>
      <c r="H65" s="1" t="n">
        <v>39.8</v>
      </c>
      <c r="I65" s="1" t="n">
        <v>25.9</v>
      </c>
      <c r="J65" s="1" t="n">
        <v>34.4</v>
      </c>
      <c r="K65" s="1" t="n">
        <v>65.6</v>
      </c>
      <c r="L65" s="1" t="n">
        <v>60.2</v>
      </c>
      <c r="M65" s="1" t="n">
        <v>74.1</v>
      </c>
      <c r="N65" s="1" t="n">
        <v>35.4</v>
      </c>
      <c r="O65" s="1" t="n">
        <v>40</v>
      </c>
      <c r="P65" s="1" t="n">
        <v>24.6</v>
      </c>
      <c r="Q65" s="1" t="n">
        <v>74.7</v>
      </c>
      <c r="R65" s="1" t="n">
        <v>87.2</v>
      </c>
      <c r="S65" s="1" t="n">
        <v>67.7</v>
      </c>
      <c r="T65" s="1" t="n">
        <v>32.3</v>
      </c>
      <c r="U65" s="1" t="n">
        <v>37.7</v>
      </c>
      <c r="V65" s="1" t="n">
        <v>69.3</v>
      </c>
      <c r="W65" s="1" t="n">
        <v>30.7</v>
      </c>
      <c r="Z65" s="14" t="s">
        <v>54</v>
      </c>
    </row>
    <row r="66" customFormat="false" ht="16.05" hidden="true" customHeight="false" outlineLevel="0" collapsed="false">
      <c r="B66" s="1" t="s">
        <v>181</v>
      </c>
      <c r="C66" s="1" t="s">
        <v>38</v>
      </c>
      <c r="D66" s="13" t="n">
        <v>0.854166666666667</v>
      </c>
      <c r="E66" s="14" t="s">
        <v>197</v>
      </c>
      <c r="F66" s="14" t="s">
        <v>198</v>
      </c>
      <c r="H66" s="1" t="n">
        <v>42.7</v>
      </c>
      <c r="I66" s="1" t="n">
        <v>31</v>
      </c>
      <c r="J66" s="1" t="n">
        <v>26.3</v>
      </c>
      <c r="K66" s="1" t="n">
        <v>73.7</v>
      </c>
      <c r="L66" s="1" t="n">
        <v>57.3</v>
      </c>
      <c r="M66" s="1" t="n">
        <v>69</v>
      </c>
      <c r="N66" s="1" t="n">
        <v>24.2</v>
      </c>
      <c r="O66" s="1" t="n">
        <v>52.7</v>
      </c>
      <c r="P66" s="1" t="n">
        <v>23</v>
      </c>
      <c r="Q66" s="1" t="n">
        <v>55.9</v>
      </c>
      <c r="R66" s="1" t="n">
        <v>66.1</v>
      </c>
      <c r="S66" s="1" t="n">
        <v>38</v>
      </c>
      <c r="T66" s="1" t="n">
        <v>62</v>
      </c>
      <c r="U66" s="1" t="n">
        <v>67.3</v>
      </c>
      <c r="V66" s="1" t="n">
        <v>45.1</v>
      </c>
      <c r="W66" s="1" t="n">
        <v>54.9</v>
      </c>
      <c r="Z66" s="14" t="s">
        <v>54</v>
      </c>
    </row>
    <row r="67" customFormat="false" ht="16.05" hidden="true" customHeight="false" outlineLevel="0" collapsed="false">
      <c r="B67" s="1" t="s">
        <v>181</v>
      </c>
      <c r="C67" s="1" t="s">
        <v>38</v>
      </c>
      <c r="D67" s="13" t="n">
        <v>0.854166666666667</v>
      </c>
      <c r="E67" s="14" t="s">
        <v>199</v>
      </c>
      <c r="F67" s="14" t="s">
        <v>200</v>
      </c>
      <c r="H67" s="1" t="n">
        <v>47.6</v>
      </c>
      <c r="I67" s="1" t="n">
        <v>28.9</v>
      </c>
      <c r="J67" s="1" t="n">
        <v>23.6</v>
      </c>
      <c r="K67" s="1" t="n">
        <v>76.4</v>
      </c>
      <c r="L67" s="1" t="n">
        <v>52.4</v>
      </c>
      <c r="M67" s="1" t="n">
        <v>71.1</v>
      </c>
      <c r="N67" s="1" t="n">
        <v>31.3</v>
      </c>
      <c r="O67" s="1" t="n">
        <v>49.6</v>
      </c>
      <c r="P67" s="1" t="n">
        <v>19.1</v>
      </c>
      <c r="Q67" s="1" t="n">
        <v>59.8</v>
      </c>
      <c r="R67" s="1" t="n">
        <v>70.8</v>
      </c>
      <c r="S67" s="1" t="n">
        <v>43.6</v>
      </c>
      <c r="T67" s="1" t="n">
        <v>56.4</v>
      </c>
      <c r="U67" s="1" t="n">
        <v>62.4</v>
      </c>
      <c r="V67" s="1" t="n">
        <v>48.7</v>
      </c>
      <c r="W67" s="1" t="n">
        <v>51.3</v>
      </c>
      <c r="Z67" s="14" t="s">
        <v>54</v>
      </c>
    </row>
    <row r="68" customFormat="false" ht="16.4" hidden="true" customHeight="false" outlineLevel="0" collapsed="false">
      <c r="B68" s="1" t="s">
        <v>167</v>
      </c>
      <c r="C68" s="1" t="s">
        <v>38</v>
      </c>
      <c r="D68" s="13" t="n">
        <v>0.875</v>
      </c>
      <c r="E68" s="14" t="s">
        <v>201</v>
      </c>
      <c r="F68" s="14" t="s">
        <v>202</v>
      </c>
      <c r="H68" s="1" t="n">
        <v>39.6</v>
      </c>
      <c r="I68" s="1" t="n">
        <v>31.6</v>
      </c>
      <c r="J68" s="1" t="n">
        <v>28.8</v>
      </c>
      <c r="K68" s="1" t="n">
        <v>71.2</v>
      </c>
      <c r="L68" s="1" t="n">
        <v>60.4</v>
      </c>
      <c r="M68" s="1" t="n">
        <v>68.4</v>
      </c>
      <c r="N68" s="1" t="n">
        <v>25.7</v>
      </c>
      <c r="O68" s="1" t="n">
        <v>53</v>
      </c>
      <c r="P68" s="1" t="n">
        <v>21.3</v>
      </c>
      <c r="Q68" s="1" t="n">
        <v>55.4</v>
      </c>
      <c r="R68" s="1" t="n">
        <v>65.7</v>
      </c>
      <c r="S68" s="1" t="n">
        <v>37.6</v>
      </c>
      <c r="T68" s="1" t="n">
        <v>62.4</v>
      </c>
      <c r="U68" s="1" t="n">
        <v>67.5</v>
      </c>
      <c r="V68" s="1" t="n">
        <v>45.4</v>
      </c>
      <c r="W68" s="1" t="n">
        <v>54.6</v>
      </c>
      <c r="Z68" s="14" t="s">
        <v>48</v>
      </c>
    </row>
    <row r="69" customFormat="false" ht="16.05" hidden="true" customHeight="false" outlineLevel="0" collapsed="false">
      <c r="B69" s="1" t="s">
        <v>192</v>
      </c>
      <c r="C69" s="1" t="s">
        <v>38</v>
      </c>
      <c r="D69" s="13" t="n">
        <v>0.875</v>
      </c>
      <c r="E69" s="14" t="s">
        <v>203</v>
      </c>
      <c r="F69" s="14" t="s">
        <v>204</v>
      </c>
      <c r="H69" s="1" t="n">
        <v>29.1</v>
      </c>
      <c r="I69" s="1" t="n">
        <v>27.5</v>
      </c>
      <c r="J69" s="1" t="n">
        <v>43.5</v>
      </c>
      <c r="K69" s="1" t="n">
        <v>56.5</v>
      </c>
      <c r="L69" s="1" t="n">
        <v>70.9</v>
      </c>
      <c r="M69" s="1" t="n">
        <v>72.5</v>
      </c>
      <c r="N69" s="1" t="n">
        <v>22.3</v>
      </c>
      <c r="O69" s="1" t="n">
        <v>44.3</v>
      </c>
      <c r="P69" s="1" t="n">
        <v>33.4</v>
      </c>
      <c r="Q69" s="1" t="n">
        <v>68.3</v>
      </c>
      <c r="R69" s="1" t="n">
        <v>81</v>
      </c>
      <c r="S69" s="1" t="n">
        <v>57.3</v>
      </c>
      <c r="T69" s="1" t="n">
        <v>42.7</v>
      </c>
      <c r="U69" s="1" t="n">
        <v>48.5</v>
      </c>
      <c r="V69" s="1" t="n">
        <v>60.8</v>
      </c>
      <c r="W69" s="1" t="n">
        <v>39.2</v>
      </c>
      <c r="Z69" s="14" t="s">
        <v>54</v>
      </c>
    </row>
    <row r="70" customFormat="false" ht="16.4" hidden="true" customHeight="false" outlineLevel="0" collapsed="false">
      <c r="B70" s="1" t="s">
        <v>192</v>
      </c>
      <c r="C70" s="1" t="s">
        <v>38</v>
      </c>
      <c r="D70" s="13" t="n">
        <v>0.875</v>
      </c>
      <c r="E70" s="14" t="s">
        <v>205</v>
      </c>
      <c r="F70" s="14" t="s">
        <v>206</v>
      </c>
      <c r="H70" s="1" t="n">
        <v>46</v>
      </c>
      <c r="I70" s="1" t="n">
        <v>26.6</v>
      </c>
      <c r="J70" s="1" t="n">
        <v>27.3</v>
      </c>
      <c r="K70" s="1" t="n">
        <v>72.7</v>
      </c>
      <c r="L70" s="1" t="n">
        <v>54</v>
      </c>
      <c r="M70" s="1" t="n">
        <v>73.4</v>
      </c>
      <c r="N70" s="1" t="n">
        <v>34.7</v>
      </c>
      <c r="O70" s="1" t="n">
        <v>43.2</v>
      </c>
      <c r="P70" s="1" t="n">
        <v>22.1</v>
      </c>
      <c r="Q70" s="1" t="n">
        <v>69.5</v>
      </c>
      <c r="R70" s="1" t="n">
        <v>81.1</v>
      </c>
      <c r="S70" s="1" t="n">
        <v>57.6</v>
      </c>
      <c r="T70" s="1" t="n">
        <v>42.4</v>
      </c>
      <c r="U70" s="1" t="n">
        <v>48.4</v>
      </c>
      <c r="V70" s="1" t="n">
        <v>60.5</v>
      </c>
      <c r="W70" s="1" t="n">
        <v>39.5</v>
      </c>
      <c r="Z70" s="14" t="s">
        <v>54</v>
      </c>
    </row>
    <row r="71" customFormat="false" ht="16.4" hidden="true" customHeight="false" outlineLevel="0" collapsed="false">
      <c r="B71" s="1" t="s">
        <v>172</v>
      </c>
      <c r="C71" s="1" t="s">
        <v>38</v>
      </c>
      <c r="D71" s="13" t="n">
        <v>0.895833333333333</v>
      </c>
      <c r="E71" s="14" t="s">
        <v>207</v>
      </c>
      <c r="F71" s="14" t="s">
        <v>208</v>
      </c>
      <c r="H71" s="1" t="n">
        <v>47.3</v>
      </c>
      <c r="I71" s="1" t="n">
        <v>30.7</v>
      </c>
      <c r="J71" s="1" t="n">
        <v>22</v>
      </c>
      <c r="K71" s="1" t="n">
        <v>78</v>
      </c>
      <c r="L71" s="1" t="n">
        <v>52.7</v>
      </c>
      <c r="M71" s="1" t="n">
        <v>69.3</v>
      </c>
      <c r="N71" s="1" t="n">
        <v>28.6</v>
      </c>
      <c r="O71" s="1" t="n">
        <v>53</v>
      </c>
      <c r="P71" s="1" t="n">
        <v>18.4</v>
      </c>
      <c r="Q71" s="1" t="n">
        <v>55.1</v>
      </c>
      <c r="R71" s="1" t="n">
        <v>64.1</v>
      </c>
      <c r="S71" s="1" t="n">
        <v>35.9</v>
      </c>
      <c r="T71" s="1" t="n">
        <v>64.1</v>
      </c>
      <c r="U71" s="1" t="n">
        <v>69.7</v>
      </c>
      <c r="V71" s="1" t="n">
        <v>42.1</v>
      </c>
      <c r="W71" s="1" t="n">
        <v>57.9</v>
      </c>
      <c r="Z71" s="14" t="s">
        <v>36</v>
      </c>
    </row>
    <row r="72" customFormat="false" ht="16.4" hidden="true" customHeight="false" outlineLevel="0" collapsed="false">
      <c r="B72" s="1" t="s">
        <v>209</v>
      </c>
      <c r="C72" s="1" t="s">
        <v>38</v>
      </c>
      <c r="D72" s="13" t="n">
        <v>0.916666666666667</v>
      </c>
      <c r="E72" s="14" t="s">
        <v>210</v>
      </c>
      <c r="F72" s="14" t="s">
        <v>211</v>
      </c>
      <c r="H72" s="1" t="n">
        <v>45.6</v>
      </c>
      <c r="I72" s="1" t="n">
        <v>32.8</v>
      </c>
      <c r="J72" s="1" t="n">
        <v>21.6</v>
      </c>
      <c r="K72" s="1" t="n">
        <v>78.4</v>
      </c>
      <c r="L72" s="1" t="n">
        <v>54.4</v>
      </c>
      <c r="M72" s="1" t="n">
        <v>67.2</v>
      </c>
      <c r="N72" s="1" t="n">
        <v>30.8</v>
      </c>
      <c r="O72" s="1" t="n">
        <v>51.1</v>
      </c>
      <c r="P72" s="1" t="n">
        <v>18.1</v>
      </c>
      <c r="Q72" s="1" t="n">
        <v>57.5</v>
      </c>
      <c r="R72" s="1" t="n">
        <v>57.8</v>
      </c>
      <c r="S72" s="1" t="n">
        <v>29.6</v>
      </c>
      <c r="T72" s="1" t="n">
        <v>70.4</v>
      </c>
      <c r="U72" s="1" t="n">
        <v>75.5</v>
      </c>
      <c r="V72" s="1" t="n">
        <v>36.8</v>
      </c>
      <c r="W72" s="1" t="n">
        <v>63.2</v>
      </c>
      <c r="Z72" s="14" t="s">
        <v>36</v>
      </c>
    </row>
    <row r="73" customFormat="false" ht="16.4" hidden="true" customHeight="false" outlineLevel="0" collapsed="false">
      <c r="B73" s="1" t="s">
        <v>164</v>
      </c>
      <c r="C73" s="1" t="s">
        <v>38</v>
      </c>
      <c r="D73" s="13" t="n">
        <v>0.916666666666667</v>
      </c>
      <c r="E73" s="14" t="s">
        <v>212</v>
      </c>
      <c r="F73" s="14" t="s">
        <v>213</v>
      </c>
      <c r="H73" s="1" t="n">
        <v>42.8</v>
      </c>
      <c r="I73" s="1" t="n">
        <v>32</v>
      </c>
      <c r="J73" s="1" t="n">
        <v>25.2</v>
      </c>
      <c r="K73" s="1" t="n">
        <v>74.8</v>
      </c>
      <c r="L73" s="1" t="n">
        <v>57.2</v>
      </c>
      <c r="M73" s="1" t="n">
        <v>68</v>
      </c>
      <c r="N73" s="1" t="n">
        <v>26.4</v>
      </c>
      <c r="O73" s="1" t="n">
        <v>47.1</v>
      </c>
      <c r="P73" s="1" t="n">
        <v>26.5</v>
      </c>
      <c r="Q73" s="1" t="n">
        <v>64.3</v>
      </c>
      <c r="R73" s="1" t="n">
        <v>62.6</v>
      </c>
      <c r="S73" s="1" t="n">
        <v>34.2</v>
      </c>
      <c r="T73" s="1" t="n">
        <v>65.8</v>
      </c>
      <c r="U73" s="1" t="n">
        <v>70.9</v>
      </c>
      <c r="V73" s="1" t="n">
        <v>41.8</v>
      </c>
      <c r="W73" s="1" t="n">
        <v>58.2</v>
      </c>
      <c r="Z73" s="14" t="s">
        <v>48</v>
      </c>
    </row>
    <row r="74" customFormat="false" ht="16.4" hidden="true" customHeight="false" outlineLevel="0" collapsed="false">
      <c r="B74" s="1" t="s">
        <v>214</v>
      </c>
      <c r="C74" s="1" t="s">
        <v>38</v>
      </c>
      <c r="D74" s="13" t="n">
        <v>0.916666666666667</v>
      </c>
      <c r="E74" s="14" t="s">
        <v>215</v>
      </c>
      <c r="F74" s="14" t="s">
        <v>216</v>
      </c>
      <c r="H74" s="1" t="n">
        <v>35.3</v>
      </c>
      <c r="I74" s="1" t="n">
        <v>31.8</v>
      </c>
      <c r="J74" s="1" t="n">
        <v>32.8</v>
      </c>
      <c r="K74" s="1" t="n">
        <v>67.2</v>
      </c>
      <c r="L74" s="1" t="n">
        <v>64.7</v>
      </c>
      <c r="M74" s="1" t="n">
        <v>68.2</v>
      </c>
      <c r="N74" s="1" t="n">
        <v>12.5</v>
      </c>
      <c r="O74" s="1" t="n">
        <v>58.4</v>
      </c>
      <c r="P74" s="1" t="n">
        <v>29.1</v>
      </c>
      <c r="Q74" s="1" t="n">
        <v>47.1</v>
      </c>
      <c r="R74" s="1" t="n">
        <v>66.2</v>
      </c>
      <c r="S74" s="1" t="n">
        <v>38.1</v>
      </c>
      <c r="T74" s="1" t="n">
        <v>61.9</v>
      </c>
      <c r="U74" s="1" t="n">
        <v>66.9</v>
      </c>
      <c r="V74" s="1" t="n">
        <v>46.2</v>
      </c>
      <c r="W74" s="1" t="n">
        <v>53.8</v>
      </c>
      <c r="Z74" s="14" t="s">
        <v>36</v>
      </c>
    </row>
    <row r="75" customFormat="false" ht="16.4" hidden="true" customHeight="false" outlineLevel="0" collapsed="false">
      <c r="B75" s="1" t="s">
        <v>214</v>
      </c>
      <c r="C75" s="1" t="s">
        <v>38</v>
      </c>
      <c r="D75" s="13" t="n">
        <v>0.916666666666667</v>
      </c>
      <c r="E75" s="14" t="s">
        <v>217</v>
      </c>
      <c r="F75" s="14" t="s">
        <v>218</v>
      </c>
      <c r="H75" s="1" t="n">
        <v>45.3</v>
      </c>
      <c r="I75" s="1" t="n">
        <v>25.7</v>
      </c>
      <c r="J75" s="1" t="n">
        <v>29</v>
      </c>
      <c r="K75" s="1" t="n">
        <v>71</v>
      </c>
      <c r="L75" s="1" t="n">
        <v>54.7</v>
      </c>
      <c r="M75" s="1" t="n">
        <v>74.3</v>
      </c>
      <c r="N75" s="1" t="n">
        <v>36.3</v>
      </c>
      <c r="O75" s="1" t="n">
        <v>43.4</v>
      </c>
      <c r="P75" s="1" t="n">
        <v>20.3</v>
      </c>
      <c r="Q75" s="1" t="n">
        <v>68.7</v>
      </c>
      <c r="R75" s="1" t="n">
        <v>85.9</v>
      </c>
      <c r="S75" s="1" t="n">
        <v>65.4</v>
      </c>
      <c r="T75" s="1" t="n">
        <v>34.6</v>
      </c>
      <c r="U75" s="1" t="n">
        <v>40.4</v>
      </c>
      <c r="V75" s="1" t="n">
        <v>66.8</v>
      </c>
      <c r="W75" s="1" t="n">
        <v>33.2</v>
      </c>
      <c r="Z75" s="14" t="s">
        <v>133</v>
      </c>
    </row>
    <row r="76" customFormat="false" ht="16.05" hidden="true" customHeight="false" outlineLevel="0" collapsed="false">
      <c r="B76" s="1" t="s">
        <v>219</v>
      </c>
      <c r="C76" s="1" t="s">
        <v>38</v>
      </c>
      <c r="D76" s="13" t="n">
        <v>0.916666666666667</v>
      </c>
      <c r="E76" s="14" t="s">
        <v>220</v>
      </c>
      <c r="F76" s="14" t="s">
        <v>221</v>
      </c>
      <c r="H76" s="1" t="n">
        <v>64.1</v>
      </c>
      <c r="I76" s="1" t="n">
        <v>22.5</v>
      </c>
      <c r="J76" s="1" t="n">
        <v>13.5</v>
      </c>
      <c r="K76" s="1" t="n">
        <v>86.5</v>
      </c>
      <c r="L76" s="1" t="n">
        <v>35.9</v>
      </c>
      <c r="M76" s="1" t="n">
        <v>77.5</v>
      </c>
      <c r="N76" s="1" t="n">
        <v>52.3</v>
      </c>
      <c r="O76" s="1" t="n">
        <v>33.2</v>
      </c>
      <c r="P76" s="1" t="n">
        <v>14.5</v>
      </c>
      <c r="Q76" s="1" t="n">
        <v>80.4</v>
      </c>
      <c r="R76" s="1" t="n">
        <v>88.8</v>
      </c>
      <c r="S76" s="1" t="n">
        <v>70.9</v>
      </c>
      <c r="T76" s="1" t="n">
        <v>29.1</v>
      </c>
      <c r="U76" s="1" t="n">
        <v>37</v>
      </c>
      <c r="V76" s="1" t="n">
        <v>63.5</v>
      </c>
      <c r="W76" s="1" t="n">
        <v>36.5</v>
      </c>
      <c r="Z76" s="14" t="s">
        <v>54</v>
      </c>
    </row>
    <row r="77" customFormat="false" ht="16.4" hidden="true" customHeight="false" outlineLevel="0" collapsed="false">
      <c r="B77" s="1" t="s">
        <v>222</v>
      </c>
      <c r="C77" s="1" t="s">
        <v>38</v>
      </c>
      <c r="D77" s="13" t="n">
        <v>0.9375</v>
      </c>
      <c r="E77" s="14" t="s">
        <v>223</v>
      </c>
      <c r="F77" s="14" t="s">
        <v>224</v>
      </c>
      <c r="H77" s="1" t="n">
        <v>38.7</v>
      </c>
      <c r="I77" s="1" t="n">
        <v>30.9</v>
      </c>
      <c r="J77" s="1" t="n">
        <v>30.4</v>
      </c>
      <c r="K77" s="1" t="n">
        <v>69.6</v>
      </c>
      <c r="L77" s="1" t="n">
        <v>61.3</v>
      </c>
      <c r="M77" s="1" t="n">
        <v>69.1</v>
      </c>
      <c r="N77" s="1" t="n">
        <v>23.1</v>
      </c>
      <c r="O77" s="1" t="n">
        <v>49.7</v>
      </c>
      <c r="P77" s="1" t="n">
        <v>27.2</v>
      </c>
      <c r="Q77" s="1" t="n">
        <v>60.4</v>
      </c>
      <c r="R77" s="1" t="n">
        <v>68.4</v>
      </c>
      <c r="S77" s="1" t="n">
        <v>40.6</v>
      </c>
      <c r="T77" s="1" t="n">
        <v>59.4</v>
      </c>
      <c r="U77" s="1" t="n">
        <v>64.6</v>
      </c>
      <c r="V77" s="1" t="n">
        <v>48.1</v>
      </c>
      <c r="W77" s="1" t="n">
        <v>51.9</v>
      </c>
      <c r="Z77" s="14" t="s">
        <v>54</v>
      </c>
    </row>
    <row r="78" customFormat="false" ht="16.4" hidden="true" customHeight="false" outlineLevel="0" collapsed="false">
      <c r="B78" s="1" t="s">
        <v>225</v>
      </c>
      <c r="C78" s="1" t="s">
        <v>38</v>
      </c>
      <c r="D78" s="13" t="n">
        <v>0.958333333333333</v>
      </c>
      <c r="E78" s="14" t="s">
        <v>226</v>
      </c>
      <c r="F78" s="14" t="s">
        <v>227</v>
      </c>
      <c r="H78" s="1" t="n">
        <v>49</v>
      </c>
      <c r="I78" s="1" t="n">
        <v>29.7</v>
      </c>
      <c r="J78" s="1" t="n">
        <v>21.3</v>
      </c>
      <c r="K78" s="1" t="n">
        <v>78.7</v>
      </c>
      <c r="L78" s="1" t="n">
        <v>51</v>
      </c>
      <c r="M78" s="1" t="n">
        <v>70.3</v>
      </c>
      <c r="N78" s="1" t="n">
        <v>40.2</v>
      </c>
      <c r="O78" s="1" t="n">
        <v>45.4</v>
      </c>
      <c r="P78" s="1" t="n">
        <v>14.4</v>
      </c>
      <c r="Q78" s="1" t="n">
        <v>64</v>
      </c>
      <c r="R78" s="1" t="n">
        <v>66.3</v>
      </c>
      <c r="S78" s="1" t="n">
        <v>38.3</v>
      </c>
      <c r="T78" s="1" t="n">
        <v>61.7</v>
      </c>
      <c r="U78" s="1" t="n">
        <v>67.6</v>
      </c>
      <c r="V78" s="1" t="n">
        <v>43.7</v>
      </c>
      <c r="W78" s="1" t="n">
        <v>56.3</v>
      </c>
      <c r="Z78" s="14" t="s">
        <v>36</v>
      </c>
    </row>
    <row r="79" customFormat="false" ht="16.4" hidden="true" customHeight="false" outlineLevel="0" collapsed="false">
      <c r="B79" s="1" t="s">
        <v>228</v>
      </c>
      <c r="C79" s="1" t="s">
        <v>38</v>
      </c>
      <c r="D79" s="13" t="n">
        <v>0.958333333333333</v>
      </c>
      <c r="E79" s="14" t="s">
        <v>229</v>
      </c>
      <c r="F79" s="14" t="s">
        <v>230</v>
      </c>
      <c r="H79" s="1" t="n">
        <v>39.8</v>
      </c>
      <c r="I79" s="1" t="n">
        <v>28.9</v>
      </c>
      <c r="J79" s="1" t="n">
        <v>31.3</v>
      </c>
      <c r="K79" s="1" t="n">
        <v>68.7</v>
      </c>
      <c r="L79" s="1" t="n">
        <v>60.2</v>
      </c>
      <c r="M79" s="1" t="n">
        <v>71.1</v>
      </c>
      <c r="N79" s="1" t="n">
        <v>18.9</v>
      </c>
      <c r="O79" s="1" t="n">
        <v>50</v>
      </c>
      <c r="P79" s="1" t="n">
        <v>31.1</v>
      </c>
      <c r="Q79" s="1" t="n">
        <v>59.5</v>
      </c>
      <c r="R79" s="1" t="n">
        <v>75.1</v>
      </c>
      <c r="S79" s="1" t="n">
        <v>48.9</v>
      </c>
      <c r="T79" s="1" t="n">
        <v>51.1</v>
      </c>
      <c r="U79" s="1" t="n">
        <v>56.7</v>
      </c>
      <c r="V79" s="1" t="n">
        <v>54.6</v>
      </c>
      <c r="W79" s="1" t="n">
        <v>45.4</v>
      </c>
      <c r="Z79" s="14" t="s">
        <v>133</v>
      </c>
    </row>
    <row r="80" customFormat="false" ht="16.4" hidden="true" customHeight="false" outlineLevel="0" collapsed="false">
      <c r="B80" s="1" t="s">
        <v>214</v>
      </c>
      <c r="C80" s="1" t="s">
        <v>231</v>
      </c>
      <c r="D80" s="13" t="n">
        <v>0.00694444444444444</v>
      </c>
      <c r="E80" s="14" t="s">
        <v>232</v>
      </c>
      <c r="F80" s="14" t="s">
        <v>233</v>
      </c>
      <c r="H80" s="1" t="n">
        <v>34.8</v>
      </c>
      <c r="I80" s="1" t="n">
        <v>27.1</v>
      </c>
      <c r="J80" s="1" t="n">
        <v>38.1</v>
      </c>
      <c r="K80" s="1" t="n">
        <v>61.9</v>
      </c>
      <c r="L80" s="1" t="n">
        <v>65.2</v>
      </c>
      <c r="M80" s="1" t="n">
        <v>72.9</v>
      </c>
      <c r="N80" s="1" t="n">
        <v>26.2</v>
      </c>
      <c r="O80" s="1" t="n">
        <v>41.1</v>
      </c>
      <c r="P80" s="1" t="n">
        <v>32.7</v>
      </c>
      <c r="Q80" s="1" t="n">
        <v>73.5</v>
      </c>
      <c r="R80" s="1" t="n">
        <v>82.5</v>
      </c>
      <c r="S80" s="1" t="n">
        <v>59.8</v>
      </c>
      <c r="T80" s="1" t="n">
        <v>40.2</v>
      </c>
      <c r="U80" s="1" t="n">
        <v>45.9</v>
      </c>
      <c r="V80" s="1" t="n">
        <v>63.2</v>
      </c>
      <c r="W80" s="1" t="n">
        <v>36.8</v>
      </c>
      <c r="Z80" s="14" t="s">
        <v>133</v>
      </c>
    </row>
    <row r="81" customFormat="false" ht="16.05" hidden="true" customHeight="false" outlineLevel="0" collapsed="false">
      <c r="B81" s="1" t="s">
        <v>234</v>
      </c>
      <c r="C81" s="1" t="s">
        <v>231</v>
      </c>
      <c r="D81" s="13" t="n">
        <v>0.0416666666666667</v>
      </c>
      <c r="E81" s="14" t="s">
        <v>235</v>
      </c>
      <c r="F81" s="14" t="s">
        <v>236</v>
      </c>
      <c r="H81" s="1" t="n">
        <v>49.4</v>
      </c>
      <c r="I81" s="1" t="n">
        <v>24.9</v>
      </c>
      <c r="J81" s="1" t="n">
        <v>25.7</v>
      </c>
      <c r="K81" s="1" t="n">
        <v>74.3</v>
      </c>
      <c r="L81" s="1" t="n">
        <v>50.6</v>
      </c>
      <c r="M81" s="1" t="n">
        <v>75.1</v>
      </c>
      <c r="N81" s="1" t="n">
        <v>36.8</v>
      </c>
      <c r="O81" s="1" t="n">
        <v>35.2</v>
      </c>
      <c r="P81" s="1" t="n">
        <v>28</v>
      </c>
      <c r="Q81" s="1" t="n">
        <v>82.5</v>
      </c>
      <c r="R81" s="1" t="n">
        <v>92.6</v>
      </c>
      <c r="S81" s="1" t="n">
        <v>78.5</v>
      </c>
      <c r="T81" s="1" t="n">
        <v>21.5</v>
      </c>
      <c r="U81" s="1" t="n">
        <v>26.6</v>
      </c>
      <c r="V81" s="1" t="n">
        <v>76.4</v>
      </c>
      <c r="W81" s="1" t="n">
        <v>23.6</v>
      </c>
      <c r="Z81" s="14" t="s">
        <v>54</v>
      </c>
    </row>
    <row r="82" customFormat="false" ht="16.05" hidden="true" customHeight="false" outlineLevel="0" collapsed="false">
      <c r="B82" s="1" t="s">
        <v>237</v>
      </c>
      <c r="C82" s="1" t="s">
        <v>231</v>
      </c>
      <c r="D82" s="13" t="n">
        <v>0.0833333333333333</v>
      </c>
      <c r="E82" s="14" t="s">
        <v>238</v>
      </c>
      <c r="F82" s="14" t="s">
        <v>239</v>
      </c>
      <c r="H82" s="1" t="n">
        <v>49.3</v>
      </c>
      <c r="I82" s="1" t="n">
        <v>24.8</v>
      </c>
      <c r="J82" s="1" t="n">
        <v>25.9</v>
      </c>
      <c r="K82" s="1" t="n">
        <v>74.1</v>
      </c>
      <c r="L82" s="1" t="n">
        <v>50.7</v>
      </c>
      <c r="M82" s="1" t="n">
        <v>75.2</v>
      </c>
      <c r="N82" s="1" t="n">
        <v>34.8</v>
      </c>
      <c r="O82" s="1" t="n">
        <v>38.9</v>
      </c>
      <c r="P82" s="1" t="n">
        <v>26.3</v>
      </c>
      <c r="Q82" s="1" t="n">
        <v>76.7</v>
      </c>
      <c r="R82" s="1" t="n">
        <v>89</v>
      </c>
      <c r="S82" s="1" t="n">
        <v>71.2</v>
      </c>
      <c r="T82" s="1" t="n">
        <v>28.8</v>
      </c>
      <c r="U82" s="1" t="n">
        <v>34.6</v>
      </c>
      <c r="V82" s="1" t="n">
        <v>70.5</v>
      </c>
      <c r="W82" s="1" t="n">
        <v>29.5</v>
      </c>
      <c r="Z82" s="14" t="s">
        <v>54</v>
      </c>
    </row>
    <row r="83" customFormat="false" ht="16.05" hidden="true" customHeight="false" outlineLevel="0" collapsed="false">
      <c r="B83" s="1" t="s">
        <v>237</v>
      </c>
      <c r="C83" s="1" t="s">
        <v>231</v>
      </c>
      <c r="D83" s="13" t="n">
        <v>0.0833333333333333</v>
      </c>
      <c r="E83" s="14" t="s">
        <v>240</v>
      </c>
      <c r="F83" s="14" t="s">
        <v>241</v>
      </c>
      <c r="H83" s="1" t="n">
        <v>42.4</v>
      </c>
      <c r="I83" s="1" t="n">
        <v>27.2</v>
      </c>
      <c r="J83" s="1" t="n">
        <v>30.4</v>
      </c>
      <c r="K83" s="1" t="n">
        <v>69.6</v>
      </c>
      <c r="L83" s="1" t="n">
        <v>57.6</v>
      </c>
      <c r="M83" s="1" t="n">
        <v>72.8</v>
      </c>
      <c r="N83" s="1" t="n">
        <v>40.7</v>
      </c>
      <c r="O83" s="1" t="n">
        <v>38.8</v>
      </c>
      <c r="P83" s="1" t="n">
        <v>20.5</v>
      </c>
      <c r="Q83" s="1" t="n">
        <v>75.3</v>
      </c>
      <c r="R83" s="1" t="n">
        <v>80.5</v>
      </c>
      <c r="S83" s="1" t="n">
        <v>56.6</v>
      </c>
      <c r="T83" s="1" t="n">
        <v>43.4</v>
      </c>
      <c r="U83" s="1" t="n">
        <v>49.1</v>
      </c>
      <c r="V83" s="1" t="n">
        <v>60.4</v>
      </c>
      <c r="W83" s="1" t="n">
        <v>39.6</v>
      </c>
      <c r="Z83" s="14" t="s">
        <v>54</v>
      </c>
    </row>
    <row r="84" customFormat="false" ht="16.05" hidden="true" customHeight="false" outlineLevel="0" collapsed="false">
      <c r="B84" s="1" t="s">
        <v>237</v>
      </c>
      <c r="C84" s="1" t="s">
        <v>231</v>
      </c>
      <c r="D84" s="13" t="n">
        <v>0.0833333333333333</v>
      </c>
      <c r="E84" s="14" t="s">
        <v>242</v>
      </c>
      <c r="F84" s="14" t="s">
        <v>243</v>
      </c>
      <c r="H84" s="1" t="n">
        <v>57.2</v>
      </c>
      <c r="I84" s="1" t="n">
        <v>24.3</v>
      </c>
      <c r="J84" s="1" t="n">
        <v>18.5</v>
      </c>
      <c r="K84" s="1" t="n">
        <v>81.5</v>
      </c>
      <c r="L84" s="1" t="n">
        <v>42.8</v>
      </c>
      <c r="M84" s="1" t="n">
        <v>75.7</v>
      </c>
      <c r="N84" s="1" t="n">
        <v>49.7</v>
      </c>
      <c r="O84" s="1" t="n">
        <v>36.7</v>
      </c>
      <c r="P84" s="1" t="n">
        <v>13.5</v>
      </c>
      <c r="Q84" s="1" t="n">
        <v>74.9</v>
      </c>
      <c r="R84" s="1" t="n">
        <v>82.7</v>
      </c>
      <c r="S84" s="1" t="n">
        <v>60.1</v>
      </c>
      <c r="T84" s="1" t="n">
        <v>39.9</v>
      </c>
      <c r="U84" s="1" t="n">
        <v>47.1</v>
      </c>
      <c r="V84" s="1" t="n">
        <v>58.7</v>
      </c>
      <c r="W84" s="1" t="n">
        <v>41.3</v>
      </c>
      <c r="Z84" s="14" t="s">
        <v>54</v>
      </c>
    </row>
    <row r="85" customFormat="false" ht="16.05" hidden="true" customHeight="false" outlineLevel="0" collapsed="false">
      <c r="B85" s="1" t="s">
        <v>237</v>
      </c>
      <c r="C85" s="1" t="s">
        <v>231</v>
      </c>
      <c r="D85" s="13" t="n">
        <v>0.0833333333333333</v>
      </c>
      <c r="E85" s="14" t="s">
        <v>244</v>
      </c>
      <c r="F85" s="14" t="s">
        <v>245</v>
      </c>
      <c r="H85" s="1" t="n">
        <v>57.7</v>
      </c>
      <c r="I85" s="1" t="n">
        <v>24</v>
      </c>
      <c r="J85" s="1" t="n">
        <v>18.3</v>
      </c>
      <c r="K85" s="1" t="n">
        <v>81.7</v>
      </c>
      <c r="L85" s="1" t="n">
        <v>42.3</v>
      </c>
      <c r="M85" s="1" t="n">
        <v>76</v>
      </c>
      <c r="N85" s="1" t="n">
        <v>46.4</v>
      </c>
      <c r="O85" s="1" t="n">
        <v>36.1</v>
      </c>
      <c r="P85" s="1" t="n">
        <v>17.5</v>
      </c>
      <c r="Q85" s="1" t="n">
        <v>77.9</v>
      </c>
      <c r="R85" s="1" t="n">
        <v>84.1</v>
      </c>
      <c r="S85" s="1" t="n">
        <v>62.5</v>
      </c>
      <c r="T85" s="1" t="n">
        <v>37.5</v>
      </c>
      <c r="U85" s="1" t="n">
        <v>44.7</v>
      </c>
      <c r="V85" s="1" t="n">
        <v>60.4</v>
      </c>
      <c r="W85" s="1" t="n">
        <v>39.6</v>
      </c>
      <c r="Z85" s="14" t="s">
        <v>54</v>
      </c>
    </row>
    <row r="86" customFormat="false" ht="16.05" hidden="true" customHeight="false" outlineLevel="0" collapsed="false">
      <c r="B86" s="1" t="s">
        <v>237</v>
      </c>
      <c r="C86" s="1" t="s">
        <v>231</v>
      </c>
      <c r="D86" s="13" t="n">
        <v>0.0833333333333333</v>
      </c>
      <c r="E86" s="14" t="s">
        <v>246</v>
      </c>
      <c r="F86" s="14" t="s">
        <v>247</v>
      </c>
      <c r="H86" s="1" t="n">
        <v>56.9</v>
      </c>
      <c r="I86" s="1" t="n">
        <v>25</v>
      </c>
      <c r="J86" s="1" t="n">
        <v>18</v>
      </c>
      <c r="K86" s="1" t="n">
        <v>82</v>
      </c>
      <c r="L86" s="1" t="n">
        <v>43.1</v>
      </c>
      <c r="M86" s="1" t="n">
        <v>75</v>
      </c>
      <c r="N86" s="1" t="n">
        <v>38.5</v>
      </c>
      <c r="O86" s="1" t="n">
        <v>44.1</v>
      </c>
      <c r="P86" s="1" t="n">
        <v>17.4</v>
      </c>
      <c r="Q86" s="1" t="n">
        <v>66.8</v>
      </c>
      <c r="R86" s="1" t="n">
        <v>78.6</v>
      </c>
      <c r="S86" s="1" t="n">
        <v>54</v>
      </c>
      <c r="T86" s="1" t="n">
        <v>46</v>
      </c>
      <c r="U86" s="1" t="n">
        <v>53.4</v>
      </c>
      <c r="V86" s="1" t="n">
        <v>53.6</v>
      </c>
      <c r="W86" s="1" t="n">
        <v>46.4</v>
      </c>
      <c r="Z86" s="14" t="s">
        <v>54</v>
      </c>
    </row>
    <row r="87" customFormat="false" ht="16.05" hidden="true" customHeight="false" outlineLevel="0" collapsed="false">
      <c r="B87" s="1" t="s">
        <v>237</v>
      </c>
      <c r="C87" s="1" t="s">
        <v>231</v>
      </c>
      <c r="D87" s="13" t="n">
        <v>0.0833333333333333</v>
      </c>
      <c r="E87" s="14" t="s">
        <v>248</v>
      </c>
      <c r="F87" s="14" t="s">
        <v>249</v>
      </c>
      <c r="H87" s="1" t="n">
        <v>59.3</v>
      </c>
      <c r="I87" s="1" t="n">
        <v>24.8</v>
      </c>
      <c r="J87" s="1" t="n">
        <v>15.9</v>
      </c>
      <c r="K87" s="1" t="n">
        <v>84.1</v>
      </c>
      <c r="L87" s="1" t="n">
        <v>40.7</v>
      </c>
      <c r="M87" s="1" t="n">
        <v>75.2</v>
      </c>
      <c r="N87" s="1" t="n">
        <v>42.2</v>
      </c>
      <c r="O87" s="1" t="n">
        <v>42.8</v>
      </c>
      <c r="P87" s="1" t="n">
        <v>15</v>
      </c>
      <c r="Q87" s="1" t="n">
        <v>67.6</v>
      </c>
      <c r="R87" s="1" t="n">
        <v>76.3</v>
      </c>
      <c r="S87" s="1" t="n">
        <v>50.8</v>
      </c>
      <c r="T87" s="1" t="n">
        <v>49.2</v>
      </c>
      <c r="U87" s="1" t="n">
        <v>57.1</v>
      </c>
      <c r="V87" s="1" t="n">
        <v>49.6</v>
      </c>
      <c r="W87" s="1" t="n">
        <v>50.4</v>
      </c>
      <c r="Z87" s="14" t="s">
        <v>54</v>
      </c>
    </row>
    <row r="88" customFormat="false" ht="16.05" hidden="true" customHeight="false" outlineLevel="0" collapsed="false">
      <c r="B88" s="1" t="s">
        <v>237</v>
      </c>
      <c r="C88" s="1" t="s">
        <v>231</v>
      </c>
      <c r="D88" s="13" t="n">
        <v>0.0833333333333333</v>
      </c>
      <c r="E88" s="14" t="s">
        <v>250</v>
      </c>
      <c r="F88" s="14" t="s">
        <v>251</v>
      </c>
      <c r="H88" s="1" t="n">
        <v>54.5</v>
      </c>
      <c r="I88" s="1" t="n">
        <v>24.7</v>
      </c>
      <c r="J88" s="1" t="n">
        <v>20.8</v>
      </c>
      <c r="K88" s="1" t="n">
        <v>79.2</v>
      </c>
      <c r="L88" s="1" t="n">
        <v>45.5</v>
      </c>
      <c r="M88" s="1" t="n">
        <v>75.3</v>
      </c>
      <c r="N88" s="1" t="n">
        <v>39.1</v>
      </c>
      <c r="O88" s="1" t="n">
        <v>39.9</v>
      </c>
      <c r="P88" s="1" t="n">
        <v>21</v>
      </c>
      <c r="Q88" s="1" t="n">
        <v>74</v>
      </c>
      <c r="R88" s="1" t="n">
        <v>83.7</v>
      </c>
      <c r="S88" s="1" t="n">
        <v>61.8</v>
      </c>
      <c r="T88" s="1" t="n">
        <v>38.2</v>
      </c>
      <c r="U88" s="1" t="n">
        <v>45</v>
      </c>
      <c r="V88" s="1" t="n">
        <v>61.2</v>
      </c>
      <c r="W88" s="1" t="n">
        <v>38.8</v>
      </c>
      <c r="Z88" s="14" t="s">
        <v>54</v>
      </c>
    </row>
    <row r="89" customFormat="false" ht="16.05" hidden="true" customHeight="false" outlineLevel="0" collapsed="false">
      <c r="B89" s="1" t="s">
        <v>252</v>
      </c>
      <c r="C89" s="1" t="s">
        <v>231</v>
      </c>
      <c r="D89" s="13" t="n">
        <v>0.104166666666667</v>
      </c>
      <c r="E89" s="14" t="s">
        <v>253</v>
      </c>
      <c r="F89" s="14" t="s">
        <v>254</v>
      </c>
      <c r="H89" s="1" t="n">
        <v>37.8</v>
      </c>
      <c r="I89" s="1" t="n">
        <v>27.4</v>
      </c>
      <c r="J89" s="1" t="n">
        <v>34.7</v>
      </c>
      <c r="K89" s="1" t="n">
        <v>65.3</v>
      </c>
      <c r="L89" s="1" t="n">
        <v>62.2</v>
      </c>
      <c r="M89" s="1" t="n">
        <v>72.6</v>
      </c>
      <c r="N89" s="1" t="n">
        <v>23.6</v>
      </c>
      <c r="O89" s="1" t="n">
        <v>41.9</v>
      </c>
      <c r="P89" s="1" t="n">
        <v>34.5</v>
      </c>
      <c r="Q89" s="1" t="n">
        <v>72.1</v>
      </c>
      <c r="R89" s="1" t="n">
        <v>81</v>
      </c>
      <c r="S89" s="1" t="n">
        <v>57.3</v>
      </c>
      <c r="T89" s="1" t="n">
        <v>42.7</v>
      </c>
      <c r="U89" s="1" t="n">
        <v>48.3</v>
      </c>
      <c r="V89" s="1" t="n">
        <v>61.4</v>
      </c>
      <c r="W89" s="1" t="n">
        <v>38.6</v>
      </c>
      <c r="Z89" s="14" t="s">
        <v>54</v>
      </c>
    </row>
    <row r="90" customFormat="false" ht="16.05" hidden="true" customHeight="false" outlineLevel="0" collapsed="false">
      <c r="B90" s="1" t="s">
        <v>255</v>
      </c>
      <c r="C90" s="1" t="s">
        <v>231</v>
      </c>
      <c r="D90" s="13" t="n">
        <v>0.125</v>
      </c>
      <c r="E90" s="14" t="s">
        <v>256</v>
      </c>
      <c r="F90" s="14" t="s">
        <v>257</v>
      </c>
      <c r="H90" s="1" t="n">
        <v>59.4</v>
      </c>
      <c r="I90" s="1" t="n">
        <v>24</v>
      </c>
      <c r="J90" s="1" t="n">
        <v>16.6</v>
      </c>
      <c r="K90" s="1" t="n">
        <v>83.4</v>
      </c>
      <c r="L90" s="1" t="n">
        <v>40.6</v>
      </c>
      <c r="M90" s="1" t="n">
        <v>76</v>
      </c>
      <c r="N90" s="1" t="n">
        <v>47.4</v>
      </c>
      <c r="O90" s="1" t="n">
        <v>35</v>
      </c>
      <c r="P90" s="1" t="n">
        <v>17.6</v>
      </c>
      <c r="Q90" s="1" t="n">
        <v>79.5</v>
      </c>
      <c r="R90" s="1" t="n">
        <v>92.7</v>
      </c>
      <c r="S90" s="1" t="n">
        <v>78.7</v>
      </c>
      <c r="T90" s="1" t="n">
        <v>21.3</v>
      </c>
      <c r="U90" s="1" t="n">
        <v>27.4</v>
      </c>
      <c r="V90" s="1" t="n">
        <v>72.9</v>
      </c>
      <c r="W90" s="1" t="n">
        <v>27.1</v>
      </c>
      <c r="Z90" s="14" t="s">
        <v>54</v>
      </c>
    </row>
    <row r="91" customFormat="false" ht="16.05" hidden="true" customHeight="false" outlineLevel="0" collapsed="false">
      <c r="B91" s="1" t="s">
        <v>258</v>
      </c>
      <c r="C91" s="1" t="s">
        <v>231</v>
      </c>
      <c r="D91" s="13" t="n">
        <v>0.125</v>
      </c>
      <c r="E91" s="14" t="s">
        <v>259</v>
      </c>
      <c r="F91" s="14" t="s">
        <v>260</v>
      </c>
      <c r="H91" s="1" t="n">
        <v>55.3</v>
      </c>
      <c r="I91" s="1" t="n">
        <v>24</v>
      </c>
      <c r="J91" s="1" t="n">
        <v>20.6</v>
      </c>
      <c r="K91" s="1" t="n">
        <v>79.4</v>
      </c>
      <c r="L91" s="1" t="n">
        <v>44.7</v>
      </c>
      <c r="M91" s="1" t="n">
        <v>76</v>
      </c>
      <c r="N91" s="1" t="n">
        <v>42.3</v>
      </c>
      <c r="O91" s="1" t="n">
        <v>34.8</v>
      </c>
      <c r="P91" s="1" t="n">
        <v>22.9</v>
      </c>
      <c r="Q91" s="1" t="n">
        <v>81.8</v>
      </c>
      <c r="R91" s="1" t="n">
        <v>89.6</v>
      </c>
      <c r="S91" s="1" t="n">
        <v>72.3</v>
      </c>
      <c r="T91" s="1" t="n">
        <v>27.7</v>
      </c>
      <c r="U91" s="1" t="n">
        <v>33.9</v>
      </c>
      <c r="V91" s="1" t="n">
        <v>69.5</v>
      </c>
      <c r="W91" s="1" t="n">
        <v>30.5</v>
      </c>
      <c r="Z91" s="14" t="s">
        <v>54</v>
      </c>
    </row>
    <row r="92" customFormat="false" ht="16.05" hidden="true" customHeight="false" outlineLevel="0" collapsed="false">
      <c r="B92" s="1" t="s">
        <v>261</v>
      </c>
      <c r="C92" s="1" t="s">
        <v>231</v>
      </c>
      <c r="D92" s="13" t="n">
        <v>0.166666666666667</v>
      </c>
      <c r="E92" s="14" t="s">
        <v>262</v>
      </c>
      <c r="F92" s="14" t="s">
        <v>263</v>
      </c>
      <c r="H92" s="1" t="n">
        <v>45.9</v>
      </c>
      <c r="I92" s="1" t="n">
        <v>25.1</v>
      </c>
      <c r="J92" s="1" t="n">
        <v>29</v>
      </c>
      <c r="K92" s="1" t="n">
        <v>71</v>
      </c>
      <c r="L92" s="1" t="n">
        <v>54.1</v>
      </c>
      <c r="M92" s="1" t="n">
        <v>74.9</v>
      </c>
      <c r="N92" s="1" t="n">
        <v>39.2</v>
      </c>
      <c r="O92" s="1" t="n">
        <v>37</v>
      </c>
      <c r="P92" s="1" t="n">
        <v>23.7</v>
      </c>
      <c r="Q92" s="1" t="n">
        <v>78.9</v>
      </c>
      <c r="R92" s="1" t="n">
        <v>89.7</v>
      </c>
      <c r="S92" s="1" t="n">
        <v>72.4</v>
      </c>
      <c r="T92" s="1" t="n">
        <v>27.6</v>
      </c>
      <c r="U92" s="1" t="n">
        <v>33.1</v>
      </c>
      <c r="V92" s="1" t="n">
        <v>72.2</v>
      </c>
      <c r="W92" s="1" t="n">
        <v>27.8</v>
      </c>
      <c r="Z92" s="14" t="s">
        <v>54</v>
      </c>
    </row>
    <row r="93" customFormat="false" ht="16.05" hidden="true" customHeight="false" outlineLevel="0" collapsed="false">
      <c r="B93" s="1" t="s">
        <v>255</v>
      </c>
      <c r="C93" s="1" t="s">
        <v>231</v>
      </c>
      <c r="D93" s="13" t="n">
        <v>0.25</v>
      </c>
      <c r="E93" s="14" t="s">
        <v>264</v>
      </c>
      <c r="F93" s="14" t="s">
        <v>265</v>
      </c>
      <c r="H93" s="1" t="n">
        <v>44.9</v>
      </c>
      <c r="I93" s="1" t="n">
        <v>25.1</v>
      </c>
      <c r="J93" s="1" t="n">
        <v>30</v>
      </c>
      <c r="K93" s="1" t="n">
        <v>70</v>
      </c>
      <c r="L93" s="1" t="n">
        <v>55.1</v>
      </c>
      <c r="M93" s="1" t="n">
        <v>74.9</v>
      </c>
      <c r="N93" s="1" t="n">
        <v>35.3</v>
      </c>
      <c r="O93" s="1" t="n">
        <v>36.6</v>
      </c>
      <c r="P93" s="1" t="n">
        <v>28.2</v>
      </c>
      <c r="Q93" s="1" t="n">
        <v>80.4</v>
      </c>
      <c r="R93" s="1" t="n">
        <v>91.3</v>
      </c>
      <c r="S93" s="1" t="n">
        <v>75.6</v>
      </c>
      <c r="T93" s="1" t="n">
        <v>24.4</v>
      </c>
      <c r="U93" s="1" t="n">
        <v>29.5</v>
      </c>
      <c r="V93" s="1" t="n">
        <v>74.9</v>
      </c>
      <c r="W93" s="1" t="n">
        <v>25.1</v>
      </c>
      <c r="Z93" s="14" t="s">
        <v>54</v>
      </c>
    </row>
    <row r="94" customFormat="false" ht="16.4" hidden="true" customHeight="false" outlineLevel="0" collapsed="false">
      <c r="B94" s="1" t="s">
        <v>43</v>
      </c>
      <c r="C94" s="1" t="s">
        <v>231</v>
      </c>
      <c r="D94" s="13" t="n">
        <v>0.25</v>
      </c>
      <c r="E94" s="14" t="s">
        <v>266</v>
      </c>
      <c r="F94" s="14" t="s">
        <v>267</v>
      </c>
      <c r="H94" s="1" t="n">
        <v>43.3</v>
      </c>
      <c r="I94" s="1" t="n">
        <v>26.6</v>
      </c>
      <c r="J94" s="1" t="n">
        <v>30.2</v>
      </c>
      <c r="K94" s="1" t="n">
        <v>69.8</v>
      </c>
      <c r="L94" s="1" t="n">
        <v>56.7</v>
      </c>
      <c r="M94" s="1" t="n">
        <v>73.4</v>
      </c>
      <c r="N94" s="1" t="n">
        <v>32.6</v>
      </c>
      <c r="O94" s="1" t="n">
        <v>42.8</v>
      </c>
      <c r="P94" s="1" t="n">
        <v>24.5</v>
      </c>
      <c r="Q94" s="1" t="n">
        <v>70.5</v>
      </c>
      <c r="R94" s="1" t="n">
        <v>82.7</v>
      </c>
      <c r="S94" s="1" t="n">
        <v>60</v>
      </c>
      <c r="T94" s="1" t="n">
        <v>40</v>
      </c>
      <c r="U94" s="1" t="n">
        <v>45.8</v>
      </c>
      <c r="V94" s="1" t="n">
        <v>62.9</v>
      </c>
      <c r="W94" s="1" t="n">
        <v>37.1</v>
      </c>
      <c r="Z94" s="14" t="s">
        <v>133</v>
      </c>
    </row>
    <row r="95" customFormat="false" ht="16.05" hidden="true" customHeight="false" outlineLevel="0" collapsed="false">
      <c r="B95" s="1" t="s">
        <v>252</v>
      </c>
      <c r="C95" s="1" t="s">
        <v>231</v>
      </c>
      <c r="D95" s="13" t="n">
        <v>0.270833333333333</v>
      </c>
      <c r="E95" s="14" t="s">
        <v>268</v>
      </c>
      <c r="F95" s="14" t="s">
        <v>269</v>
      </c>
      <c r="H95" s="1" t="n">
        <v>49.6</v>
      </c>
      <c r="I95" s="1" t="n">
        <v>24.9</v>
      </c>
      <c r="J95" s="1" t="n">
        <v>25.5</v>
      </c>
      <c r="K95" s="1" t="n">
        <v>74.5</v>
      </c>
      <c r="L95" s="1" t="n">
        <v>50.4</v>
      </c>
      <c r="M95" s="1" t="n">
        <v>75.1</v>
      </c>
      <c r="N95" s="1" t="n">
        <v>48.6</v>
      </c>
      <c r="O95" s="1" t="n">
        <v>34.6</v>
      </c>
      <c r="P95" s="1" t="n">
        <v>16.8</v>
      </c>
      <c r="Q95" s="1" t="n">
        <v>79.7</v>
      </c>
      <c r="R95" s="1" t="n">
        <v>88.2</v>
      </c>
      <c r="S95" s="1" t="n">
        <v>69.5</v>
      </c>
      <c r="T95" s="1" t="n">
        <v>30.5</v>
      </c>
      <c r="U95" s="1" t="n">
        <v>36.3</v>
      </c>
      <c r="V95" s="1" t="n">
        <v>69.1</v>
      </c>
      <c r="W95" s="1" t="n">
        <v>30.9</v>
      </c>
      <c r="Z95" s="14" t="s">
        <v>54</v>
      </c>
    </row>
    <row r="96" customFormat="false" ht="16.05" hidden="true" customHeight="false" outlineLevel="0" collapsed="false">
      <c r="B96" s="1" t="s">
        <v>270</v>
      </c>
      <c r="C96" s="1" t="s">
        <v>231</v>
      </c>
      <c r="D96" s="13" t="n">
        <v>0.270833333333333</v>
      </c>
      <c r="E96" s="14" t="s">
        <v>271</v>
      </c>
      <c r="F96" s="14" t="s">
        <v>272</v>
      </c>
      <c r="H96" s="1" t="n">
        <v>50.7</v>
      </c>
      <c r="I96" s="1" t="n">
        <v>24.6</v>
      </c>
      <c r="J96" s="1" t="n">
        <v>24.7</v>
      </c>
      <c r="K96" s="1" t="n">
        <v>75.3</v>
      </c>
      <c r="L96" s="1" t="n">
        <v>49.3</v>
      </c>
      <c r="M96" s="1" t="n">
        <v>75.4</v>
      </c>
      <c r="N96" s="1" t="n">
        <v>42.5</v>
      </c>
      <c r="O96" s="1" t="n">
        <v>35.1</v>
      </c>
      <c r="P96" s="1" t="n">
        <v>22.4</v>
      </c>
      <c r="Q96" s="1" t="n">
        <v>81.3</v>
      </c>
      <c r="R96" s="1" t="n">
        <v>91.1</v>
      </c>
      <c r="S96" s="1" t="n">
        <v>75.2</v>
      </c>
      <c r="T96" s="1" t="n">
        <v>24.8</v>
      </c>
      <c r="U96" s="1" t="n">
        <v>30.3</v>
      </c>
      <c r="V96" s="1" t="n">
        <v>73.4</v>
      </c>
      <c r="W96" s="1" t="n">
        <v>26.6</v>
      </c>
      <c r="Z96" s="14" t="s">
        <v>54</v>
      </c>
    </row>
    <row r="97" customFormat="false" ht="16.05" hidden="true" customHeight="false" outlineLevel="0" collapsed="false">
      <c r="B97" s="1" t="s">
        <v>270</v>
      </c>
      <c r="C97" s="1" t="s">
        <v>231</v>
      </c>
      <c r="D97" s="13" t="n">
        <v>0.270833333333333</v>
      </c>
      <c r="E97" s="14" t="s">
        <v>273</v>
      </c>
      <c r="F97" s="14" t="s">
        <v>274</v>
      </c>
      <c r="H97" s="1" t="n">
        <v>50.1</v>
      </c>
      <c r="I97" s="1" t="n">
        <v>24.7</v>
      </c>
      <c r="J97" s="1" t="n">
        <v>25.2</v>
      </c>
      <c r="K97" s="1" t="n">
        <v>74.8</v>
      </c>
      <c r="L97" s="1" t="n">
        <v>49.9</v>
      </c>
      <c r="M97" s="1" t="n">
        <v>75.3</v>
      </c>
      <c r="N97" s="1" t="n">
        <v>37.9</v>
      </c>
      <c r="O97" s="1" t="n">
        <v>35.4</v>
      </c>
      <c r="P97" s="1" t="n">
        <v>26.7</v>
      </c>
      <c r="Q97" s="1" t="n">
        <v>81.9</v>
      </c>
      <c r="R97" s="1" t="n">
        <v>89.8</v>
      </c>
      <c r="S97" s="1" t="n">
        <v>72.6</v>
      </c>
      <c r="T97" s="1" t="n">
        <v>27.4</v>
      </c>
      <c r="U97" s="1" t="n">
        <v>33.1</v>
      </c>
      <c r="V97" s="1" t="n">
        <v>71.4</v>
      </c>
      <c r="W97" s="1" t="n">
        <v>28.6</v>
      </c>
      <c r="Z97" s="14" t="s">
        <v>54</v>
      </c>
    </row>
    <row r="98" customFormat="false" ht="16.4" hidden="true" customHeight="false" outlineLevel="0" collapsed="false">
      <c r="B98" s="1" t="s">
        <v>270</v>
      </c>
      <c r="C98" s="1" t="s">
        <v>231</v>
      </c>
      <c r="D98" s="13" t="n">
        <v>0.270833333333333</v>
      </c>
      <c r="E98" s="14" t="s">
        <v>275</v>
      </c>
      <c r="F98" s="14" t="s">
        <v>276</v>
      </c>
      <c r="H98" s="1" t="n">
        <v>43.2</v>
      </c>
      <c r="I98" s="1" t="n">
        <v>25.3</v>
      </c>
      <c r="J98" s="1" t="n">
        <v>31.5</v>
      </c>
      <c r="K98" s="1" t="n">
        <v>68.5</v>
      </c>
      <c r="L98" s="1" t="n">
        <v>56.8</v>
      </c>
      <c r="M98" s="1" t="n">
        <v>74.7</v>
      </c>
      <c r="N98" s="1" t="n">
        <v>35.7</v>
      </c>
      <c r="O98" s="1" t="n">
        <v>37.7</v>
      </c>
      <c r="P98" s="1" t="n">
        <v>26.5</v>
      </c>
      <c r="Q98" s="1" t="n">
        <v>78.4</v>
      </c>
      <c r="R98" s="1" t="n">
        <v>89.9</v>
      </c>
      <c r="S98" s="1" t="n">
        <v>72.7</v>
      </c>
      <c r="T98" s="1" t="n">
        <v>27.3</v>
      </c>
      <c r="U98" s="1" t="n">
        <v>32.5</v>
      </c>
      <c r="V98" s="1" t="n">
        <v>72.9</v>
      </c>
      <c r="W98" s="1" t="n">
        <v>27.1</v>
      </c>
      <c r="Z98" s="14" t="s">
        <v>54</v>
      </c>
    </row>
    <row r="99" customFormat="false" ht="16.4" hidden="true" customHeight="false" outlineLevel="0" collapsed="false">
      <c r="B99" s="1" t="s">
        <v>277</v>
      </c>
      <c r="C99" s="1" t="s">
        <v>231</v>
      </c>
      <c r="D99" s="13" t="n">
        <v>0.291666666666667</v>
      </c>
      <c r="E99" s="14" t="s">
        <v>278</v>
      </c>
      <c r="F99" s="14" t="s">
        <v>279</v>
      </c>
      <c r="H99" s="1" t="n">
        <v>42.9</v>
      </c>
      <c r="I99" s="1" t="n">
        <v>27.5</v>
      </c>
      <c r="J99" s="1" t="n">
        <v>29.6</v>
      </c>
      <c r="K99" s="1" t="n">
        <v>70.4</v>
      </c>
      <c r="L99" s="1" t="n">
        <v>57.1</v>
      </c>
      <c r="M99" s="1" t="n">
        <v>72.5</v>
      </c>
      <c r="N99" s="1" t="n">
        <v>26.4</v>
      </c>
      <c r="O99" s="1" t="n">
        <v>41.2</v>
      </c>
      <c r="P99" s="1" t="n">
        <v>32.4</v>
      </c>
      <c r="Q99" s="1" t="n">
        <v>73.4</v>
      </c>
      <c r="R99" s="1" t="n">
        <v>78.9</v>
      </c>
      <c r="S99" s="1" t="n">
        <v>54.3</v>
      </c>
      <c r="T99" s="1" t="n">
        <v>45.7</v>
      </c>
      <c r="U99" s="1" t="n">
        <v>51.5</v>
      </c>
      <c r="V99" s="1" t="n">
        <v>58.5</v>
      </c>
      <c r="W99" s="1" t="n">
        <v>41.5</v>
      </c>
      <c r="Z99" s="14" t="s">
        <v>54</v>
      </c>
    </row>
    <row r="100" customFormat="false" ht="16.4" hidden="true" customHeight="false" outlineLevel="0" collapsed="false">
      <c r="B100" s="1" t="s">
        <v>51</v>
      </c>
      <c r="C100" s="1" t="s">
        <v>231</v>
      </c>
      <c r="D100" s="13" t="n">
        <v>0.291666666666667</v>
      </c>
      <c r="E100" s="14" t="s">
        <v>280</v>
      </c>
      <c r="F100" s="14" t="s">
        <v>281</v>
      </c>
      <c r="H100" s="1" t="n">
        <v>23.1</v>
      </c>
      <c r="I100" s="1" t="n">
        <v>32.8</v>
      </c>
      <c r="J100" s="1" t="n">
        <v>44.1</v>
      </c>
      <c r="K100" s="1" t="n">
        <v>55.9</v>
      </c>
      <c r="L100" s="1" t="n">
        <v>76.9</v>
      </c>
      <c r="M100" s="1" t="n">
        <v>67.2</v>
      </c>
      <c r="N100" s="1" t="n">
        <v>21.8</v>
      </c>
      <c r="O100" s="1" t="n">
        <v>49.2</v>
      </c>
      <c r="P100" s="1" t="n">
        <v>28.9</v>
      </c>
      <c r="Q100" s="1" t="n">
        <v>61</v>
      </c>
      <c r="R100" s="1" t="n">
        <v>62.4</v>
      </c>
      <c r="S100" s="1" t="n">
        <v>34</v>
      </c>
      <c r="T100" s="1" t="n">
        <v>66</v>
      </c>
      <c r="U100" s="1" t="n">
        <v>71.2</v>
      </c>
      <c r="V100" s="1" t="n">
        <v>41.2</v>
      </c>
      <c r="W100" s="1" t="n">
        <v>58.8</v>
      </c>
      <c r="Z100" s="14" t="s">
        <v>54</v>
      </c>
    </row>
    <row r="101" customFormat="false" ht="16.4" hidden="true" customHeight="false" outlineLevel="0" collapsed="false">
      <c r="B101" s="1" t="s">
        <v>125</v>
      </c>
      <c r="C101" s="1" t="s">
        <v>231</v>
      </c>
      <c r="D101" s="13" t="n">
        <v>0.302083333333333</v>
      </c>
      <c r="E101" s="14" t="s">
        <v>282</v>
      </c>
      <c r="F101" s="14" t="s">
        <v>283</v>
      </c>
      <c r="H101" s="1" t="n">
        <v>24</v>
      </c>
      <c r="I101" s="1" t="n">
        <v>30.4</v>
      </c>
      <c r="J101" s="1" t="n">
        <v>45.6</v>
      </c>
      <c r="K101" s="1" t="n">
        <v>54.4</v>
      </c>
      <c r="L101" s="1" t="n">
        <v>76</v>
      </c>
      <c r="M101" s="1" t="n">
        <v>69.6</v>
      </c>
      <c r="N101" s="1" t="n">
        <v>21.8</v>
      </c>
      <c r="O101" s="1" t="n">
        <v>46.7</v>
      </c>
      <c r="P101" s="1" t="n">
        <v>31.5</v>
      </c>
      <c r="Q101" s="1" t="n">
        <v>64.7</v>
      </c>
      <c r="R101" s="1" t="n">
        <v>69.9</v>
      </c>
      <c r="S101" s="1" t="n">
        <v>42.5</v>
      </c>
      <c r="T101" s="1" t="n">
        <v>57.5</v>
      </c>
      <c r="U101" s="1" t="n">
        <v>63.3</v>
      </c>
      <c r="V101" s="1" t="n">
        <v>48.1</v>
      </c>
      <c r="W101" s="1" t="n">
        <v>51.9</v>
      </c>
      <c r="Z101" s="14" t="s">
        <v>36</v>
      </c>
    </row>
    <row r="102" customFormat="false" ht="16.05" hidden="true" customHeight="false" outlineLevel="0" collapsed="false">
      <c r="B102" s="1" t="s">
        <v>284</v>
      </c>
      <c r="C102" s="1" t="s">
        <v>231</v>
      </c>
      <c r="D102" s="13" t="n">
        <v>0.3125</v>
      </c>
      <c r="E102" s="14" t="s">
        <v>285</v>
      </c>
      <c r="F102" s="14" t="s">
        <v>286</v>
      </c>
      <c r="H102" s="1" t="n">
        <v>45.3</v>
      </c>
      <c r="I102" s="1" t="n">
        <v>28.5</v>
      </c>
      <c r="J102" s="1" t="n">
        <v>26.2</v>
      </c>
      <c r="K102" s="1" t="n">
        <v>73.8</v>
      </c>
      <c r="L102" s="1" t="n">
        <v>54.7</v>
      </c>
      <c r="M102" s="1" t="n">
        <v>71.5</v>
      </c>
      <c r="N102" s="1" t="n">
        <v>29</v>
      </c>
      <c r="O102" s="1" t="n">
        <v>47.7</v>
      </c>
      <c r="P102" s="1" t="n">
        <v>23.3</v>
      </c>
      <c r="Q102" s="1" t="n">
        <v>63.2</v>
      </c>
      <c r="R102" s="1" t="n">
        <v>74</v>
      </c>
      <c r="S102" s="1" t="n">
        <v>47.6</v>
      </c>
      <c r="T102" s="1" t="n">
        <v>52.4</v>
      </c>
      <c r="U102" s="1" t="n">
        <v>58.3</v>
      </c>
      <c r="V102" s="1" t="n">
        <v>52.6</v>
      </c>
      <c r="W102" s="1" t="n">
        <v>47.4</v>
      </c>
      <c r="Z102" s="14" t="s">
        <v>36</v>
      </c>
    </row>
    <row r="103" customFormat="false" ht="16.4" hidden="true" customHeight="false" outlineLevel="0" collapsed="false">
      <c r="B103" s="1" t="s">
        <v>284</v>
      </c>
      <c r="C103" s="1" t="s">
        <v>231</v>
      </c>
      <c r="D103" s="13" t="n">
        <v>0.3125</v>
      </c>
      <c r="E103" s="14" t="s">
        <v>287</v>
      </c>
      <c r="F103" s="14" t="s">
        <v>288</v>
      </c>
      <c r="H103" s="1" t="n">
        <v>45.5</v>
      </c>
      <c r="I103" s="1" t="n">
        <v>28.3</v>
      </c>
      <c r="J103" s="1" t="n">
        <v>26.2</v>
      </c>
      <c r="K103" s="1" t="n">
        <v>73.8</v>
      </c>
      <c r="L103" s="1" t="n">
        <v>54.5</v>
      </c>
      <c r="M103" s="1" t="n">
        <v>71.7</v>
      </c>
      <c r="N103" s="1" t="n">
        <v>31.4</v>
      </c>
      <c r="O103" s="1" t="n">
        <v>44.9</v>
      </c>
      <c r="P103" s="1" t="n">
        <v>23.8</v>
      </c>
      <c r="Q103" s="1" t="n">
        <v>67.4</v>
      </c>
      <c r="R103" s="1" t="n">
        <v>74.6</v>
      </c>
      <c r="S103" s="1" t="n">
        <v>48.3</v>
      </c>
      <c r="T103" s="1" t="n">
        <v>51.7</v>
      </c>
      <c r="U103" s="1" t="n">
        <v>57.6</v>
      </c>
      <c r="V103" s="1" t="n">
        <v>53.1</v>
      </c>
      <c r="W103" s="1" t="n">
        <v>46.9</v>
      </c>
      <c r="Z103" s="14" t="s">
        <v>36</v>
      </c>
    </row>
    <row r="104" customFormat="false" ht="16.4" hidden="true" customHeight="false" outlineLevel="0" collapsed="false">
      <c r="B104" s="1" t="s">
        <v>37</v>
      </c>
      <c r="C104" s="1" t="s">
        <v>231</v>
      </c>
      <c r="D104" s="13" t="n">
        <v>0.3125</v>
      </c>
      <c r="E104" s="14" t="s">
        <v>289</v>
      </c>
      <c r="F104" s="14" t="s">
        <v>290</v>
      </c>
      <c r="H104" s="1" t="n">
        <v>36.2</v>
      </c>
      <c r="I104" s="1" t="n">
        <v>30.9</v>
      </c>
      <c r="J104" s="1" t="n">
        <v>32.8</v>
      </c>
      <c r="K104" s="1" t="n">
        <v>67.2</v>
      </c>
      <c r="L104" s="1" t="n">
        <v>63.8</v>
      </c>
      <c r="M104" s="1" t="n">
        <v>69.1</v>
      </c>
      <c r="N104" s="1" t="n">
        <v>26.9</v>
      </c>
      <c r="O104" s="1" t="n">
        <v>49.3</v>
      </c>
      <c r="P104" s="1" t="n">
        <v>23.8</v>
      </c>
      <c r="Q104" s="1" t="n">
        <v>60.9</v>
      </c>
      <c r="R104" s="1" t="n">
        <v>69</v>
      </c>
      <c r="S104" s="1" t="n">
        <v>41.3</v>
      </c>
      <c r="T104" s="1" t="n">
        <v>58.7</v>
      </c>
      <c r="U104" s="1" t="n">
        <v>63.8</v>
      </c>
      <c r="V104" s="1" t="n">
        <v>48.8</v>
      </c>
      <c r="W104" s="1" t="n">
        <v>51.2</v>
      </c>
      <c r="Z104" s="14" t="s">
        <v>36</v>
      </c>
    </row>
    <row r="105" customFormat="false" ht="16.4" hidden="true" customHeight="false" outlineLevel="0" collapsed="false">
      <c r="B105" s="1" t="s">
        <v>37</v>
      </c>
      <c r="C105" s="1" t="s">
        <v>231</v>
      </c>
      <c r="D105" s="13" t="n">
        <v>0.3125</v>
      </c>
      <c r="E105" s="14" t="s">
        <v>291</v>
      </c>
      <c r="F105" s="14" t="s">
        <v>292</v>
      </c>
      <c r="H105" s="1" t="n">
        <v>44</v>
      </c>
      <c r="I105" s="1" t="n">
        <v>29.1</v>
      </c>
      <c r="J105" s="1" t="n">
        <v>26.8</v>
      </c>
      <c r="K105" s="1" t="n">
        <v>73.2</v>
      </c>
      <c r="L105" s="1" t="n">
        <v>56</v>
      </c>
      <c r="M105" s="1" t="n">
        <v>70.9</v>
      </c>
      <c r="N105" s="1" t="n">
        <v>26.2</v>
      </c>
      <c r="O105" s="1" t="n">
        <v>48.4</v>
      </c>
      <c r="P105" s="1" t="n">
        <v>25.4</v>
      </c>
      <c r="Q105" s="1" t="n">
        <v>62.3</v>
      </c>
      <c r="R105" s="1" t="n">
        <v>72.2</v>
      </c>
      <c r="S105" s="1" t="n">
        <v>45.2</v>
      </c>
      <c r="T105" s="1" t="n">
        <v>54.8</v>
      </c>
      <c r="U105" s="1" t="n">
        <v>60.5</v>
      </c>
      <c r="V105" s="1" t="n">
        <v>50.9</v>
      </c>
      <c r="W105" s="1" t="n">
        <v>49.1</v>
      </c>
      <c r="Z105" s="14" t="s">
        <v>20</v>
      </c>
    </row>
    <row r="106" customFormat="false" ht="16.05" hidden="true" customHeight="false" outlineLevel="0" collapsed="false">
      <c r="B106" s="1" t="s">
        <v>37</v>
      </c>
      <c r="C106" s="1" t="s">
        <v>231</v>
      </c>
      <c r="D106" s="13" t="n">
        <v>0.3125</v>
      </c>
      <c r="E106" s="14" t="s">
        <v>293</v>
      </c>
      <c r="F106" s="14" t="s">
        <v>294</v>
      </c>
      <c r="H106" s="1" t="n">
        <v>53</v>
      </c>
      <c r="I106" s="1" t="n">
        <v>26.5</v>
      </c>
      <c r="J106" s="1" t="n">
        <v>20.5</v>
      </c>
      <c r="K106" s="1" t="n">
        <v>79.5</v>
      </c>
      <c r="L106" s="1" t="n">
        <v>47</v>
      </c>
      <c r="M106" s="1" t="n">
        <v>73.5</v>
      </c>
      <c r="N106" s="1" t="n">
        <v>37.1</v>
      </c>
      <c r="O106" s="1" t="n">
        <v>43.6</v>
      </c>
      <c r="P106" s="1" t="n">
        <v>19.3</v>
      </c>
      <c r="Q106" s="1" t="n">
        <v>68.1</v>
      </c>
      <c r="R106" s="1" t="n">
        <v>76.2</v>
      </c>
      <c r="S106" s="1" t="n">
        <v>50.5</v>
      </c>
      <c r="T106" s="1" t="n">
        <v>49.5</v>
      </c>
      <c r="U106" s="1" t="n">
        <v>56.3</v>
      </c>
      <c r="V106" s="1" t="n">
        <v>52.5</v>
      </c>
      <c r="W106" s="1" t="n">
        <v>47.5</v>
      </c>
      <c r="Z106" s="14" t="s">
        <v>20</v>
      </c>
    </row>
    <row r="107" customFormat="false" ht="16.4" hidden="true" customHeight="false" outlineLevel="0" collapsed="false">
      <c r="B107" s="1" t="s">
        <v>37</v>
      </c>
      <c r="C107" s="1" t="s">
        <v>231</v>
      </c>
      <c r="D107" s="13" t="n">
        <v>0.3125</v>
      </c>
      <c r="E107" s="14" t="s">
        <v>295</v>
      </c>
      <c r="F107" s="14" t="s">
        <v>296</v>
      </c>
      <c r="H107" s="1" t="n">
        <v>36.9</v>
      </c>
      <c r="I107" s="1" t="n">
        <v>29</v>
      </c>
      <c r="J107" s="1" t="n">
        <v>34.1</v>
      </c>
      <c r="K107" s="1" t="n">
        <v>65.9</v>
      </c>
      <c r="L107" s="1" t="n">
        <v>63.1</v>
      </c>
      <c r="M107" s="1" t="n">
        <v>71</v>
      </c>
      <c r="N107" s="1" t="n">
        <v>31.5</v>
      </c>
      <c r="O107" s="1" t="n">
        <v>47.5</v>
      </c>
      <c r="P107" s="1" t="n">
        <v>21.1</v>
      </c>
      <c r="Q107" s="1" t="n">
        <v>63.1</v>
      </c>
      <c r="R107" s="1" t="n">
        <v>75.4</v>
      </c>
      <c r="S107" s="1" t="n">
        <v>49.4</v>
      </c>
      <c r="T107" s="1" t="n">
        <v>50.6</v>
      </c>
      <c r="U107" s="1" t="n">
        <v>56.1</v>
      </c>
      <c r="V107" s="1" t="n">
        <v>55.2</v>
      </c>
      <c r="W107" s="1" t="n">
        <v>44.8</v>
      </c>
      <c r="Z107" s="14" t="s">
        <v>133</v>
      </c>
    </row>
    <row r="108" customFormat="false" ht="16.4" hidden="true" customHeight="false" outlineLevel="0" collapsed="false">
      <c r="B108" s="1" t="s">
        <v>297</v>
      </c>
      <c r="C108" s="1" t="s">
        <v>231</v>
      </c>
      <c r="D108" s="13" t="n">
        <v>0.333333333333333</v>
      </c>
      <c r="E108" s="14" t="s">
        <v>298</v>
      </c>
      <c r="F108" s="14" t="s">
        <v>299</v>
      </c>
      <c r="H108" s="1" t="n">
        <v>31.6</v>
      </c>
      <c r="I108" s="1" t="n">
        <v>29.1</v>
      </c>
      <c r="J108" s="1" t="n">
        <v>39.4</v>
      </c>
      <c r="K108" s="1" t="n">
        <v>60.6</v>
      </c>
      <c r="L108" s="1" t="n">
        <v>68.4</v>
      </c>
      <c r="M108" s="1" t="n">
        <v>70.9</v>
      </c>
      <c r="N108" s="1" t="n">
        <v>18.5</v>
      </c>
      <c r="O108" s="1" t="n">
        <v>46.1</v>
      </c>
      <c r="P108" s="1" t="n">
        <v>35.5</v>
      </c>
      <c r="Q108" s="1" t="n">
        <v>65</v>
      </c>
      <c r="R108" s="1" t="n">
        <v>75.7</v>
      </c>
      <c r="S108" s="1" t="n">
        <v>49.7</v>
      </c>
      <c r="T108" s="1" t="n">
        <v>50.3</v>
      </c>
      <c r="U108" s="1" t="n">
        <v>55.8</v>
      </c>
      <c r="V108" s="1" t="n">
        <v>55.3</v>
      </c>
      <c r="W108" s="1" t="n">
        <v>44.7</v>
      </c>
      <c r="Z108" s="14" t="s">
        <v>54</v>
      </c>
    </row>
    <row r="109" customFormat="false" ht="16.4" hidden="true" customHeight="false" outlineLevel="0" collapsed="false">
      <c r="B109" s="1" t="s">
        <v>297</v>
      </c>
      <c r="C109" s="1" t="s">
        <v>231</v>
      </c>
      <c r="D109" s="13" t="n">
        <v>0.333333333333333</v>
      </c>
      <c r="E109" s="14" t="s">
        <v>300</v>
      </c>
      <c r="F109" s="14" t="s">
        <v>301</v>
      </c>
      <c r="H109" s="1" t="n">
        <v>45.7</v>
      </c>
      <c r="I109" s="1" t="n">
        <v>29.6</v>
      </c>
      <c r="J109" s="1" t="n">
        <v>24.7</v>
      </c>
      <c r="K109" s="1" t="n">
        <v>75.3</v>
      </c>
      <c r="L109" s="1" t="n">
        <v>54.3</v>
      </c>
      <c r="M109" s="1" t="n">
        <v>70.4</v>
      </c>
      <c r="N109" s="1" t="n">
        <v>28.8</v>
      </c>
      <c r="O109" s="1" t="n">
        <v>48.6</v>
      </c>
      <c r="P109" s="1" t="n">
        <v>22.7</v>
      </c>
      <c r="Q109" s="1" t="n">
        <v>61.8</v>
      </c>
      <c r="R109" s="1" t="n">
        <v>69.4</v>
      </c>
      <c r="S109" s="1" t="n">
        <v>41.8</v>
      </c>
      <c r="T109" s="1" t="n">
        <v>58.2</v>
      </c>
      <c r="U109" s="1" t="n">
        <v>63.9</v>
      </c>
      <c r="V109" s="1" t="n">
        <v>47.7</v>
      </c>
      <c r="W109" s="1" t="n">
        <v>52.3</v>
      </c>
      <c r="Z109" s="14" t="s">
        <v>20</v>
      </c>
    </row>
    <row r="110" customFormat="false" ht="16.4" hidden="true" customHeight="false" outlineLevel="0" collapsed="false">
      <c r="B110" s="1" t="s">
        <v>43</v>
      </c>
      <c r="C110" s="1" t="s">
        <v>231</v>
      </c>
      <c r="D110" s="13" t="n">
        <v>0.333333333333333</v>
      </c>
      <c r="E110" s="14" t="s">
        <v>302</v>
      </c>
      <c r="F110" s="14" t="s">
        <v>303</v>
      </c>
      <c r="H110" s="1" t="n">
        <v>44</v>
      </c>
      <c r="I110" s="1" t="n">
        <v>28.7</v>
      </c>
      <c r="J110" s="1" t="n">
        <v>27.4</v>
      </c>
      <c r="K110" s="1" t="n">
        <v>72.6</v>
      </c>
      <c r="L110" s="1" t="n">
        <v>56</v>
      </c>
      <c r="M110" s="1" t="n">
        <v>71.3</v>
      </c>
      <c r="N110" s="1" t="n">
        <v>28.9</v>
      </c>
      <c r="O110" s="1" t="n">
        <v>50.9</v>
      </c>
      <c r="P110" s="1" t="n">
        <v>20.2</v>
      </c>
      <c r="Q110" s="1" t="n">
        <v>58.2</v>
      </c>
      <c r="R110" s="1" t="n">
        <v>74.1</v>
      </c>
      <c r="S110" s="1" t="n">
        <v>47.6</v>
      </c>
      <c r="T110" s="1" t="n">
        <v>52.4</v>
      </c>
      <c r="U110" s="1" t="n">
        <v>58.2</v>
      </c>
      <c r="V110" s="1" t="n">
        <v>52.9</v>
      </c>
      <c r="W110" s="1" t="n">
        <v>47.1</v>
      </c>
      <c r="Z110" s="14" t="s">
        <v>22</v>
      </c>
    </row>
    <row r="111" customFormat="false" ht="16.4" hidden="true" customHeight="false" outlineLevel="0" collapsed="false">
      <c r="B111" s="1" t="s">
        <v>43</v>
      </c>
      <c r="C111" s="1" t="s">
        <v>231</v>
      </c>
      <c r="D111" s="13" t="n">
        <v>0.333333333333333</v>
      </c>
      <c r="E111" s="14" t="s">
        <v>304</v>
      </c>
      <c r="F111" s="14" t="s">
        <v>305</v>
      </c>
      <c r="H111" s="1" t="n">
        <v>41.8</v>
      </c>
      <c r="I111" s="1" t="n">
        <v>25.6</v>
      </c>
      <c r="J111" s="1" t="n">
        <v>32.6</v>
      </c>
      <c r="K111" s="1" t="n">
        <v>67.4</v>
      </c>
      <c r="L111" s="1" t="n">
        <v>58.2</v>
      </c>
      <c r="M111" s="1" t="n">
        <v>74.4</v>
      </c>
      <c r="N111" s="1" t="n">
        <v>31.1</v>
      </c>
      <c r="O111" s="1" t="n">
        <v>39.2</v>
      </c>
      <c r="P111" s="1" t="n">
        <v>29.8</v>
      </c>
      <c r="Q111" s="1" t="n">
        <v>76.6</v>
      </c>
      <c r="R111" s="1" t="n">
        <v>87.9</v>
      </c>
      <c r="S111" s="1" t="n">
        <v>68.9</v>
      </c>
      <c r="T111" s="1" t="n">
        <v>31.1</v>
      </c>
      <c r="U111" s="1" t="n">
        <v>36.6</v>
      </c>
      <c r="V111" s="1" t="n">
        <v>70</v>
      </c>
      <c r="W111" s="1" t="n">
        <v>30</v>
      </c>
      <c r="Z111" s="14" t="s">
        <v>36</v>
      </c>
    </row>
    <row r="112" customFormat="false" ht="16.4" hidden="true" customHeight="false" outlineLevel="0" collapsed="false">
      <c r="B112" s="1" t="s">
        <v>306</v>
      </c>
      <c r="C112" s="1" t="s">
        <v>231</v>
      </c>
      <c r="D112" s="13" t="n">
        <v>0.333333333333333</v>
      </c>
      <c r="E112" s="14" t="s">
        <v>307</v>
      </c>
      <c r="F112" s="14" t="s">
        <v>308</v>
      </c>
      <c r="H112" s="1" t="n">
        <v>41.5</v>
      </c>
      <c r="I112" s="1" t="n">
        <v>29.7</v>
      </c>
      <c r="J112" s="1" t="n">
        <v>28.9</v>
      </c>
      <c r="K112" s="1" t="n">
        <v>71.1</v>
      </c>
      <c r="L112" s="1" t="n">
        <v>58.5</v>
      </c>
      <c r="M112" s="1" t="n">
        <v>70.3</v>
      </c>
      <c r="N112" s="1" t="n">
        <v>29.2</v>
      </c>
      <c r="O112" s="1" t="n">
        <v>45.5</v>
      </c>
      <c r="P112" s="1" t="n">
        <v>25.4</v>
      </c>
      <c r="Q112" s="1" t="n">
        <v>66.7</v>
      </c>
      <c r="R112" s="1" t="n">
        <v>71.6</v>
      </c>
      <c r="S112" s="1" t="n">
        <v>44.5</v>
      </c>
      <c r="T112" s="1" t="n">
        <v>55.5</v>
      </c>
      <c r="U112" s="1" t="n">
        <v>61</v>
      </c>
      <c r="V112" s="1" t="n">
        <v>50.8</v>
      </c>
      <c r="W112" s="1" t="n">
        <v>49.2</v>
      </c>
      <c r="Z112" s="14" t="s">
        <v>20</v>
      </c>
    </row>
    <row r="113" customFormat="false" ht="16.4" hidden="true" customHeight="false" outlineLevel="0" collapsed="false">
      <c r="B113" s="1" t="s">
        <v>309</v>
      </c>
      <c r="C113" s="1" t="s">
        <v>231</v>
      </c>
      <c r="D113" s="13" t="n">
        <v>0.333333333333333</v>
      </c>
      <c r="E113" s="14" t="s">
        <v>310</v>
      </c>
      <c r="F113" s="14" t="s">
        <v>311</v>
      </c>
      <c r="H113" s="1" t="n">
        <v>32.9</v>
      </c>
      <c r="I113" s="1" t="n">
        <v>29.3</v>
      </c>
      <c r="J113" s="1" t="n">
        <v>37.8</v>
      </c>
      <c r="K113" s="1" t="n">
        <v>62.2</v>
      </c>
      <c r="L113" s="1" t="n">
        <v>67.1</v>
      </c>
      <c r="M113" s="1" t="n">
        <v>70.7</v>
      </c>
      <c r="N113" s="1" t="n">
        <v>21</v>
      </c>
      <c r="O113" s="1" t="n">
        <v>38.7</v>
      </c>
      <c r="P113" s="1" t="n">
        <v>40.3</v>
      </c>
      <c r="Q113" s="1" t="n">
        <v>76.3</v>
      </c>
      <c r="R113" s="1" t="n">
        <v>74.9</v>
      </c>
      <c r="S113" s="1" t="n">
        <v>48.7</v>
      </c>
      <c r="T113" s="1" t="n">
        <v>51.3</v>
      </c>
      <c r="U113" s="1" t="n">
        <v>56.8</v>
      </c>
      <c r="V113" s="1" t="n">
        <v>54.7</v>
      </c>
      <c r="W113" s="1" t="n">
        <v>45.3</v>
      </c>
      <c r="Z113" s="14" t="s">
        <v>54</v>
      </c>
    </row>
    <row r="114" customFormat="false" ht="16.4" hidden="true" customHeight="false" outlineLevel="0" collapsed="false">
      <c r="B114" s="1" t="s">
        <v>312</v>
      </c>
      <c r="C114" s="1" t="s">
        <v>231</v>
      </c>
      <c r="D114" s="13" t="n">
        <v>0.333333333333333</v>
      </c>
      <c r="E114" s="14" t="s">
        <v>313</v>
      </c>
      <c r="F114" s="14" t="s">
        <v>314</v>
      </c>
      <c r="H114" s="1" t="n">
        <v>41.5</v>
      </c>
      <c r="I114" s="1" t="n">
        <v>29.6</v>
      </c>
      <c r="J114" s="1" t="n">
        <v>28.9</v>
      </c>
      <c r="K114" s="1" t="n">
        <v>71.1</v>
      </c>
      <c r="L114" s="1" t="n">
        <v>58.5</v>
      </c>
      <c r="M114" s="1" t="n">
        <v>70.4</v>
      </c>
      <c r="N114" s="1" t="n">
        <v>28</v>
      </c>
      <c r="O114" s="1" t="n">
        <v>46.4</v>
      </c>
      <c r="P114" s="1" t="n">
        <v>25.7</v>
      </c>
      <c r="Q114" s="1" t="n">
        <v>65.3</v>
      </c>
      <c r="R114" s="1" t="n">
        <v>71.9</v>
      </c>
      <c r="S114" s="1" t="n">
        <v>44.8</v>
      </c>
      <c r="T114" s="1" t="n">
        <v>55.2</v>
      </c>
      <c r="U114" s="1" t="n">
        <v>60.7</v>
      </c>
      <c r="V114" s="1" t="n">
        <v>51.1</v>
      </c>
      <c r="W114" s="1" t="n">
        <v>48.9</v>
      </c>
      <c r="Z114" s="14" t="s">
        <v>36</v>
      </c>
    </row>
    <row r="115" customFormat="false" ht="16.4" hidden="true" customHeight="false" outlineLevel="0" collapsed="false">
      <c r="B115" s="1" t="s">
        <v>312</v>
      </c>
      <c r="C115" s="1" t="s">
        <v>231</v>
      </c>
      <c r="D115" s="13" t="n">
        <v>0.333333333333333</v>
      </c>
      <c r="E115" s="14" t="s">
        <v>315</v>
      </c>
      <c r="F115" s="14" t="s">
        <v>316</v>
      </c>
      <c r="H115" s="1" t="n">
        <v>51</v>
      </c>
      <c r="I115" s="1" t="n">
        <v>26</v>
      </c>
      <c r="J115" s="1" t="n">
        <v>23</v>
      </c>
      <c r="K115" s="1" t="n">
        <v>77</v>
      </c>
      <c r="L115" s="1" t="n">
        <v>49</v>
      </c>
      <c r="M115" s="1" t="n">
        <v>74</v>
      </c>
      <c r="N115" s="1" t="n">
        <v>40.1</v>
      </c>
      <c r="O115" s="1" t="n">
        <v>42.5</v>
      </c>
      <c r="P115" s="1" t="n">
        <v>17.3</v>
      </c>
      <c r="Q115" s="1" t="n">
        <v>69</v>
      </c>
      <c r="R115" s="1" t="n">
        <v>80.4</v>
      </c>
      <c r="S115" s="1" t="n">
        <v>56.5</v>
      </c>
      <c r="T115" s="1" t="n">
        <v>43.5</v>
      </c>
      <c r="U115" s="1" t="n">
        <v>50</v>
      </c>
      <c r="V115" s="1" t="n">
        <v>58.3</v>
      </c>
      <c r="W115" s="1" t="n">
        <v>41.7</v>
      </c>
      <c r="Z115" s="14" t="s">
        <v>317</v>
      </c>
    </row>
    <row r="116" customFormat="false" ht="16.05" hidden="true" customHeight="false" outlineLevel="0" collapsed="false">
      <c r="B116" s="1" t="s">
        <v>318</v>
      </c>
      <c r="C116" s="1" t="s">
        <v>231</v>
      </c>
      <c r="D116" s="13" t="n">
        <v>0.333333333333333</v>
      </c>
      <c r="E116" s="14" t="s">
        <v>319</v>
      </c>
      <c r="F116" s="14" t="s">
        <v>320</v>
      </c>
      <c r="H116" s="1" t="n">
        <v>55.1</v>
      </c>
      <c r="I116" s="1" t="n">
        <v>25.3</v>
      </c>
      <c r="J116" s="1" t="n">
        <v>19.6</v>
      </c>
      <c r="K116" s="1" t="n">
        <v>80.4</v>
      </c>
      <c r="L116" s="1" t="n">
        <v>44.9</v>
      </c>
      <c r="M116" s="1" t="n">
        <v>74.7</v>
      </c>
      <c r="N116" s="1" t="n">
        <v>42.1</v>
      </c>
      <c r="O116" s="1" t="n">
        <v>39.7</v>
      </c>
      <c r="P116" s="1" t="n">
        <v>18.2</v>
      </c>
      <c r="Q116" s="1" t="n">
        <v>73.3</v>
      </c>
      <c r="R116" s="1" t="n">
        <v>79.5</v>
      </c>
      <c r="S116" s="1" t="n">
        <v>55.3</v>
      </c>
      <c r="T116" s="1" t="n">
        <v>44.7</v>
      </c>
      <c r="U116" s="1" t="n">
        <v>51.8</v>
      </c>
      <c r="V116" s="1" t="n">
        <v>55.6</v>
      </c>
      <c r="W116" s="1" t="n">
        <v>44.4</v>
      </c>
      <c r="Z116" s="14" t="s">
        <v>54</v>
      </c>
    </row>
    <row r="117" customFormat="false" ht="16.05" hidden="true" customHeight="false" outlineLevel="0" collapsed="false">
      <c r="B117" s="1" t="s">
        <v>106</v>
      </c>
      <c r="C117" s="1" t="s">
        <v>231</v>
      </c>
      <c r="D117" s="13" t="n">
        <v>0.333333333333333</v>
      </c>
      <c r="E117" s="14" t="s">
        <v>321</v>
      </c>
      <c r="F117" s="14" t="s">
        <v>322</v>
      </c>
      <c r="H117" s="1" t="n">
        <v>37.2</v>
      </c>
      <c r="I117" s="1" t="n">
        <v>28.9</v>
      </c>
      <c r="J117" s="1" t="n">
        <v>33.9</v>
      </c>
      <c r="K117" s="1" t="n">
        <v>66.1</v>
      </c>
      <c r="L117" s="1" t="n">
        <v>62.8</v>
      </c>
      <c r="M117" s="1" t="n">
        <v>71.1</v>
      </c>
      <c r="N117" s="1" t="n">
        <v>26.9</v>
      </c>
      <c r="O117" s="1" t="n">
        <v>46.2</v>
      </c>
      <c r="P117" s="1" t="n">
        <v>26.9</v>
      </c>
      <c r="Q117" s="1" t="n">
        <v>65.7</v>
      </c>
      <c r="R117" s="1" t="n">
        <v>75.8</v>
      </c>
      <c r="S117" s="1" t="n">
        <v>49.9</v>
      </c>
      <c r="T117" s="1" t="n">
        <v>50.1</v>
      </c>
      <c r="U117" s="1" t="n">
        <v>55.6</v>
      </c>
      <c r="V117" s="1" t="n">
        <v>55.6</v>
      </c>
      <c r="W117" s="1" t="n">
        <v>44.4</v>
      </c>
      <c r="Z117" s="14" t="s">
        <v>54</v>
      </c>
    </row>
    <row r="118" customFormat="false" ht="16.05" hidden="true" customHeight="false" outlineLevel="0" collapsed="false">
      <c r="B118" s="1" t="s">
        <v>106</v>
      </c>
      <c r="C118" s="1" t="s">
        <v>231</v>
      </c>
      <c r="D118" s="13" t="n">
        <v>0.333333333333333</v>
      </c>
      <c r="E118" s="14" t="s">
        <v>323</v>
      </c>
      <c r="F118" s="14" t="s">
        <v>324</v>
      </c>
      <c r="H118" s="1" t="n">
        <v>37.6</v>
      </c>
      <c r="I118" s="1" t="n">
        <v>26.3</v>
      </c>
      <c r="J118" s="1" t="n">
        <v>36.1</v>
      </c>
      <c r="K118" s="1" t="n">
        <v>63.9</v>
      </c>
      <c r="L118" s="1" t="n">
        <v>62.4</v>
      </c>
      <c r="M118" s="1" t="n">
        <v>73.7</v>
      </c>
      <c r="N118" s="1" t="n">
        <v>32</v>
      </c>
      <c r="O118" s="1" t="n">
        <v>37.9</v>
      </c>
      <c r="P118" s="1" t="n">
        <v>30.1</v>
      </c>
      <c r="Q118" s="1" t="n">
        <v>78.5</v>
      </c>
      <c r="R118" s="1" t="n">
        <v>85.4</v>
      </c>
      <c r="S118" s="1" t="n">
        <v>64.6</v>
      </c>
      <c r="T118" s="1" t="n">
        <v>35.4</v>
      </c>
      <c r="U118" s="1" t="n">
        <v>40.9</v>
      </c>
      <c r="V118" s="1" t="n">
        <v>66.9</v>
      </c>
      <c r="W118" s="1" t="n">
        <v>33.1</v>
      </c>
      <c r="Z118" s="14" t="s">
        <v>54</v>
      </c>
    </row>
    <row r="119" customFormat="false" ht="16.4" hidden="true" customHeight="false" outlineLevel="0" collapsed="false">
      <c r="B119" s="1" t="s">
        <v>306</v>
      </c>
      <c r="C119" s="1" t="s">
        <v>231</v>
      </c>
      <c r="D119" s="13" t="n">
        <v>0.354166666666667</v>
      </c>
      <c r="E119" s="14" t="s">
        <v>325</v>
      </c>
      <c r="F119" s="14" t="s">
        <v>326</v>
      </c>
      <c r="H119" s="1" t="n">
        <v>26.5</v>
      </c>
      <c r="I119" s="1" t="n">
        <v>27.8</v>
      </c>
      <c r="J119" s="1" t="n">
        <v>45.7</v>
      </c>
      <c r="K119" s="1" t="n">
        <v>54.3</v>
      </c>
      <c r="L119" s="1" t="n">
        <v>73.5</v>
      </c>
      <c r="M119" s="1" t="n">
        <v>72.2</v>
      </c>
      <c r="N119" s="1" t="n">
        <v>18.2</v>
      </c>
      <c r="O119" s="1" t="n">
        <v>40.8</v>
      </c>
      <c r="P119" s="1" t="n">
        <v>40.9</v>
      </c>
      <c r="Q119" s="1" t="n">
        <v>72.4</v>
      </c>
      <c r="R119" s="1" t="n">
        <v>79.2</v>
      </c>
      <c r="S119" s="1" t="n">
        <v>54.6</v>
      </c>
      <c r="T119" s="1" t="n">
        <v>45.4</v>
      </c>
      <c r="U119" s="1" t="n">
        <v>51.4</v>
      </c>
      <c r="V119" s="1" t="n">
        <v>58.2</v>
      </c>
      <c r="W119" s="1" t="n">
        <v>41.8</v>
      </c>
      <c r="Z119" s="14" t="s">
        <v>19</v>
      </c>
    </row>
    <row r="120" customFormat="false" ht="16.4" hidden="true" customHeight="false" outlineLevel="0" collapsed="false">
      <c r="B120" s="1" t="s">
        <v>306</v>
      </c>
      <c r="C120" s="1" t="s">
        <v>231</v>
      </c>
      <c r="D120" s="13" t="n">
        <v>0.354166666666667</v>
      </c>
      <c r="E120" s="14" t="s">
        <v>327</v>
      </c>
      <c r="F120" s="14" t="s">
        <v>328</v>
      </c>
      <c r="H120" s="1" t="n">
        <v>34.4</v>
      </c>
      <c r="I120" s="1" t="n">
        <v>29.8</v>
      </c>
      <c r="J120" s="1" t="n">
        <v>35.9</v>
      </c>
      <c r="K120" s="1" t="n">
        <v>64.1</v>
      </c>
      <c r="L120" s="1" t="n">
        <v>65.6</v>
      </c>
      <c r="M120" s="1" t="n">
        <v>70.2</v>
      </c>
      <c r="N120" s="1" t="n">
        <v>25.9</v>
      </c>
      <c r="O120" s="1" t="n">
        <v>46</v>
      </c>
      <c r="P120" s="1" t="n">
        <v>28.1</v>
      </c>
      <c r="Q120" s="1" t="n">
        <v>66</v>
      </c>
      <c r="R120" s="1" t="n">
        <v>73.2</v>
      </c>
      <c r="S120" s="1" t="n">
        <v>46.5</v>
      </c>
      <c r="T120" s="1" t="n">
        <v>53.5</v>
      </c>
      <c r="U120" s="1" t="n">
        <v>58.9</v>
      </c>
      <c r="V120" s="1" t="n">
        <v>53</v>
      </c>
      <c r="W120" s="1" t="n">
        <v>47</v>
      </c>
      <c r="Z120" s="14" t="s">
        <v>20</v>
      </c>
    </row>
    <row r="121" customFormat="false" ht="16.4" hidden="true" customHeight="false" outlineLevel="0" collapsed="false">
      <c r="B121" s="1" t="s">
        <v>306</v>
      </c>
      <c r="C121" s="1" t="s">
        <v>231</v>
      </c>
      <c r="D121" s="13" t="n">
        <v>0.354166666666667</v>
      </c>
      <c r="E121" s="14" t="s">
        <v>329</v>
      </c>
      <c r="F121" s="14" t="s">
        <v>330</v>
      </c>
      <c r="H121" s="1" t="n">
        <v>33.1</v>
      </c>
      <c r="I121" s="1" t="n">
        <v>30.9</v>
      </c>
      <c r="J121" s="1" t="n">
        <v>36</v>
      </c>
      <c r="K121" s="1" t="n">
        <v>64</v>
      </c>
      <c r="L121" s="1" t="n">
        <v>66.9</v>
      </c>
      <c r="M121" s="1" t="n">
        <v>69.1</v>
      </c>
      <c r="N121" s="1" t="n">
        <v>35.3</v>
      </c>
      <c r="O121" s="1" t="n">
        <v>42.5</v>
      </c>
      <c r="P121" s="1" t="n">
        <v>22.2</v>
      </c>
      <c r="Q121" s="1" t="n">
        <v>70.6</v>
      </c>
      <c r="R121" s="1" t="n">
        <v>69.4</v>
      </c>
      <c r="S121" s="1" t="n">
        <v>41.8</v>
      </c>
      <c r="T121" s="1" t="n">
        <v>58.2</v>
      </c>
      <c r="U121" s="1" t="n">
        <v>63.4</v>
      </c>
      <c r="V121" s="1" t="n">
        <v>49.2</v>
      </c>
      <c r="W121" s="1" t="n">
        <v>50.8</v>
      </c>
      <c r="Z121" s="14" t="s">
        <v>36</v>
      </c>
    </row>
    <row r="122" customFormat="false" ht="16.4" hidden="true" customHeight="false" outlineLevel="0" collapsed="false">
      <c r="B122" s="1" t="s">
        <v>331</v>
      </c>
      <c r="C122" s="1" t="s">
        <v>231</v>
      </c>
      <c r="D122" s="13" t="n">
        <v>0.354166666666667</v>
      </c>
      <c r="E122" s="14" t="s">
        <v>332</v>
      </c>
      <c r="F122" s="14" t="s">
        <v>333</v>
      </c>
      <c r="H122" s="1" t="n">
        <v>42.1</v>
      </c>
      <c r="I122" s="1" t="n">
        <v>25.7</v>
      </c>
      <c r="J122" s="1" t="n">
        <v>32.1</v>
      </c>
      <c r="K122" s="1" t="n">
        <v>67.9</v>
      </c>
      <c r="L122" s="1" t="n">
        <v>57.9</v>
      </c>
      <c r="M122" s="1" t="n">
        <v>74.3</v>
      </c>
      <c r="N122" s="1" t="n">
        <v>30.1</v>
      </c>
      <c r="O122" s="1" t="n">
        <v>37.4</v>
      </c>
      <c r="P122" s="1" t="n">
        <v>32.5</v>
      </c>
      <c r="Q122" s="1" t="n">
        <v>79.3</v>
      </c>
      <c r="R122" s="1" t="n">
        <v>87.2</v>
      </c>
      <c r="S122" s="1" t="n">
        <v>67.7</v>
      </c>
      <c r="T122" s="1" t="n">
        <v>32.3</v>
      </c>
      <c r="U122" s="1" t="n">
        <v>37.7</v>
      </c>
      <c r="V122" s="1" t="n">
        <v>69.1</v>
      </c>
      <c r="W122" s="1" t="n">
        <v>30.9</v>
      </c>
      <c r="Z122" s="14" t="s">
        <v>48</v>
      </c>
    </row>
    <row r="123" customFormat="false" ht="16.4" hidden="true" customHeight="false" outlineLevel="0" collapsed="false">
      <c r="B123" s="1" t="s">
        <v>43</v>
      </c>
      <c r="C123" s="1" t="s">
        <v>231</v>
      </c>
      <c r="D123" s="13" t="n">
        <v>0.357638888888889</v>
      </c>
      <c r="E123" s="14" t="s">
        <v>334</v>
      </c>
      <c r="F123" s="14" t="s">
        <v>335</v>
      </c>
      <c r="H123" s="1" t="n">
        <v>57.3</v>
      </c>
      <c r="I123" s="1" t="n">
        <v>24.1</v>
      </c>
      <c r="J123" s="1" t="n">
        <v>18.6</v>
      </c>
      <c r="K123" s="1" t="n">
        <v>81.4</v>
      </c>
      <c r="L123" s="1" t="n">
        <v>42.7</v>
      </c>
      <c r="M123" s="1" t="n">
        <v>75.9</v>
      </c>
      <c r="N123" s="1" t="n">
        <v>48.9</v>
      </c>
      <c r="O123" s="1" t="n">
        <v>38.1</v>
      </c>
      <c r="P123" s="1" t="n">
        <v>13</v>
      </c>
      <c r="Q123" s="1" t="n">
        <v>72.7</v>
      </c>
      <c r="R123" s="1" t="n">
        <v>84.3</v>
      </c>
      <c r="S123" s="1" t="n">
        <v>62.8</v>
      </c>
      <c r="T123" s="1" t="n">
        <v>37.2</v>
      </c>
      <c r="U123" s="1" t="n">
        <v>44.4</v>
      </c>
      <c r="V123" s="1" t="n">
        <v>60.8</v>
      </c>
      <c r="W123" s="1" t="n">
        <v>39.2</v>
      </c>
      <c r="Z123" s="14" t="s">
        <v>20</v>
      </c>
    </row>
    <row r="124" customFormat="false" ht="16.05" hidden="true" customHeight="false" outlineLevel="0" collapsed="false">
      <c r="B124" s="1" t="s">
        <v>93</v>
      </c>
      <c r="C124" s="1" t="s">
        <v>231</v>
      </c>
      <c r="D124" s="13" t="n">
        <v>0.375</v>
      </c>
      <c r="E124" s="14" t="s">
        <v>336</v>
      </c>
      <c r="F124" s="14" t="s">
        <v>337</v>
      </c>
      <c r="H124" s="1" t="n">
        <v>46.6</v>
      </c>
      <c r="I124" s="1" t="n">
        <v>27.4</v>
      </c>
      <c r="J124" s="1" t="n">
        <v>26</v>
      </c>
      <c r="K124" s="1" t="n">
        <v>74</v>
      </c>
      <c r="L124" s="1" t="n">
        <v>53.4</v>
      </c>
      <c r="M124" s="1" t="n">
        <v>72.6</v>
      </c>
      <c r="N124" s="1" t="n">
        <v>44.5</v>
      </c>
      <c r="O124" s="1" t="n">
        <v>38.8</v>
      </c>
      <c r="P124" s="1" t="n">
        <v>16.8</v>
      </c>
      <c r="Q124" s="1" t="n">
        <v>73.9</v>
      </c>
      <c r="R124" s="1" t="n">
        <v>77.3</v>
      </c>
      <c r="S124" s="1" t="n">
        <v>52</v>
      </c>
      <c r="T124" s="1" t="n">
        <v>48</v>
      </c>
      <c r="U124" s="1" t="n">
        <v>54.1</v>
      </c>
      <c r="V124" s="1" t="n">
        <v>55.9</v>
      </c>
      <c r="W124" s="1" t="n">
        <v>44.1</v>
      </c>
      <c r="Z124" s="14" t="s">
        <v>54</v>
      </c>
    </row>
    <row r="125" customFormat="false" ht="16.05" hidden="true" customHeight="false" outlineLevel="0" collapsed="false">
      <c r="B125" s="1" t="s">
        <v>93</v>
      </c>
      <c r="C125" s="1" t="s">
        <v>231</v>
      </c>
      <c r="D125" s="13" t="n">
        <v>0.375</v>
      </c>
      <c r="E125" s="14" t="s">
        <v>338</v>
      </c>
      <c r="F125" s="14" t="s">
        <v>339</v>
      </c>
      <c r="H125" s="1" t="n">
        <v>58</v>
      </c>
      <c r="I125" s="1" t="n">
        <v>23.8</v>
      </c>
      <c r="J125" s="1" t="n">
        <v>18.2</v>
      </c>
      <c r="K125" s="1" t="n">
        <v>81.8</v>
      </c>
      <c r="L125" s="1" t="n">
        <v>42</v>
      </c>
      <c r="M125" s="1" t="n">
        <v>76.2</v>
      </c>
      <c r="N125" s="1" t="n">
        <v>47.7</v>
      </c>
      <c r="O125" s="1" t="n">
        <v>38.3</v>
      </c>
      <c r="P125" s="1" t="n">
        <v>14.1</v>
      </c>
      <c r="Q125" s="1" t="n">
        <v>73.2</v>
      </c>
      <c r="R125" s="1" t="n">
        <v>85.4</v>
      </c>
      <c r="S125" s="1" t="n">
        <v>64.7</v>
      </c>
      <c r="T125" s="1" t="n">
        <v>35.3</v>
      </c>
      <c r="U125" s="1" t="n">
        <v>42.5</v>
      </c>
      <c r="V125" s="1" t="n">
        <v>62.1</v>
      </c>
      <c r="W125" s="1" t="n">
        <v>37.9</v>
      </c>
      <c r="Z125" s="14" t="s">
        <v>54</v>
      </c>
    </row>
    <row r="126" customFormat="false" ht="16.05" hidden="true" customHeight="false" outlineLevel="0" collapsed="false">
      <c r="B126" s="1" t="s">
        <v>93</v>
      </c>
      <c r="C126" s="1" t="s">
        <v>231</v>
      </c>
      <c r="D126" s="13" t="n">
        <v>0.375</v>
      </c>
      <c r="E126" s="14" t="s">
        <v>340</v>
      </c>
      <c r="F126" s="14" t="s">
        <v>341</v>
      </c>
      <c r="H126" s="1" t="n">
        <v>50.6</v>
      </c>
      <c r="I126" s="1" t="n">
        <v>26.6</v>
      </c>
      <c r="J126" s="1" t="n">
        <v>22.9</v>
      </c>
      <c r="K126" s="1" t="n">
        <v>77.1</v>
      </c>
      <c r="L126" s="1" t="n">
        <v>49.4</v>
      </c>
      <c r="M126" s="1" t="n">
        <v>73.4</v>
      </c>
      <c r="N126" s="1" t="n">
        <v>31.2</v>
      </c>
      <c r="O126" s="1" t="n">
        <v>41.7</v>
      </c>
      <c r="P126" s="1" t="n">
        <v>27.1</v>
      </c>
      <c r="Q126" s="1" t="n">
        <v>72.5</v>
      </c>
      <c r="R126" s="1" t="n">
        <v>78.1</v>
      </c>
      <c r="S126" s="1" t="n">
        <v>53.1</v>
      </c>
      <c r="T126" s="1" t="n">
        <v>46.9</v>
      </c>
      <c r="U126" s="1" t="n">
        <v>53.4</v>
      </c>
      <c r="V126" s="1" t="n">
        <v>55.6</v>
      </c>
      <c r="W126" s="1" t="n">
        <v>44.4</v>
      </c>
      <c r="Z126" s="14" t="s">
        <v>54</v>
      </c>
    </row>
    <row r="127" customFormat="false" ht="16.05" hidden="true" customHeight="false" outlineLevel="0" collapsed="false">
      <c r="B127" s="1" t="s">
        <v>96</v>
      </c>
      <c r="C127" s="1" t="s">
        <v>231</v>
      </c>
      <c r="D127" s="13" t="n">
        <v>0.375</v>
      </c>
      <c r="E127" s="14" t="s">
        <v>342</v>
      </c>
      <c r="F127" s="14" t="s">
        <v>343</v>
      </c>
      <c r="H127" s="1" t="n">
        <v>24.7</v>
      </c>
      <c r="I127" s="1" t="n">
        <v>30.2</v>
      </c>
      <c r="J127" s="1" t="n">
        <v>45.2</v>
      </c>
      <c r="K127" s="1" t="n">
        <v>54.8</v>
      </c>
      <c r="L127" s="1" t="n">
        <v>75.3</v>
      </c>
      <c r="M127" s="1" t="n">
        <v>69.8</v>
      </c>
      <c r="N127" s="1" t="n">
        <v>17.4</v>
      </c>
      <c r="O127" s="1" t="n">
        <v>52.1</v>
      </c>
      <c r="P127" s="1" t="n">
        <v>30.5</v>
      </c>
      <c r="Q127" s="1" t="n">
        <v>56.4</v>
      </c>
      <c r="R127" s="1" t="n">
        <v>70.9</v>
      </c>
      <c r="S127" s="1" t="n">
        <v>43.6</v>
      </c>
      <c r="T127" s="1" t="n">
        <v>56.4</v>
      </c>
      <c r="U127" s="1" t="n">
        <v>62.2</v>
      </c>
      <c r="V127" s="1" t="n">
        <v>49.2</v>
      </c>
      <c r="W127" s="1" t="n">
        <v>50.8</v>
      </c>
      <c r="Z127" s="14" t="s">
        <v>54</v>
      </c>
    </row>
    <row r="128" customFormat="false" ht="16.05" hidden="true" customHeight="false" outlineLevel="0" collapsed="false">
      <c r="B128" s="1" t="s">
        <v>96</v>
      </c>
      <c r="C128" s="1" t="s">
        <v>231</v>
      </c>
      <c r="D128" s="13" t="n">
        <v>0.375</v>
      </c>
      <c r="E128" s="14" t="s">
        <v>344</v>
      </c>
      <c r="F128" s="14" t="s">
        <v>345</v>
      </c>
      <c r="H128" s="1" t="n">
        <v>76.6</v>
      </c>
      <c r="I128" s="1" t="n">
        <v>19.3</v>
      </c>
      <c r="J128" s="1" t="n">
        <v>4.1</v>
      </c>
      <c r="K128" s="1" t="n">
        <v>95.9</v>
      </c>
      <c r="L128" s="1" t="n">
        <v>23.4</v>
      </c>
      <c r="M128" s="1" t="n">
        <v>80.7</v>
      </c>
      <c r="N128" s="1" t="n">
        <v>69.1</v>
      </c>
      <c r="O128" s="1" t="n">
        <v>27.6</v>
      </c>
      <c r="P128" s="1" t="n">
        <v>3.3</v>
      </c>
      <c r="Q128" s="1" t="n">
        <v>77.1</v>
      </c>
      <c r="R128" s="1" t="n">
        <v>88.1</v>
      </c>
      <c r="S128" s="1" t="n">
        <v>70.1</v>
      </c>
      <c r="T128" s="1" t="n">
        <v>29.9</v>
      </c>
      <c r="U128" s="1" t="n">
        <v>42.6</v>
      </c>
      <c r="V128" s="1" t="n">
        <v>46.9</v>
      </c>
      <c r="W128" s="1" t="n">
        <v>53.1</v>
      </c>
      <c r="Z128" s="14" t="s">
        <v>54</v>
      </c>
    </row>
    <row r="129" customFormat="false" ht="16.05" hidden="true" customHeight="false" outlineLevel="0" collapsed="false">
      <c r="B129" s="1" t="s">
        <v>346</v>
      </c>
      <c r="C129" s="1" t="s">
        <v>231</v>
      </c>
      <c r="D129" s="13" t="n">
        <v>0.375</v>
      </c>
      <c r="E129" s="14" t="s">
        <v>347</v>
      </c>
      <c r="F129" s="14" t="s">
        <v>348</v>
      </c>
      <c r="H129" s="1" t="n">
        <v>60</v>
      </c>
      <c r="I129" s="1" t="n">
        <v>24.4</v>
      </c>
      <c r="J129" s="1" t="n">
        <v>15.6</v>
      </c>
      <c r="K129" s="1" t="n">
        <v>84.4</v>
      </c>
      <c r="L129" s="1" t="n">
        <v>40</v>
      </c>
      <c r="M129" s="1" t="n">
        <v>75.6</v>
      </c>
      <c r="N129" s="1" t="n">
        <v>37.9</v>
      </c>
      <c r="O129" s="1" t="n">
        <v>39.1</v>
      </c>
      <c r="P129" s="1" t="n">
        <v>22.9</v>
      </c>
      <c r="Q129" s="1" t="n">
        <v>75.6</v>
      </c>
      <c r="R129" s="1" t="n">
        <v>93.6</v>
      </c>
      <c r="S129" s="1" t="n">
        <v>80.7</v>
      </c>
      <c r="T129" s="1" t="n">
        <v>19.3</v>
      </c>
      <c r="U129" s="1" t="n">
        <v>25.3</v>
      </c>
      <c r="V129" s="1" t="n">
        <v>74.2</v>
      </c>
      <c r="W129" s="1" t="n">
        <v>25.8</v>
      </c>
      <c r="Z129" s="14" t="s">
        <v>54</v>
      </c>
    </row>
    <row r="130" customFormat="false" ht="16.4" hidden="true" customHeight="false" outlineLevel="0" collapsed="false">
      <c r="B130" s="1" t="s">
        <v>43</v>
      </c>
      <c r="C130" s="1" t="s">
        <v>231</v>
      </c>
      <c r="D130" s="13" t="n">
        <v>0.375</v>
      </c>
      <c r="E130" s="14" t="s">
        <v>349</v>
      </c>
      <c r="F130" s="14" t="s">
        <v>350</v>
      </c>
      <c r="H130" s="1" t="n">
        <v>44.5</v>
      </c>
      <c r="I130" s="1" t="n">
        <v>29</v>
      </c>
      <c r="J130" s="1" t="n">
        <v>26.5</v>
      </c>
      <c r="K130" s="1" t="n">
        <v>73.5</v>
      </c>
      <c r="L130" s="1" t="n">
        <v>55.5</v>
      </c>
      <c r="M130" s="1" t="n">
        <v>71</v>
      </c>
      <c r="N130" s="1" t="n">
        <v>39</v>
      </c>
      <c r="O130" s="1" t="n">
        <v>45.5</v>
      </c>
      <c r="P130" s="1" t="n">
        <v>15.5</v>
      </c>
      <c r="Q130" s="1" t="n">
        <v>64.2</v>
      </c>
      <c r="R130" s="1" t="n">
        <v>72.5</v>
      </c>
      <c r="S130" s="1" t="n">
        <v>45.5</v>
      </c>
      <c r="T130" s="1" t="n">
        <v>54.5</v>
      </c>
      <c r="U130" s="1" t="n">
        <v>60.2</v>
      </c>
      <c r="V130" s="1" t="n">
        <v>51.1</v>
      </c>
      <c r="W130" s="1" t="n">
        <v>48.9</v>
      </c>
      <c r="Z130" s="14" t="s">
        <v>20</v>
      </c>
    </row>
    <row r="131" customFormat="false" ht="16.4" hidden="true" customHeight="false" outlineLevel="0" collapsed="false">
      <c r="B131" s="1" t="s">
        <v>306</v>
      </c>
      <c r="C131" s="1" t="s">
        <v>231</v>
      </c>
      <c r="D131" s="13" t="n">
        <v>0.375</v>
      </c>
      <c r="E131" s="14" t="s">
        <v>351</v>
      </c>
      <c r="F131" s="14" t="s">
        <v>352</v>
      </c>
      <c r="H131" s="1" t="n">
        <v>48.2</v>
      </c>
      <c r="I131" s="1" t="n">
        <v>28.5</v>
      </c>
      <c r="J131" s="1" t="n">
        <v>23.3</v>
      </c>
      <c r="K131" s="1" t="n">
        <v>76.7</v>
      </c>
      <c r="L131" s="1" t="n">
        <v>51.8</v>
      </c>
      <c r="M131" s="1" t="n">
        <v>71.5</v>
      </c>
      <c r="N131" s="1" t="n">
        <v>32.8</v>
      </c>
      <c r="O131" s="1" t="n">
        <v>47</v>
      </c>
      <c r="P131" s="1" t="n">
        <v>20.2</v>
      </c>
      <c r="Q131" s="1" t="n">
        <v>63.6</v>
      </c>
      <c r="R131" s="1" t="n">
        <v>71.8</v>
      </c>
      <c r="S131" s="1" t="n">
        <v>44.8</v>
      </c>
      <c r="T131" s="1" t="n">
        <v>55.2</v>
      </c>
      <c r="U131" s="1" t="n">
        <v>61.3</v>
      </c>
      <c r="V131" s="1" t="n">
        <v>49.5</v>
      </c>
      <c r="W131" s="1" t="n">
        <v>50.5</v>
      </c>
      <c r="Z131" s="14" t="s">
        <v>36</v>
      </c>
    </row>
    <row r="132" customFormat="false" ht="16.05" hidden="true" customHeight="false" outlineLevel="0" collapsed="false">
      <c r="B132" s="1" t="s">
        <v>309</v>
      </c>
      <c r="C132" s="1" t="s">
        <v>231</v>
      </c>
      <c r="D132" s="13" t="n">
        <v>0.375</v>
      </c>
      <c r="E132" s="14" t="s">
        <v>353</v>
      </c>
      <c r="F132" s="14" t="s">
        <v>354</v>
      </c>
      <c r="H132" s="1" t="n">
        <v>61.9</v>
      </c>
      <c r="I132" s="1" t="n">
        <v>23.5</v>
      </c>
      <c r="J132" s="1" t="n">
        <v>14.6</v>
      </c>
      <c r="K132" s="1" t="n">
        <v>85.4</v>
      </c>
      <c r="L132" s="1" t="n">
        <v>38.1</v>
      </c>
      <c r="M132" s="1" t="n">
        <v>76.5</v>
      </c>
      <c r="N132" s="1" t="n">
        <v>43</v>
      </c>
      <c r="O132" s="1" t="n">
        <v>46.5</v>
      </c>
      <c r="P132" s="1" t="n">
        <v>10.5</v>
      </c>
      <c r="Q132" s="1" t="n">
        <v>60.7</v>
      </c>
      <c r="R132" s="1" t="n">
        <v>80</v>
      </c>
      <c r="S132" s="1" t="n">
        <v>56.1</v>
      </c>
      <c r="T132" s="1" t="n">
        <v>43.9</v>
      </c>
      <c r="U132" s="1" t="n">
        <v>52.2</v>
      </c>
      <c r="V132" s="1" t="n">
        <v>52.6</v>
      </c>
      <c r="W132" s="1" t="n">
        <v>47.4</v>
      </c>
      <c r="Z132" s="14" t="s">
        <v>54</v>
      </c>
    </row>
    <row r="133" customFormat="false" ht="16.4" hidden="true" customHeight="false" outlineLevel="0" collapsed="false">
      <c r="B133" s="1" t="s">
        <v>355</v>
      </c>
      <c r="C133" s="1" t="s">
        <v>231</v>
      </c>
      <c r="D133" s="13" t="n">
        <v>0.375</v>
      </c>
      <c r="E133" s="14" t="s">
        <v>356</v>
      </c>
      <c r="F133" s="14" t="s">
        <v>357</v>
      </c>
      <c r="H133" s="1" t="n">
        <v>28</v>
      </c>
      <c r="I133" s="1" t="n">
        <v>30.6</v>
      </c>
      <c r="J133" s="1" t="n">
        <v>41.4</v>
      </c>
      <c r="K133" s="1" t="n">
        <v>58.6</v>
      </c>
      <c r="L133" s="1" t="n">
        <v>72</v>
      </c>
      <c r="M133" s="1" t="n">
        <v>69.4</v>
      </c>
      <c r="N133" s="1" t="n">
        <v>18.6</v>
      </c>
      <c r="O133" s="1" t="n">
        <v>51.5</v>
      </c>
      <c r="P133" s="1" t="n">
        <v>29.9</v>
      </c>
      <c r="Q133" s="1" t="n">
        <v>57.4</v>
      </c>
      <c r="R133" s="1" t="n">
        <v>70.3</v>
      </c>
      <c r="S133" s="1" t="n">
        <v>42.8</v>
      </c>
      <c r="T133" s="1" t="n">
        <v>57.2</v>
      </c>
      <c r="U133" s="1" t="n">
        <v>62.6</v>
      </c>
      <c r="V133" s="1" t="n">
        <v>49.4</v>
      </c>
      <c r="W133" s="1" t="n">
        <v>50.6</v>
      </c>
      <c r="Z133" s="14" t="s">
        <v>36</v>
      </c>
    </row>
    <row r="134" customFormat="false" ht="16.4" hidden="true" customHeight="false" outlineLevel="0" collapsed="false">
      <c r="B134" s="1" t="s">
        <v>51</v>
      </c>
      <c r="C134" s="1" t="s">
        <v>231</v>
      </c>
      <c r="D134" s="13" t="n">
        <v>0.375</v>
      </c>
      <c r="E134" s="14" t="s">
        <v>358</v>
      </c>
      <c r="F134" s="14" t="s">
        <v>359</v>
      </c>
      <c r="H134" s="1" t="n">
        <v>32</v>
      </c>
      <c r="I134" s="1" t="n">
        <v>28.1</v>
      </c>
      <c r="J134" s="1" t="n">
        <v>39.9</v>
      </c>
      <c r="K134" s="1" t="n">
        <v>60.1</v>
      </c>
      <c r="L134" s="1" t="n">
        <v>68</v>
      </c>
      <c r="M134" s="1" t="n">
        <v>71.9</v>
      </c>
      <c r="N134" s="1" t="n">
        <v>30.3</v>
      </c>
      <c r="O134" s="1" t="n">
        <v>41.6</v>
      </c>
      <c r="P134" s="1" t="n">
        <v>28.1</v>
      </c>
      <c r="Q134" s="1" t="n">
        <v>72.7</v>
      </c>
      <c r="R134" s="1" t="n">
        <v>78.9</v>
      </c>
      <c r="S134" s="1" t="n">
        <v>54.2</v>
      </c>
      <c r="T134" s="1" t="n">
        <v>45.8</v>
      </c>
      <c r="U134" s="1" t="n">
        <v>51.4</v>
      </c>
      <c r="V134" s="1" t="n">
        <v>58.8</v>
      </c>
      <c r="W134" s="1" t="n">
        <v>41.2</v>
      </c>
      <c r="Z134" s="14" t="s">
        <v>54</v>
      </c>
    </row>
    <row r="135" customFormat="false" ht="16.4" hidden="true" customHeight="false" outlineLevel="0" collapsed="false">
      <c r="B135" s="1" t="s">
        <v>360</v>
      </c>
      <c r="C135" s="1" t="s">
        <v>231</v>
      </c>
      <c r="D135" s="13" t="n">
        <v>0.375</v>
      </c>
      <c r="E135" s="14" t="s">
        <v>361</v>
      </c>
      <c r="F135" s="14" t="s">
        <v>362</v>
      </c>
      <c r="H135" s="1" t="n">
        <v>33</v>
      </c>
      <c r="I135" s="1" t="n">
        <v>25.5</v>
      </c>
      <c r="J135" s="1" t="n">
        <v>41.5</v>
      </c>
      <c r="K135" s="1" t="n">
        <v>58.5</v>
      </c>
      <c r="L135" s="1" t="n">
        <v>67</v>
      </c>
      <c r="M135" s="1" t="n">
        <v>74.5</v>
      </c>
      <c r="N135" s="1" t="n">
        <v>24.8</v>
      </c>
      <c r="O135" s="1" t="n">
        <v>38.4</v>
      </c>
      <c r="P135" s="1" t="n">
        <v>36.8</v>
      </c>
      <c r="Q135" s="1" t="n">
        <v>77.6</v>
      </c>
      <c r="R135" s="1" t="n">
        <v>90.3</v>
      </c>
      <c r="S135" s="1" t="n">
        <v>73.6</v>
      </c>
      <c r="T135" s="1" t="n">
        <v>26.4</v>
      </c>
      <c r="U135" s="1" t="n">
        <v>31.5</v>
      </c>
      <c r="V135" s="1" t="n">
        <v>73.7</v>
      </c>
      <c r="W135" s="1" t="n">
        <v>26.3</v>
      </c>
      <c r="Z135" s="14" t="s">
        <v>48</v>
      </c>
    </row>
    <row r="136" customFormat="false" ht="16.4" hidden="true" customHeight="false" outlineLevel="0" collapsed="false">
      <c r="B136" s="1" t="s">
        <v>70</v>
      </c>
      <c r="C136" s="1" t="s">
        <v>231</v>
      </c>
      <c r="D136" s="13" t="n">
        <v>0.375</v>
      </c>
      <c r="E136" s="14" t="s">
        <v>363</v>
      </c>
      <c r="F136" s="14" t="s">
        <v>364</v>
      </c>
      <c r="H136" s="1" t="n">
        <v>19.9</v>
      </c>
      <c r="I136" s="1" t="n">
        <v>28.9</v>
      </c>
      <c r="J136" s="1" t="n">
        <v>51.2</v>
      </c>
      <c r="K136" s="1" t="n">
        <v>48.8</v>
      </c>
      <c r="L136" s="1" t="n">
        <v>80.1</v>
      </c>
      <c r="M136" s="1" t="n">
        <v>71.1</v>
      </c>
      <c r="N136" s="1" t="n">
        <v>9.3</v>
      </c>
      <c r="O136" s="1" t="n">
        <v>42.6</v>
      </c>
      <c r="P136" s="1" t="n">
        <v>48.1</v>
      </c>
      <c r="Q136" s="1" t="n">
        <v>65.7</v>
      </c>
      <c r="R136" s="1" t="n">
        <v>72.5</v>
      </c>
      <c r="S136" s="1" t="n">
        <v>45.7</v>
      </c>
      <c r="T136" s="1" t="n">
        <v>54.3</v>
      </c>
      <c r="U136" s="1" t="n">
        <v>60.9</v>
      </c>
      <c r="V136" s="1" t="n">
        <v>48.8</v>
      </c>
      <c r="W136" s="1" t="n">
        <v>51.2</v>
      </c>
      <c r="Z136" s="14" t="s">
        <v>22</v>
      </c>
    </row>
    <row r="137" customFormat="false" ht="16.4" hidden="true" customHeight="false" outlineLevel="0" collapsed="false">
      <c r="B137" s="1" t="s">
        <v>112</v>
      </c>
      <c r="C137" s="1" t="s">
        <v>231</v>
      </c>
      <c r="D137" s="13" t="n">
        <v>0.40625</v>
      </c>
      <c r="E137" s="14" t="s">
        <v>365</v>
      </c>
      <c r="F137" s="14" t="s">
        <v>366</v>
      </c>
      <c r="H137" s="1" t="n">
        <v>43.3</v>
      </c>
      <c r="I137" s="1" t="n">
        <v>25.3</v>
      </c>
      <c r="J137" s="1" t="n">
        <v>31.4</v>
      </c>
      <c r="K137" s="1" t="n">
        <v>68.6</v>
      </c>
      <c r="L137" s="1" t="n">
        <v>56.7</v>
      </c>
      <c r="M137" s="1" t="n">
        <v>74.7</v>
      </c>
      <c r="N137" s="1" t="n">
        <v>38.1</v>
      </c>
      <c r="O137" s="1" t="n">
        <v>33.6</v>
      </c>
      <c r="P137" s="1" t="n">
        <v>28.3</v>
      </c>
      <c r="Q137" s="1" t="n">
        <v>84.8</v>
      </c>
      <c r="R137" s="1" t="n">
        <v>89.7</v>
      </c>
      <c r="S137" s="1" t="n">
        <v>72.3</v>
      </c>
      <c r="T137" s="1" t="n">
        <v>27.7</v>
      </c>
      <c r="U137" s="1" t="n">
        <v>33</v>
      </c>
      <c r="V137" s="1" t="n">
        <v>72.5</v>
      </c>
      <c r="W137" s="1" t="n">
        <v>27.5</v>
      </c>
      <c r="Z137" s="14" t="s">
        <v>22</v>
      </c>
    </row>
    <row r="138" customFormat="false" ht="16.4" hidden="true" customHeight="false" outlineLevel="0" collapsed="false">
      <c r="B138" s="1" t="s">
        <v>125</v>
      </c>
      <c r="C138" s="1" t="s">
        <v>231</v>
      </c>
      <c r="D138" s="13" t="n">
        <v>0.40625</v>
      </c>
      <c r="E138" s="14" t="s">
        <v>367</v>
      </c>
      <c r="F138" s="14" t="s">
        <v>368</v>
      </c>
      <c r="H138" s="1" t="n">
        <v>57.5</v>
      </c>
      <c r="I138" s="1" t="n">
        <v>23.9</v>
      </c>
      <c r="J138" s="1" t="n">
        <v>18.6</v>
      </c>
      <c r="K138" s="1" t="n">
        <v>81.4</v>
      </c>
      <c r="L138" s="1" t="n">
        <v>42.5</v>
      </c>
      <c r="M138" s="1" t="n">
        <v>76.1</v>
      </c>
      <c r="N138" s="1" t="n">
        <v>26.1</v>
      </c>
      <c r="O138" s="1" t="n">
        <v>45.8</v>
      </c>
      <c r="P138" s="1" t="n">
        <v>28.1</v>
      </c>
      <c r="Q138" s="1" t="n">
        <v>66.2</v>
      </c>
      <c r="R138" s="1" t="n">
        <v>85.3</v>
      </c>
      <c r="S138" s="1" t="n">
        <v>64.5</v>
      </c>
      <c r="T138" s="1" t="n">
        <v>35.5</v>
      </c>
      <c r="U138" s="1" t="n">
        <v>42.6</v>
      </c>
      <c r="V138" s="1" t="n">
        <v>62.2</v>
      </c>
      <c r="W138" s="1" t="n">
        <v>37.8</v>
      </c>
      <c r="Z138" s="14" t="s">
        <v>19</v>
      </c>
    </row>
    <row r="139" customFormat="false" ht="16.05" hidden="true" customHeight="false" outlineLevel="0" collapsed="false">
      <c r="B139" s="1" t="s">
        <v>62</v>
      </c>
      <c r="C139" s="1" t="s">
        <v>231</v>
      </c>
      <c r="D139" s="13" t="n">
        <v>0.416666666666667</v>
      </c>
      <c r="E139" s="14" t="s">
        <v>369</v>
      </c>
      <c r="F139" s="14" t="s">
        <v>370</v>
      </c>
      <c r="H139" s="1" t="n">
        <v>64</v>
      </c>
      <c r="I139" s="1" t="n">
        <v>22.8</v>
      </c>
      <c r="J139" s="1" t="n">
        <v>13.2</v>
      </c>
      <c r="K139" s="1" t="n">
        <v>86.8</v>
      </c>
      <c r="L139" s="1" t="n">
        <v>36</v>
      </c>
      <c r="M139" s="1" t="n">
        <v>77.2</v>
      </c>
      <c r="N139" s="1" t="n">
        <v>41</v>
      </c>
      <c r="O139" s="1" t="n">
        <v>39.4</v>
      </c>
      <c r="P139" s="1" t="n">
        <v>19.6</v>
      </c>
      <c r="Q139" s="1" t="n">
        <v>74.2</v>
      </c>
      <c r="R139" s="1" t="n">
        <v>80.7</v>
      </c>
      <c r="S139" s="1" t="n">
        <v>57.3</v>
      </c>
      <c r="T139" s="1" t="n">
        <v>42.7</v>
      </c>
      <c r="U139" s="1" t="n">
        <v>51.5</v>
      </c>
      <c r="V139" s="1" t="n">
        <v>52.1</v>
      </c>
      <c r="W139" s="1" t="n">
        <v>47.9</v>
      </c>
      <c r="Z139" s="14" t="s">
        <v>54</v>
      </c>
    </row>
    <row r="140" customFormat="false" ht="16.05" hidden="true" customHeight="false" outlineLevel="0" collapsed="false">
      <c r="B140" s="1" t="s">
        <v>297</v>
      </c>
      <c r="C140" s="1" t="s">
        <v>231</v>
      </c>
      <c r="D140" s="13" t="n">
        <v>0.416666666666667</v>
      </c>
      <c r="E140" s="14" t="s">
        <v>371</v>
      </c>
      <c r="F140" s="14" t="s">
        <v>372</v>
      </c>
      <c r="H140" s="1" t="n">
        <v>50.3</v>
      </c>
      <c r="I140" s="1" t="n">
        <v>27.9</v>
      </c>
      <c r="J140" s="1" t="n">
        <v>21.7</v>
      </c>
      <c r="K140" s="1" t="n">
        <v>78.3</v>
      </c>
      <c r="L140" s="1" t="n">
        <v>49.7</v>
      </c>
      <c r="M140" s="1" t="n">
        <v>72.1</v>
      </c>
      <c r="N140" s="1" t="n">
        <v>40.1</v>
      </c>
      <c r="O140" s="1" t="n">
        <v>46.8</v>
      </c>
      <c r="P140" s="1" t="n">
        <v>13.2</v>
      </c>
      <c r="Q140" s="1" t="n">
        <v>61.6</v>
      </c>
      <c r="R140" s="1" t="n">
        <v>72.3</v>
      </c>
      <c r="S140" s="1" t="n">
        <v>45.4</v>
      </c>
      <c r="T140" s="1" t="n">
        <v>54.6</v>
      </c>
      <c r="U140" s="1" t="n">
        <v>61</v>
      </c>
      <c r="V140" s="1" t="n">
        <v>49.2</v>
      </c>
      <c r="W140" s="1" t="n">
        <v>50.8</v>
      </c>
      <c r="Z140" s="14" t="s">
        <v>20</v>
      </c>
    </row>
    <row r="141" customFormat="false" ht="16.05" hidden="true" customHeight="false" outlineLevel="0" collapsed="false">
      <c r="B141" s="1" t="s">
        <v>73</v>
      </c>
      <c r="C141" s="1" t="s">
        <v>231</v>
      </c>
      <c r="D141" s="13" t="n">
        <v>0.416666666666667</v>
      </c>
      <c r="E141" s="14" t="s">
        <v>373</v>
      </c>
      <c r="F141" s="14" t="s">
        <v>374</v>
      </c>
      <c r="H141" s="1" t="n">
        <v>26.5</v>
      </c>
      <c r="I141" s="1" t="n">
        <v>30.2</v>
      </c>
      <c r="J141" s="1" t="n">
        <v>43.4</v>
      </c>
      <c r="K141" s="1" t="n">
        <v>56.6</v>
      </c>
      <c r="L141" s="1" t="n">
        <v>73.5</v>
      </c>
      <c r="M141" s="1" t="n">
        <v>69.8</v>
      </c>
      <c r="N141" s="1" t="n">
        <v>26.5</v>
      </c>
      <c r="O141" s="1" t="n">
        <v>46.3</v>
      </c>
      <c r="P141" s="1" t="n">
        <v>27.2</v>
      </c>
      <c r="Q141" s="1" t="n">
        <v>65.6</v>
      </c>
      <c r="R141" s="1" t="n">
        <v>71.4</v>
      </c>
      <c r="S141" s="1" t="n">
        <v>44.3</v>
      </c>
      <c r="T141" s="1" t="n">
        <v>55.7</v>
      </c>
      <c r="U141" s="1" t="n">
        <v>61.4</v>
      </c>
      <c r="V141" s="1" t="n">
        <v>50.2</v>
      </c>
      <c r="W141" s="1" t="n">
        <v>49.8</v>
      </c>
      <c r="Z141" s="14" t="s">
        <v>54</v>
      </c>
    </row>
    <row r="142" customFormat="false" ht="16.05" hidden="true" customHeight="false" outlineLevel="0" collapsed="false">
      <c r="B142" s="1" t="s">
        <v>375</v>
      </c>
      <c r="C142" s="1" t="s">
        <v>231</v>
      </c>
      <c r="D142" s="13" t="n">
        <v>0.416666666666667</v>
      </c>
      <c r="E142" s="14" t="s">
        <v>376</v>
      </c>
      <c r="F142" s="14" t="s">
        <v>377</v>
      </c>
      <c r="H142" s="1" t="n">
        <v>46.5</v>
      </c>
      <c r="I142" s="1" t="n">
        <v>28.2</v>
      </c>
      <c r="J142" s="1" t="n">
        <v>25.3</v>
      </c>
      <c r="K142" s="1" t="n">
        <v>74.7</v>
      </c>
      <c r="L142" s="1" t="n">
        <v>53.5</v>
      </c>
      <c r="M142" s="1" t="n">
        <v>71.8</v>
      </c>
      <c r="N142" s="1" t="n">
        <v>33.2</v>
      </c>
      <c r="O142" s="1" t="n">
        <v>41</v>
      </c>
      <c r="P142" s="1" t="n">
        <v>25.8</v>
      </c>
      <c r="Q142" s="1" t="n">
        <v>73.3</v>
      </c>
      <c r="R142" s="1" t="n">
        <v>74.1</v>
      </c>
      <c r="S142" s="1" t="n">
        <v>47.7</v>
      </c>
      <c r="T142" s="1" t="n">
        <v>52.3</v>
      </c>
      <c r="U142" s="1" t="n">
        <v>58.2</v>
      </c>
      <c r="V142" s="1" t="n">
        <v>52.4</v>
      </c>
      <c r="W142" s="1" t="n">
        <v>47.6</v>
      </c>
      <c r="Z142" s="14" t="s">
        <v>54</v>
      </c>
    </row>
    <row r="143" customFormat="false" ht="16.05" hidden="true" customHeight="false" outlineLevel="0" collapsed="false">
      <c r="B143" s="1" t="s">
        <v>375</v>
      </c>
      <c r="C143" s="1" t="s">
        <v>231</v>
      </c>
      <c r="D143" s="13" t="n">
        <v>0.416666666666667</v>
      </c>
      <c r="E143" s="14" t="s">
        <v>378</v>
      </c>
      <c r="F143" s="14" t="s">
        <v>379</v>
      </c>
      <c r="H143" s="1" t="n">
        <v>32</v>
      </c>
      <c r="I143" s="1" t="n">
        <v>30.4</v>
      </c>
      <c r="J143" s="1" t="n">
        <v>37.6</v>
      </c>
      <c r="K143" s="1" t="n">
        <v>62.4</v>
      </c>
      <c r="L143" s="1" t="n">
        <v>68</v>
      </c>
      <c r="M143" s="1" t="n">
        <v>69.6</v>
      </c>
      <c r="N143" s="1" t="n">
        <v>21.8</v>
      </c>
      <c r="O143" s="1" t="n">
        <v>45.3</v>
      </c>
      <c r="P143" s="1" t="n">
        <v>32.9</v>
      </c>
      <c r="Q143" s="1" t="n">
        <v>66.7</v>
      </c>
      <c r="R143" s="1" t="n">
        <v>71.2</v>
      </c>
      <c r="S143" s="1" t="n">
        <v>43.9</v>
      </c>
      <c r="T143" s="1" t="n">
        <v>56.1</v>
      </c>
      <c r="U143" s="1" t="n">
        <v>61.4</v>
      </c>
      <c r="V143" s="1" t="n">
        <v>50.8</v>
      </c>
      <c r="W143" s="1" t="n">
        <v>49.2</v>
      </c>
      <c r="Z143" s="14" t="s">
        <v>54</v>
      </c>
    </row>
    <row r="144" customFormat="false" ht="16.05" hidden="true" customHeight="false" outlineLevel="0" collapsed="false">
      <c r="B144" s="1" t="s">
        <v>375</v>
      </c>
      <c r="C144" s="1" t="s">
        <v>231</v>
      </c>
      <c r="D144" s="13" t="n">
        <v>0.416666666666667</v>
      </c>
      <c r="E144" s="14" t="s">
        <v>380</v>
      </c>
      <c r="F144" s="14" t="s">
        <v>381</v>
      </c>
      <c r="H144" s="1" t="n">
        <v>61.7</v>
      </c>
      <c r="I144" s="1" t="n">
        <v>23.9</v>
      </c>
      <c r="J144" s="1" t="n">
        <v>14.4</v>
      </c>
      <c r="K144" s="1" t="n">
        <v>85.6</v>
      </c>
      <c r="L144" s="1" t="n">
        <v>38.3</v>
      </c>
      <c r="M144" s="1" t="n">
        <v>76.1</v>
      </c>
      <c r="N144" s="1" t="n">
        <v>38.6</v>
      </c>
      <c r="O144" s="1" t="n">
        <v>44.5</v>
      </c>
      <c r="P144" s="1" t="n">
        <v>16.9</v>
      </c>
      <c r="Q144" s="1" t="n">
        <v>66.1</v>
      </c>
      <c r="R144" s="1" t="n">
        <v>77.6</v>
      </c>
      <c r="S144" s="1" t="n">
        <v>52.7</v>
      </c>
      <c r="T144" s="1" t="n">
        <v>47.3</v>
      </c>
      <c r="U144" s="1" t="n">
        <v>55.7</v>
      </c>
      <c r="V144" s="1" t="n">
        <v>49.7</v>
      </c>
      <c r="W144" s="1" t="n">
        <v>50.3</v>
      </c>
      <c r="Z144" s="14" t="s">
        <v>54</v>
      </c>
    </row>
    <row r="145" customFormat="false" ht="16.05" hidden="true" customHeight="false" outlineLevel="0" collapsed="false">
      <c r="B145" s="1" t="s">
        <v>67</v>
      </c>
      <c r="C145" s="1" t="s">
        <v>231</v>
      </c>
      <c r="D145" s="13" t="n">
        <v>0.416666666666667</v>
      </c>
      <c r="E145" s="14" t="s">
        <v>382</v>
      </c>
      <c r="F145" s="14" t="s">
        <v>383</v>
      </c>
      <c r="H145" s="1" t="n">
        <v>21.3</v>
      </c>
      <c r="I145" s="1" t="n">
        <v>31.3</v>
      </c>
      <c r="J145" s="1" t="n">
        <v>47.4</v>
      </c>
      <c r="K145" s="1" t="n">
        <v>52.6</v>
      </c>
      <c r="L145" s="1" t="n">
        <v>78.7</v>
      </c>
      <c r="M145" s="1" t="n">
        <v>68.7</v>
      </c>
      <c r="N145" s="1" t="n">
        <v>22.1</v>
      </c>
      <c r="O145" s="1" t="n">
        <v>44.5</v>
      </c>
      <c r="P145" s="1" t="n">
        <v>33.4</v>
      </c>
      <c r="Q145" s="1" t="n">
        <v>67.9</v>
      </c>
      <c r="R145" s="1" t="n">
        <v>66</v>
      </c>
      <c r="S145" s="1" t="n">
        <v>38</v>
      </c>
      <c r="T145" s="1" t="n">
        <v>62</v>
      </c>
      <c r="U145" s="1" t="n">
        <v>67.9</v>
      </c>
      <c r="V145" s="1" t="n">
        <v>43.6</v>
      </c>
      <c r="W145" s="1" t="n">
        <v>56.4</v>
      </c>
      <c r="Z145" s="14" t="s">
        <v>54</v>
      </c>
    </row>
    <row r="146" customFormat="false" ht="16.05" hidden="true" customHeight="false" outlineLevel="0" collapsed="false">
      <c r="B146" s="1" t="s">
        <v>55</v>
      </c>
      <c r="C146" s="1" t="s">
        <v>231</v>
      </c>
      <c r="D146" s="13" t="n">
        <v>0.416666666666667</v>
      </c>
      <c r="E146" s="14" t="s">
        <v>384</v>
      </c>
      <c r="F146" s="14" t="s">
        <v>385</v>
      </c>
      <c r="H146" s="1" t="n">
        <v>44.3</v>
      </c>
      <c r="I146" s="1" t="n">
        <v>29</v>
      </c>
      <c r="J146" s="1" t="n">
        <v>26.7</v>
      </c>
      <c r="K146" s="1" t="n">
        <v>73.3</v>
      </c>
      <c r="L146" s="1" t="n">
        <v>55.7</v>
      </c>
      <c r="M146" s="1" t="n">
        <v>71</v>
      </c>
      <c r="N146" s="1" t="n">
        <v>25.9</v>
      </c>
      <c r="O146" s="1" t="n">
        <v>56.9</v>
      </c>
      <c r="P146" s="1" t="n">
        <v>17.2</v>
      </c>
      <c r="Q146" s="1" t="n">
        <v>49.7</v>
      </c>
      <c r="R146" s="1" t="n">
        <v>72.6</v>
      </c>
      <c r="S146" s="1" t="n">
        <v>45.7</v>
      </c>
      <c r="T146" s="1" t="n">
        <v>54.3</v>
      </c>
      <c r="U146" s="1" t="n">
        <v>60</v>
      </c>
      <c r="V146" s="1" t="n">
        <v>51.3</v>
      </c>
      <c r="W146" s="1" t="n">
        <v>48.7</v>
      </c>
      <c r="Z146" s="14" t="s">
        <v>54</v>
      </c>
    </row>
    <row r="147" customFormat="false" ht="16.05" hidden="true" customHeight="false" outlineLevel="0" collapsed="false">
      <c r="B147" s="1" t="s">
        <v>386</v>
      </c>
      <c r="C147" s="1" t="s">
        <v>231</v>
      </c>
      <c r="D147" s="13" t="n">
        <v>0.416666666666667</v>
      </c>
      <c r="E147" s="14" t="s">
        <v>387</v>
      </c>
      <c r="F147" s="14" t="s">
        <v>388</v>
      </c>
      <c r="H147" s="1" t="n">
        <v>52.5</v>
      </c>
      <c r="I147" s="1" t="n">
        <v>24.9</v>
      </c>
      <c r="J147" s="1" t="n">
        <v>22.6</v>
      </c>
      <c r="K147" s="1" t="n">
        <v>77.4</v>
      </c>
      <c r="L147" s="1" t="n">
        <v>47.5</v>
      </c>
      <c r="M147" s="1" t="n">
        <v>75.1</v>
      </c>
      <c r="N147" s="1" t="n">
        <v>39.4</v>
      </c>
      <c r="O147" s="1" t="n">
        <v>36.2</v>
      </c>
      <c r="P147" s="1" t="n">
        <v>24.4</v>
      </c>
      <c r="Q147" s="1" t="n">
        <v>80.2</v>
      </c>
      <c r="R147" s="1" t="n">
        <v>84.6</v>
      </c>
      <c r="S147" s="1" t="n">
        <v>63.1</v>
      </c>
      <c r="T147" s="1" t="n">
        <v>36.9</v>
      </c>
      <c r="U147" s="1" t="n">
        <v>43.3</v>
      </c>
      <c r="V147" s="1" t="n">
        <v>63.1</v>
      </c>
      <c r="W147" s="1" t="n">
        <v>36.9</v>
      </c>
      <c r="Z147" s="14" t="s">
        <v>22</v>
      </c>
    </row>
    <row r="148" customFormat="false" ht="16.05" hidden="true" customHeight="false" outlineLevel="0" collapsed="false">
      <c r="B148" s="1" t="s">
        <v>386</v>
      </c>
      <c r="C148" s="1" t="s">
        <v>231</v>
      </c>
      <c r="D148" s="13" t="n">
        <v>0.416666666666667</v>
      </c>
      <c r="E148" s="14" t="s">
        <v>389</v>
      </c>
      <c r="F148" s="14" t="s">
        <v>390</v>
      </c>
      <c r="H148" s="1" t="n">
        <v>55.1</v>
      </c>
      <c r="I148" s="1" t="n">
        <v>26.4</v>
      </c>
      <c r="J148" s="1" t="n">
        <v>18.5</v>
      </c>
      <c r="K148" s="1" t="n">
        <v>81.5</v>
      </c>
      <c r="L148" s="1" t="n">
        <v>44.9</v>
      </c>
      <c r="M148" s="1" t="n">
        <v>73.6</v>
      </c>
      <c r="N148" s="1" t="n">
        <v>39.9</v>
      </c>
      <c r="O148" s="1" t="n">
        <v>46.7</v>
      </c>
      <c r="P148" s="1" t="n">
        <v>13.4</v>
      </c>
      <c r="Q148" s="1" t="n">
        <v>61.8</v>
      </c>
      <c r="R148" s="1" t="n">
        <v>74.2</v>
      </c>
      <c r="S148" s="1" t="n">
        <v>47.9</v>
      </c>
      <c r="T148" s="1" t="n">
        <v>52.1</v>
      </c>
      <c r="U148" s="1" t="n">
        <v>59.2</v>
      </c>
      <c r="V148" s="1" t="n">
        <v>49.4</v>
      </c>
      <c r="W148" s="1" t="n">
        <v>50.6</v>
      </c>
      <c r="Z148" s="14" t="s">
        <v>20</v>
      </c>
    </row>
    <row r="149" customFormat="false" ht="16.05" hidden="true" customHeight="false" outlineLevel="0" collapsed="false">
      <c r="B149" s="1" t="s">
        <v>312</v>
      </c>
      <c r="C149" s="1" t="s">
        <v>231</v>
      </c>
      <c r="D149" s="13" t="n">
        <v>0.416666666666667</v>
      </c>
      <c r="E149" s="14" t="s">
        <v>391</v>
      </c>
      <c r="F149" s="14" t="s">
        <v>392</v>
      </c>
      <c r="H149" s="1" t="n">
        <v>53.9</v>
      </c>
      <c r="I149" s="1" t="n">
        <v>24.3</v>
      </c>
      <c r="J149" s="1" t="n">
        <v>21.8</v>
      </c>
      <c r="K149" s="1" t="n">
        <v>78.2</v>
      </c>
      <c r="L149" s="1" t="n">
        <v>46.1</v>
      </c>
      <c r="M149" s="1" t="n">
        <v>75.7</v>
      </c>
      <c r="N149" s="1" t="n">
        <v>44.5</v>
      </c>
      <c r="O149" s="1" t="n">
        <v>35.7</v>
      </c>
      <c r="P149" s="1" t="n">
        <v>19.8</v>
      </c>
      <c r="Q149" s="1" t="n">
        <v>79.5</v>
      </c>
      <c r="R149" s="1" t="n">
        <v>87.9</v>
      </c>
      <c r="S149" s="1" t="n">
        <v>69.1</v>
      </c>
      <c r="T149" s="1" t="n">
        <v>30.9</v>
      </c>
      <c r="U149" s="1" t="n">
        <v>37.2</v>
      </c>
      <c r="V149" s="1" t="n">
        <v>67.4</v>
      </c>
      <c r="W149" s="1" t="n">
        <v>32.6</v>
      </c>
      <c r="Z149" s="14" t="s">
        <v>133</v>
      </c>
    </row>
    <row r="150" customFormat="false" ht="16.05" hidden="true" customHeight="false" outlineLevel="0" collapsed="false">
      <c r="B150" s="1" t="s">
        <v>86</v>
      </c>
      <c r="C150" s="1" t="s">
        <v>231</v>
      </c>
      <c r="D150" s="13" t="n">
        <v>0.4375</v>
      </c>
      <c r="E150" s="14" t="s">
        <v>393</v>
      </c>
      <c r="F150" s="14" t="s">
        <v>394</v>
      </c>
      <c r="H150" s="1" t="n">
        <v>46.7</v>
      </c>
      <c r="I150" s="1" t="n">
        <v>25.9</v>
      </c>
      <c r="J150" s="1" t="n">
        <v>27.4</v>
      </c>
      <c r="K150" s="1" t="n">
        <v>72.6</v>
      </c>
      <c r="L150" s="1" t="n">
        <v>53.3</v>
      </c>
      <c r="M150" s="1" t="n">
        <v>74.1</v>
      </c>
      <c r="N150" s="1" t="n">
        <v>33.5</v>
      </c>
      <c r="O150" s="1" t="n">
        <v>45.6</v>
      </c>
      <c r="P150" s="1" t="n">
        <v>20.9</v>
      </c>
      <c r="Q150" s="1" t="n">
        <v>65.7</v>
      </c>
      <c r="R150" s="1" t="n">
        <v>84.1</v>
      </c>
      <c r="S150" s="1" t="n">
        <v>62.3</v>
      </c>
      <c r="T150" s="1" t="n">
        <v>37.7</v>
      </c>
      <c r="U150" s="1" t="n">
        <v>43.6</v>
      </c>
      <c r="V150" s="1" t="n">
        <v>64.1</v>
      </c>
      <c r="W150" s="1" t="n">
        <v>35.9</v>
      </c>
      <c r="Z150" s="14" t="s">
        <v>54</v>
      </c>
    </row>
    <row r="151" customFormat="false" ht="16.05" hidden="true" customHeight="false" outlineLevel="0" collapsed="false">
      <c r="B151" s="1" t="s">
        <v>86</v>
      </c>
      <c r="C151" s="1" t="s">
        <v>231</v>
      </c>
      <c r="D151" s="13" t="n">
        <v>0.4375</v>
      </c>
      <c r="E151" s="14" t="s">
        <v>395</v>
      </c>
      <c r="F151" s="14" t="s">
        <v>396</v>
      </c>
      <c r="H151" s="1" t="n">
        <v>64.8</v>
      </c>
      <c r="I151" s="1" t="n">
        <v>23.2</v>
      </c>
      <c r="J151" s="1" t="n">
        <v>11.9</v>
      </c>
      <c r="K151" s="1" t="n">
        <v>88.1</v>
      </c>
      <c r="L151" s="1" t="n">
        <v>35.2</v>
      </c>
      <c r="M151" s="1" t="n">
        <v>76.8</v>
      </c>
      <c r="N151" s="1" t="n">
        <v>38.1</v>
      </c>
      <c r="O151" s="1" t="n">
        <v>47</v>
      </c>
      <c r="P151" s="1" t="n">
        <v>14.9</v>
      </c>
      <c r="Q151" s="1" t="n">
        <v>62</v>
      </c>
      <c r="R151" s="1" t="n">
        <v>75.2</v>
      </c>
      <c r="S151" s="1" t="n">
        <v>49.4</v>
      </c>
      <c r="T151" s="1" t="n">
        <v>50.6</v>
      </c>
      <c r="U151" s="1" t="n">
        <v>59.8</v>
      </c>
      <c r="V151" s="1" t="n">
        <v>44.6</v>
      </c>
      <c r="W151" s="1" t="n">
        <v>55.4</v>
      </c>
      <c r="Z151" s="14" t="s">
        <v>54</v>
      </c>
    </row>
    <row r="152" customFormat="false" ht="16.05" hidden="true" customHeight="false" outlineLevel="0" collapsed="false">
      <c r="B152" s="1" t="s">
        <v>86</v>
      </c>
      <c r="C152" s="1" t="s">
        <v>231</v>
      </c>
      <c r="D152" s="13" t="n">
        <v>0.4375</v>
      </c>
      <c r="E152" s="14" t="s">
        <v>397</v>
      </c>
      <c r="F152" s="14" t="s">
        <v>398</v>
      </c>
      <c r="H152" s="1" t="n">
        <v>30.7</v>
      </c>
      <c r="I152" s="1" t="n">
        <v>30</v>
      </c>
      <c r="J152" s="1" t="n">
        <v>39.2</v>
      </c>
      <c r="K152" s="1" t="n">
        <v>60.8</v>
      </c>
      <c r="L152" s="1" t="n">
        <v>69.3</v>
      </c>
      <c r="M152" s="1" t="n">
        <v>70</v>
      </c>
      <c r="N152" s="1" t="n">
        <v>33.5</v>
      </c>
      <c r="O152" s="1" t="n">
        <v>38.3</v>
      </c>
      <c r="P152" s="1" t="n">
        <v>28.2</v>
      </c>
      <c r="Q152" s="1" t="n">
        <v>77.8</v>
      </c>
      <c r="R152" s="1" t="n">
        <v>72.5</v>
      </c>
      <c r="S152" s="1" t="n">
        <v>45.5</v>
      </c>
      <c r="T152" s="1" t="n">
        <v>54.5</v>
      </c>
      <c r="U152" s="1" t="n">
        <v>59.9</v>
      </c>
      <c r="V152" s="1" t="n">
        <v>52</v>
      </c>
      <c r="W152" s="1" t="n">
        <v>48</v>
      </c>
      <c r="Z152" s="14" t="s">
        <v>54</v>
      </c>
    </row>
    <row r="153" customFormat="false" ht="16.05" hidden="true" customHeight="false" outlineLevel="0" collapsed="false">
      <c r="B153" s="1" t="s">
        <v>96</v>
      </c>
      <c r="C153" s="1" t="s">
        <v>231</v>
      </c>
      <c r="D153" s="13" t="n">
        <v>0.458333333333333</v>
      </c>
      <c r="E153" s="14" t="s">
        <v>399</v>
      </c>
      <c r="F153" s="14" t="s">
        <v>400</v>
      </c>
      <c r="H153" s="1" t="n">
        <v>43.5</v>
      </c>
      <c r="I153" s="1" t="n">
        <v>26.5</v>
      </c>
      <c r="J153" s="1" t="n">
        <v>30</v>
      </c>
      <c r="K153" s="1" t="n">
        <v>70</v>
      </c>
      <c r="L153" s="1" t="n">
        <v>56.5</v>
      </c>
      <c r="M153" s="1" t="n">
        <v>73.5</v>
      </c>
      <c r="N153" s="1" t="n">
        <v>20.6</v>
      </c>
      <c r="O153" s="1" t="n">
        <v>41.6</v>
      </c>
      <c r="P153" s="1" t="n">
        <v>37.9</v>
      </c>
      <c r="Q153" s="1" t="n">
        <v>72</v>
      </c>
      <c r="R153" s="1" t="n">
        <v>82.8</v>
      </c>
      <c r="S153" s="1" t="n">
        <v>60.3</v>
      </c>
      <c r="T153" s="1" t="n">
        <v>39.7</v>
      </c>
      <c r="U153" s="1" t="n">
        <v>45.5</v>
      </c>
      <c r="V153" s="1" t="n">
        <v>63.1</v>
      </c>
      <c r="W153" s="1" t="n">
        <v>36.9</v>
      </c>
      <c r="Z153" s="14" t="s">
        <v>54</v>
      </c>
    </row>
    <row r="154" customFormat="false" ht="16.05" hidden="true" customHeight="false" outlineLevel="0" collapsed="false">
      <c r="B154" s="1" t="s">
        <v>346</v>
      </c>
      <c r="C154" s="1" t="s">
        <v>231</v>
      </c>
      <c r="D154" s="13" t="n">
        <v>0.458333333333333</v>
      </c>
      <c r="E154" s="14" t="s">
        <v>401</v>
      </c>
      <c r="F154" s="14" t="s">
        <v>402</v>
      </c>
      <c r="H154" s="1" t="n">
        <v>23.6</v>
      </c>
      <c r="I154" s="1" t="n">
        <v>27</v>
      </c>
      <c r="J154" s="1" t="n">
        <v>49.4</v>
      </c>
      <c r="K154" s="1" t="n">
        <v>50.6</v>
      </c>
      <c r="L154" s="1" t="n">
        <v>76.4</v>
      </c>
      <c r="M154" s="1" t="n">
        <v>73</v>
      </c>
      <c r="N154" s="1" t="n">
        <v>13.4</v>
      </c>
      <c r="O154" s="1" t="n">
        <v>39.8</v>
      </c>
      <c r="P154" s="1" t="n">
        <v>46.8</v>
      </c>
      <c r="Q154" s="1" t="n">
        <v>71.8</v>
      </c>
      <c r="R154" s="1" t="n">
        <v>81.1</v>
      </c>
      <c r="S154" s="1" t="n">
        <v>57.5</v>
      </c>
      <c r="T154" s="1" t="n">
        <v>42.5</v>
      </c>
      <c r="U154" s="1" t="n">
        <v>48.8</v>
      </c>
      <c r="V154" s="1" t="n">
        <v>59.4</v>
      </c>
      <c r="W154" s="1" t="n">
        <v>40.6</v>
      </c>
      <c r="Z154" s="14" t="s">
        <v>54</v>
      </c>
    </row>
    <row r="155" customFormat="false" ht="16.05" hidden="true" customHeight="false" outlineLevel="0" collapsed="false">
      <c r="B155" s="1" t="s">
        <v>331</v>
      </c>
      <c r="C155" s="1" t="s">
        <v>231</v>
      </c>
      <c r="D155" s="13" t="n">
        <v>0.458333333333333</v>
      </c>
      <c r="E155" s="14" t="s">
        <v>403</v>
      </c>
      <c r="F155" s="14" t="s">
        <v>404</v>
      </c>
      <c r="H155" s="1" t="n">
        <v>44.4</v>
      </c>
      <c r="I155" s="1" t="n">
        <v>27.2</v>
      </c>
      <c r="J155" s="1" t="n">
        <v>28.4</v>
      </c>
      <c r="K155" s="1" t="n">
        <v>71.6</v>
      </c>
      <c r="L155" s="1" t="n">
        <v>55.6</v>
      </c>
      <c r="M155" s="1" t="n">
        <v>72.8</v>
      </c>
      <c r="N155" s="1" t="n">
        <v>35</v>
      </c>
      <c r="O155" s="1" t="n">
        <v>41.9</v>
      </c>
      <c r="P155" s="1" t="n">
        <v>23.1</v>
      </c>
      <c r="Q155" s="1" t="n">
        <v>71.6</v>
      </c>
      <c r="R155" s="1" t="n">
        <v>79.7</v>
      </c>
      <c r="S155" s="1" t="n">
        <v>55.4</v>
      </c>
      <c r="T155" s="1" t="n">
        <v>44.6</v>
      </c>
      <c r="U155" s="1" t="n">
        <v>50.5</v>
      </c>
      <c r="V155" s="1" t="n">
        <v>59.1</v>
      </c>
      <c r="W155" s="1" t="n">
        <v>40.9</v>
      </c>
      <c r="Z155" s="14" t="s">
        <v>48</v>
      </c>
    </row>
    <row r="156" customFormat="false" ht="16.05" hidden="true" customHeight="false" outlineLevel="0" collapsed="false">
      <c r="B156" s="1" t="s">
        <v>73</v>
      </c>
      <c r="C156" s="1" t="s">
        <v>231</v>
      </c>
      <c r="D156" s="13" t="n">
        <v>0.458333333333333</v>
      </c>
      <c r="E156" s="14" t="s">
        <v>405</v>
      </c>
      <c r="F156" s="14" t="s">
        <v>406</v>
      </c>
      <c r="H156" s="1" t="n">
        <v>33.1</v>
      </c>
      <c r="I156" s="1" t="n">
        <v>30.2</v>
      </c>
      <c r="J156" s="1" t="n">
        <v>36.7</v>
      </c>
      <c r="K156" s="1" t="n">
        <v>63.3</v>
      </c>
      <c r="L156" s="1" t="n">
        <v>66.9</v>
      </c>
      <c r="M156" s="1" t="n">
        <v>69.8</v>
      </c>
      <c r="N156" s="1" t="n">
        <v>28.4</v>
      </c>
      <c r="O156" s="1" t="n">
        <v>47.8</v>
      </c>
      <c r="P156" s="1" t="n">
        <v>23.8</v>
      </c>
      <c r="Q156" s="1" t="n">
        <v>63.1</v>
      </c>
      <c r="R156" s="1" t="n">
        <v>71.9</v>
      </c>
      <c r="S156" s="1" t="n">
        <v>44.7</v>
      </c>
      <c r="T156" s="1" t="n">
        <v>55.3</v>
      </c>
      <c r="U156" s="1" t="n">
        <v>60.6</v>
      </c>
      <c r="V156" s="1" t="n">
        <v>51.6</v>
      </c>
      <c r="W156" s="1" t="n">
        <v>48.4</v>
      </c>
      <c r="Z156" s="14" t="s">
        <v>54</v>
      </c>
    </row>
    <row r="157" customFormat="false" ht="16.05" hidden="true" customHeight="false" outlineLevel="0" collapsed="false">
      <c r="B157" s="1" t="s">
        <v>154</v>
      </c>
      <c r="C157" s="1" t="s">
        <v>231</v>
      </c>
      <c r="D157" s="13" t="n">
        <v>0.458333333333333</v>
      </c>
      <c r="E157" s="14" t="s">
        <v>407</v>
      </c>
      <c r="F157" s="14" t="s">
        <v>408</v>
      </c>
      <c r="H157" s="1" t="n">
        <v>61.5</v>
      </c>
      <c r="I157" s="1" t="n">
        <v>23.8</v>
      </c>
      <c r="J157" s="1" t="n">
        <v>14.6</v>
      </c>
      <c r="K157" s="1" t="n">
        <v>85.4</v>
      </c>
      <c r="L157" s="1" t="n">
        <v>38.5</v>
      </c>
      <c r="M157" s="1" t="n">
        <v>76.2</v>
      </c>
      <c r="N157" s="1" t="n">
        <v>58.6</v>
      </c>
      <c r="O157" s="1" t="n">
        <v>28.1</v>
      </c>
      <c r="P157" s="1" t="n">
        <v>13.3</v>
      </c>
      <c r="Q157" s="1" t="n">
        <v>86.4</v>
      </c>
      <c r="R157" s="1" t="n">
        <v>92.8</v>
      </c>
      <c r="S157" s="1" t="n">
        <v>79</v>
      </c>
      <c r="T157" s="1" t="n">
        <v>21</v>
      </c>
      <c r="U157" s="1" t="n">
        <v>27.5</v>
      </c>
      <c r="V157" s="1" t="n">
        <v>71.8</v>
      </c>
      <c r="W157" s="1" t="n">
        <v>28.2</v>
      </c>
      <c r="Z157" s="14" t="s">
        <v>54</v>
      </c>
    </row>
    <row r="158" customFormat="false" ht="16.05" hidden="true" customHeight="false" outlineLevel="0" collapsed="false">
      <c r="B158" s="1" t="s">
        <v>154</v>
      </c>
      <c r="C158" s="1" t="s">
        <v>231</v>
      </c>
      <c r="D158" s="13" t="n">
        <v>0.458333333333333</v>
      </c>
      <c r="E158" s="14" t="s">
        <v>409</v>
      </c>
      <c r="F158" s="14" t="s">
        <v>410</v>
      </c>
      <c r="H158" s="1" t="n">
        <v>34.6</v>
      </c>
      <c r="I158" s="1" t="n">
        <v>26.8</v>
      </c>
      <c r="J158" s="1" t="n">
        <v>38.6</v>
      </c>
      <c r="K158" s="1" t="n">
        <v>61.4</v>
      </c>
      <c r="L158" s="1" t="n">
        <v>65.4</v>
      </c>
      <c r="M158" s="1" t="n">
        <v>73.2</v>
      </c>
      <c r="N158" s="1" t="n">
        <v>24.5</v>
      </c>
      <c r="O158" s="1" t="n">
        <v>37.5</v>
      </c>
      <c r="P158" s="1" t="n">
        <v>38</v>
      </c>
      <c r="Q158" s="1" t="n">
        <v>78.7</v>
      </c>
      <c r="R158" s="1" t="n">
        <v>83.6</v>
      </c>
      <c r="S158" s="1" t="n">
        <v>61.6</v>
      </c>
      <c r="T158" s="1" t="n">
        <v>38.4</v>
      </c>
      <c r="U158" s="1" t="n">
        <v>44</v>
      </c>
      <c r="V158" s="1" t="n">
        <v>64.6</v>
      </c>
      <c r="W158" s="1" t="n">
        <v>35.4</v>
      </c>
      <c r="Z158" s="14" t="s">
        <v>54</v>
      </c>
    </row>
    <row r="159" customFormat="false" ht="16.05" hidden="true" customHeight="false" outlineLevel="0" collapsed="false">
      <c r="B159" s="1" t="s">
        <v>154</v>
      </c>
      <c r="C159" s="1" t="s">
        <v>231</v>
      </c>
      <c r="D159" s="13" t="n">
        <v>0.458333333333333</v>
      </c>
      <c r="E159" s="14" t="s">
        <v>411</v>
      </c>
      <c r="F159" s="14" t="s">
        <v>412</v>
      </c>
      <c r="H159" s="1" t="n">
        <v>39</v>
      </c>
      <c r="I159" s="1" t="n">
        <v>27.4</v>
      </c>
      <c r="J159" s="1" t="n">
        <v>33.5</v>
      </c>
      <c r="K159" s="1" t="n">
        <v>66.5</v>
      </c>
      <c r="L159" s="1" t="n">
        <v>61</v>
      </c>
      <c r="M159" s="1" t="n">
        <v>72.6</v>
      </c>
      <c r="N159" s="1" t="n">
        <v>28.9</v>
      </c>
      <c r="O159" s="1" t="n">
        <v>41.6</v>
      </c>
      <c r="P159" s="1" t="n">
        <v>29.5</v>
      </c>
      <c r="Q159" s="1" t="n">
        <v>72.7</v>
      </c>
      <c r="R159" s="1" t="n">
        <v>80.8</v>
      </c>
      <c r="S159" s="1" t="n">
        <v>57</v>
      </c>
      <c r="T159" s="1" t="n">
        <v>43</v>
      </c>
      <c r="U159" s="1" t="n">
        <v>48.6</v>
      </c>
      <c r="V159" s="1" t="n">
        <v>61</v>
      </c>
      <c r="W159" s="1" t="n">
        <v>39</v>
      </c>
      <c r="Z159" s="14" t="s">
        <v>54</v>
      </c>
    </row>
    <row r="160" customFormat="false" ht="16.05" hidden="true" customHeight="false" outlineLevel="0" collapsed="false">
      <c r="B160" s="1" t="s">
        <v>115</v>
      </c>
      <c r="C160" s="1" t="s">
        <v>231</v>
      </c>
      <c r="D160" s="13" t="n">
        <v>0.458333333333333</v>
      </c>
      <c r="E160" s="14" t="s">
        <v>413</v>
      </c>
      <c r="F160" s="14" t="s">
        <v>414</v>
      </c>
      <c r="H160" s="1" t="n">
        <v>42.7</v>
      </c>
      <c r="I160" s="1" t="n">
        <v>25.3</v>
      </c>
      <c r="J160" s="1" t="n">
        <v>32</v>
      </c>
      <c r="K160" s="1" t="n">
        <v>68</v>
      </c>
      <c r="L160" s="1" t="n">
        <v>57.3</v>
      </c>
      <c r="M160" s="1" t="n">
        <v>74.7</v>
      </c>
      <c r="N160" s="1" t="n">
        <v>34.6</v>
      </c>
      <c r="O160" s="1" t="n">
        <v>35.6</v>
      </c>
      <c r="P160" s="1" t="n">
        <v>29.8</v>
      </c>
      <c r="Q160" s="1" t="n">
        <v>82.1</v>
      </c>
      <c r="R160" s="1" t="n">
        <v>90.1</v>
      </c>
      <c r="S160" s="1" t="n">
        <v>73.2</v>
      </c>
      <c r="T160" s="1" t="n">
        <v>26.8</v>
      </c>
      <c r="U160" s="1" t="n">
        <v>32</v>
      </c>
      <c r="V160" s="1" t="n">
        <v>73.3</v>
      </c>
      <c r="W160" s="1" t="n">
        <v>26.7</v>
      </c>
      <c r="Z160" s="14" t="s">
        <v>54</v>
      </c>
    </row>
    <row r="161" customFormat="false" ht="16.05" hidden="true" customHeight="false" outlineLevel="0" collapsed="false">
      <c r="B161" s="1" t="s">
        <v>115</v>
      </c>
      <c r="C161" s="1" t="s">
        <v>231</v>
      </c>
      <c r="D161" s="13" t="n">
        <v>0.458333333333333</v>
      </c>
      <c r="E161" s="14" t="s">
        <v>415</v>
      </c>
      <c r="F161" s="14" t="s">
        <v>416</v>
      </c>
      <c r="H161" s="1" t="n">
        <v>57.3</v>
      </c>
      <c r="I161" s="1" t="n">
        <v>24.3</v>
      </c>
      <c r="J161" s="1" t="n">
        <v>18.4</v>
      </c>
      <c r="K161" s="1" t="n">
        <v>81.6</v>
      </c>
      <c r="L161" s="1" t="n">
        <v>42.7</v>
      </c>
      <c r="M161" s="1" t="n">
        <v>75.7</v>
      </c>
      <c r="N161" s="1" t="n">
        <v>48.9</v>
      </c>
      <c r="O161" s="1" t="n">
        <v>31.7</v>
      </c>
      <c r="P161" s="1" t="n">
        <v>19.4</v>
      </c>
      <c r="Q161" s="1" t="n">
        <v>85</v>
      </c>
      <c r="R161" s="1" t="n">
        <v>92.8</v>
      </c>
      <c r="S161" s="1" t="n">
        <v>78.9</v>
      </c>
      <c r="T161" s="1" t="n">
        <v>21.1</v>
      </c>
      <c r="U161" s="1" t="n">
        <v>27</v>
      </c>
      <c r="V161" s="1" t="n">
        <v>74</v>
      </c>
      <c r="W161" s="1" t="n">
        <v>26</v>
      </c>
      <c r="Z161" s="14" t="s">
        <v>54</v>
      </c>
    </row>
    <row r="162" customFormat="false" ht="16.05" hidden="true" customHeight="false" outlineLevel="0" collapsed="false">
      <c r="B162" s="1" t="s">
        <v>115</v>
      </c>
      <c r="C162" s="1" t="s">
        <v>231</v>
      </c>
      <c r="D162" s="13" t="n">
        <v>0.458333333333333</v>
      </c>
      <c r="E162" s="14" t="s">
        <v>417</v>
      </c>
      <c r="F162" s="14" t="s">
        <v>418</v>
      </c>
      <c r="H162" s="1" t="n">
        <v>32.2</v>
      </c>
      <c r="I162" s="1" t="n">
        <v>26.1</v>
      </c>
      <c r="J162" s="1" t="n">
        <v>41.7</v>
      </c>
      <c r="K162" s="1" t="n">
        <v>58.3</v>
      </c>
      <c r="L162" s="1" t="n">
        <v>67.8</v>
      </c>
      <c r="M162" s="1" t="n">
        <v>73.9</v>
      </c>
      <c r="N162" s="1" t="n">
        <v>31.8</v>
      </c>
      <c r="O162" s="1" t="n">
        <v>40.4</v>
      </c>
      <c r="P162" s="1" t="n">
        <v>27.8</v>
      </c>
      <c r="Q162" s="1" t="n">
        <v>74.5</v>
      </c>
      <c r="R162" s="1" t="n">
        <v>86.9</v>
      </c>
      <c r="S162" s="1" t="n">
        <v>67.1</v>
      </c>
      <c r="T162" s="1" t="n">
        <v>32.9</v>
      </c>
      <c r="U162" s="1" t="n">
        <v>38.4</v>
      </c>
      <c r="V162" s="1" t="n">
        <v>68.7</v>
      </c>
      <c r="W162" s="1" t="n">
        <v>31.3</v>
      </c>
      <c r="Z162" s="14" t="s">
        <v>54</v>
      </c>
    </row>
    <row r="163" customFormat="false" ht="16.4" hidden="true" customHeight="false" outlineLevel="0" collapsed="false">
      <c r="B163" s="1" t="s">
        <v>355</v>
      </c>
      <c r="C163" s="1" t="s">
        <v>231</v>
      </c>
      <c r="D163" s="13" t="n">
        <v>0.458333333333333</v>
      </c>
      <c r="E163" s="14" t="s">
        <v>419</v>
      </c>
      <c r="F163" s="14" t="s">
        <v>420</v>
      </c>
      <c r="H163" s="1" t="n">
        <v>47.2</v>
      </c>
      <c r="I163" s="1" t="n">
        <v>26.1</v>
      </c>
      <c r="J163" s="1" t="n">
        <v>26.7</v>
      </c>
      <c r="K163" s="1" t="n">
        <v>73.3</v>
      </c>
      <c r="L163" s="1" t="n">
        <v>52.8</v>
      </c>
      <c r="M163" s="1" t="n">
        <v>73.9</v>
      </c>
      <c r="N163" s="1" t="n">
        <v>35.6</v>
      </c>
      <c r="O163" s="1" t="n">
        <v>38.4</v>
      </c>
      <c r="P163" s="1" t="n">
        <v>26</v>
      </c>
      <c r="Q163" s="1" t="n">
        <v>77.3</v>
      </c>
      <c r="R163" s="1" t="n">
        <v>82.8</v>
      </c>
      <c r="S163" s="1" t="n">
        <v>60.2</v>
      </c>
      <c r="T163" s="1" t="n">
        <v>39.8</v>
      </c>
      <c r="U163" s="1" t="n">
        <v>45.8</v>
      </c>
      <c r="V163" s="1" t="n">
        <v>62.3</v>
      </c>
      <c r="W163" s="1" t="n">
        <v>37.7</v>
      </c>
      <c r="Z163" s="14" t="s">
        <v>133</v>
      </c>
    </row>
    <row r="164" customFormat="false" ht="16.05" hidden="true" customHeight="false" outlineLevel="0" collapsed="false">
      <c r="B164" s="1" t="s">
        <v>277</v>
      </c>
      <c r="C164" s="1" t="s">
        <v>231</v>
      </c>
      <c r="D164" s="13" t="n">
        <v>0.458333333333333</v>
      </c>
      <c r="E164" s="14" t="s">
        <v>421</v>
      </c>
      <c r="F164" s="14" t="s">
        <v>422</v>
      </c>
      <c r="H164" s="1" t="n">
        <v>65</v>
      </c>
      <c r="I164" s="1" t="n">
        <v>22.4</v>
      </c>
      <c r="J164" s="1" t="n">
        <v>12.6</v>
      </c>
      <c r="K164" s="1" t="n">
        <v>87.4</v>
      </c>
      <c r="L164" s="1" t="n">
        <v>35</v>
      </c>
      <c r="M164" s="1" t="n">
        <v>77.6</v>
      </c>
      <c r="N164" s="1" t="n">
        <v>49.7</v>
      </c>
      <c r="O164" s="1" t="n">
        <v>32.5</v>
      </c>
      <c r="P164" s="1" t="n">
        <v>17.8</v>
      </c>
      <c r="Q164" s="1" t="n">
        <v>83</v>
      </c>
      <c r="R164" s="1" t="n">
        <v>89.9</v>
      </c>
      <c r="S164" s="1" t="n">
        <v>73</v>
      </c>
      <c r="T164" s="1" t="n">
        <v>27</v>
      </c>
      <c r="U164" s="1" t="n">
        <v>34.9</v>
      </c>
      <c r="V164" s="1" t="n">
        <v>64.5</v>
      </c>
      <c r="W164" s="1" t="n">
        <v>35.5</v>
      </c>
      <c r="Z164" s="1" t="s">
        <v>54</v>
      </c>
    </row>
    <row r="165" customFormat="false" ht="16.05" hidden="true" customHeight="false" outlineLevel="0" collapsed="false">
      <c r="B165" s="1" t="s">
        <v>277</v>
      </c>
      <c r="C165" s="1" t="s">
        <v>231</v>
      </c>
      <c r="D165" s="13" t="n">
        <v>0.458333333333333</v>
      </c>
      <c r="E165" s="14" t="s">
        <v>423</v>
      </c>
      <c r="F165" s="14" t="s">
        <v>424</v>
      </c>
      <c r="H165" s="1" t="n">
        <v>45.9</v>
      </c>
      <c r="I165" s="1" t="n">
        <v>26.1</v>
      </c>
      <c r="J165" s="1" t="n">
        <v>28</v>
      </c>
      <c r="K165" s="1" t="n">
        <v>72</v>
      </c>
      <c r="L165" s="1" t="n">
        <v>54.1</v>
      </c>
      <c r="M165" s="1" t="n">
        <v>73.9</v>
      </c>
      <c r="N165" s="1" t="n">
        <v>36.4</v>
      </c>
      <c r="O165" s="1" t="n">
        <v>39.4</v>
      </c>
      <c r="P165" s="1" t="n">
        <v>24.2</v>
      </c>
      <c r="Q165" s="1" t="n">
        <v>75.4</v>
      </c>
      <c r="R165" s="1" t="n">
        <v>83.4</v>
      </c>
      <c r="S165" s="1" t="n">
        <v>61.2</v>
      </c>
      <c r="T165" s="1" t="n">
        <v>38.8</v>
      </c>
      <c r="U165" s="1" t="n">
        <v>44.7</v>
      </c>
      <c r="V165" s="1" t="n">
        <v>63.4</v>
      </c>
      <c r="W165" s="1" t="n">
        <v>36.6</v>
      </c>
      <c r="Z165" s="1" t="s">
        <v>54</v>
      </c>
    </row>
    <row r="166" customFormat="false" ht="16.05" hidden="true" customHeight="false" outlineLevel="0" collapsed="false">
      <c r="B166" s="1" t="s">
        <v>51</v>
      </c>
      <c r="C166" s="1" t="s">
        <v>231</v>
      </c>
      <c r="D166" s="13" t="n">
        <v>0.458333333333333</v>
      </c>
      <c r="E166" s="14" t="s">
        <v>425</v>
      </c>
      <c r="F166" s="14" t="s">
        <v>426</v>
      </c>
      <c r="H166" s="1" t="n">
        <v>27.6</v>
      </c>
      <c r="I166" s="1" t="n">
        <v>27.6</v>
      </c>
      <c r="J166" s="1" t="n">
        <v>44.9</v>
      </c>
      <c r="K166" s="1" t="n">
        <v>55.1</v>
      </c>
      <c r="L166" s="1" t="n">
        <v>72.4</v>
      </c>
      <c r="M166" s="1" t="n">
        <v>72.4</v>
      </c>
      <c r="N166" s="1" t="n">
        <v>21.8</v>
      </c>
      <c r="O166" s="1" t="n">
        <v>43.2</v>
      </c>
      <c r="P166" s="1" t="n">
        <v>35</v>
      </c>
      <c r="Q166" s="1" t="n">
        <v>69.8</v>
      </c>
      <c r="R166" s="1" t="n">
        <v>80.3</v>
      </c>
      <c r="S166" s="1" t="n">
        <v>56.3</v>
      </c>
      <c r="T166" s="1" t="n">
        <v>43.7</v>
      </c>
      <c r="U166" s="1" t="n">
        <v>49.7</v>
      </c>
      <c r="V166" s="1" t="n">
        <v>59.6</v>
      </c>
      <c r="W166" s="1" t="n">
        <v>40.4</v>
      </c>
      <c r="Z166" s="1" t="s">
        <v>54</v>
      </c>
    </row>
    <row r="167" customFormat="false" ht="16.05" hidden="true" customHeight="false" outlineLevel="0" collapsed="false">
      <c r="B167" s="1" t="s">
        <v>51</v>
      </c>
      <c r="C167" s="1" t="s">
        <v>231</v>
      </c>
      <c r="D167" s="13" t="n">
        <v>0.458333333333333</v>
      </c>
      <c r="E167" s="14" t="s">
        <v>427</v>
      </c>
      <c r="F167" s="14" t="s">
        <v>428</v>
      </c>
      <c r="H167" s="1" t="n">
        <v>39.8</v>
      </c>
      <c r="I167" s="1" t="n">
        <v>28.4</v>
      </c>
      <c r="J167" s="1" t="n">
        <v>31.8</v>
      </c>
      <c r="K167" s="1" t="n">
        <v>68.2</v>
      </c>
      <c r="L167" s="1" t="n">
        <v>60.2</v>
      </c>
      <c r="M167" s="1" t="n">
        <v>71.6</v>
      </c>
      <c r="N167" s="1" t="n">
        <v>29.9</v>
      </c>
      <c r="O167" s="1" t="n">
        <v>43.2</v>
      </c>
      <c r="P167" s="1" t="n">
        <v>26.9</v>
      </c>
      <c r="Q167" s="1" t="n">
        <v>70.2</v>
      </c>
      <c r="R167" s="1" t="n">
        <v>76.9</v>
      </c>
      <c r="S167" s="1" t="n">
        <v>51.4</v>
      </c>
      <c r="T167" s="1" t="n">
        <v>48.6</v>
      </c>
      <c r="U167" s="1" t="n">
        <v>54.2</v>
      </c>
      <c r="V167" s="1" t="n">
        <v>56.6</v>
      </c>
      <c r="W167" s="1" t="n">
        <v>43.4</v>
      </c>
      <c r="Z167" s="1" t="s">
        <v>54</v>
      </c>
    </row>
    <row r="168" customFormat="false" ht="16.05" hidden="true" customHeight="false" outlineLevel="0" collapsed="false">
      <c r="B168" s="1" t="s">
        <v>429</v>
      </c>
      <c r="C168" s="1" t="s">
        <v>231</v>
      </c>
      <c r="D168" s="13" t="n">
        <v>0.458333333333333</v>
      </c>
      <c r="E168" s="14" t="s">
        <v>430</v>
      </c>
      <c r="F168" s="14" t="s">
        <v>431</v>
      </c>
      <c r="H168" s="1" t="n">
        <v>54.8</v>
      </c>
      <c r="I168" s="1" t="n">
        <v>25.9</v>
      </c>
      <c r="J168" s="1" t="n">
        <v>19.3</v>
      </c>
      <c r="K168" s="1" t="n">
        <v>80.7</v>
      </c>
      <c r="L168" s="1" t="n">
        <v>45.2</v>
      </c>
      <c r="M168" s="1" t="n">
        <v>74.1</v>
      </c>
      <c r="N168" s="1" t="n">
        <v>47.2</v>
      </c>
      <c r="O168" s="1" t="n">
        <v>40.3</v>
      </c>
      <c r="P168" s="1" t="n">
        <v>12.5</v>
      </c>
      <c r="Q168" s="1" t="n">
        <v>69.6</v>
      </c>
      <c r="R168" s="1" t="n">
        <v>76.8</v>
      </c>
      <c r="S168" s="1" t="n">
        <v>51.4</v>
      </c>
      <c r="T168" s="1" t="n">
        <v>48.6</v>
      </c>
      <c r="U168" s="1" t="n">
        <v>55.6</v>
      </c>
      <c r="V168" s="1" t="n">
        <v>52.5</v>
      </c>
      <c r="W168" s="1" t="n">
        <v>47.5</v>
      </c>
      <c r="Z168" s="1" t="s">
        <v>54</v>
      </c>
    </row>
    <row r="169" customFormat="false" ht="16.05" hidden="true" customHeight="false" outlineLevel="0" collapsed="false">
      <c r="B169" s="1" t="s">
        <v>432</v>
      </c>
      <c r="C169" s="1" t="s">
        <v>231</v>
      </c>
      <c r="D169" s="13" t="n">
        <v>0.458333333333333</v>
      </c>
      <c r="E169" s="14" t="s">
        <v>433</v>
      </c>
      <c r="F169" s="14" t="s">
        <v>434</v>
      </c>
      <c r="H169" s="1" t="n">
        <v>39.6</v>
      </c>
      <c r="I169" s="1" t="n">
        <v>25.9</v>
      </c>
      <c r="J169" s="1" t="n">
        <v>34.4</v>
      </c>
      <c r="K169" s="1" t="n">
        <v>65.6</v>
      </c>
      <c r="L169" s="1" t="n">
        <v>60.4</v>
      </c>
      <c r="M169" s="1" t="n">
        <v>74.1</v>
      </c>
      <c r="N169" s="1" t="n">
        <v>34.2</v>
      </c>
      <c r="O169" s="1" t="n">
        <v>36.4</v>
      </c>
      <c r="P169" s="1" t="n">
        <v>29.4</v>
      </c>
      <c r="Q169" s="1" t="n">
        <v>80.8</v>
      </c>
      <c r="R169" s="1" t="n">
        <v>87</v>
      </c>
      <c r="S169" s="1" t="n">
        <v>67.2</v>
      </c>
      <c r="T169" s="1" t="n">
        <v>32.8</v>
      </c>
      <c r="U169" s="1" t="n">
        <v>38.2</v>
      </c>
      <c r="V169" s="1" t="n">
        <v>68.9</v>
      </c>
      <c r="W169" s="1" t="n">
        <v>31.1</v>
      </c>
      <c r="Z169" s="14" t="s">
        <v>48</v>
      </c>
    </row>
    <row r="170" customFormat="false" ht="16.05" hidden="true" customHeight="false" outlineLevel="0" collapsed="false">
      <c r="B170" s="1" t="s">
        <v>55</v>
      </c>
      <c r="C170" s="1" t="s">
        <v>231</v>
      </c>
      <c r="D170" s="13" t="n">
        <v>0.458333333333333</v>
      </c>
      <c r="E170" s="14" t="s">
        <v>435</v>
      </c>
      <c r="F170" s="14" t="s">
        <v>436</v>
      </c>
      <c r="H170" s="1" t="n">
        <v>16.6</v>
      </c>
      <c r="I170" s="1" t="n">
        <v>32.4</v>
      </c>
      <c r="J170" s="1" t="n">
        <v>51</v>
      </c>
      <c r="K170" s="1" t="n">
        <v>49</v>
      </c>
      <c r="L170" s="1" t="n">
        <v>83.4</v>
      </c>
      <c r="M170" s="1" t="n">
        <v>67.6</v>
      </c>
      <c r="N170" s="1" t="n">
        <v>16.2</v>
      </c>
      <c r="O170" s="1" t="n">
        <v>58.3</v>
      </c>
      <c r="P170" s="1" t="n">
        <v>25.6</v>
      </c>
      <c r="Q170" s="1" t="n">
        <v>48</v>
      </c>
      <c r="R170" s="1" t="n">
        <v>59.9</v>
      </c>
      <c r="S170" s="1" t="n">
        <v>31.7</v>
      </c>
      <c r="T170" s="1" t="n">
        <v>68.3</v>
      </c>
      <c r="U170" s="1" t="n">
        <v>74.4</v>
      </c>
      <c r="V170" s="1" t="n">
        <v>36.1</v>
      </c>
      <c r="W170" s="1" t="n">
        <v>63.9</v>
      </c>
      <c r="Z170" s="1" t="s">
        <v>54</v>
      </c>
    </row>
    <row r="171" customFormat="false" ht="16.05" hidden="true" customHeight="false" outlineLevel="0" collapsed="false">
      <c r="B171" s="1" t="s">
        <v>55</v>
      </c>
      <c r="C171" s="1" t="s">
        <v>231</v>
      </c>
      <c r="D171" s="13" t="n">
        <v>0.458333333333333</v>
      </c>
      <c r="E171" s="14" t="s">
        <v>437</v>
      </c>
      <c r="F171" s="14" t="s">
        <v>438</v>
      </c>
      <c r="H171" s="1" t="n">
        <v>33.8</v>
      </c>
      <c r="I171" s="1" t="n">
        <v>31.3</v>
      </c>
      <c r="J171" s="1" t="n">
        <v>34.9</v>
      </c>
      <c r="K171" s="1" t="n">
        <v>65.1</v>
      </c>
      <c r="L171" s="1" t="n">
        <v>66.2</v>
      </c>
      <c r="M171" s="1" t="n">
        <v>68.7</v>
      </c>
      <c r="N171" s="1" t="n">
        <v>44.4</v>
      </c>
      <c r="O171" s="1" t="n">
        <v>48</v>
      </c>
      <c r="P171" s="1" t="n">
        <v>7.7</v>
      </c>
      <c r="Q171" s="1" t="n">
        <v>57.3</v>
      </c>
      <c r="R171" s="1" t="n">
        <v>68.3</v>
      </c>
      <c r="S171" s="1" t="n">
        <v>40.4</v>
      </c>
      <c r="T171" s="1" t="n">
        <v>59.6</v>
      </c>
      <c r="U171" s="1" t="n">
        <v>64.6</v>
      </c>
      <c r="V171" s="1" t="n">
        <v>48.1</v>
      </c>
      <c r="W171" s="1" t="n">
        <v>51.9</v>
      </c>
      <c r="Z171" s="1" t="s">
        <v>54</v>
      </c>
    </row>
    <row r="172" customFormat="false" ht="16.05" hidden="true" customHeight="false" outlineLevel="0" collapsed="false">
      <c r="B172" s="1" t="s">
        <v>318</v>
      </c>
      <c r="C172" s="1" t="s">
        <v>231</v>
      </c>
      <c r="D172" s="13" t="n">
        <v>0.458333333333333</v>
      </c>
      <c r="E172" s="14" t="s">
        <v>439</v>
      </c>
      <c r="F172" s="14" t="s">
        <v>440</v>
      </c>
      <c r="H172" s="1" t="n">
        <v>38.4</v>
      </c>
      <c r="I172" s="1" t="n">
        <v>26</v>
      </c>
      <c r="J172" s="1" t="n">
        <v>35.7</v>
      </c>
      <c r="K172" s="1" t="n">
        <v>64.3</v>
      </c>
      <c r="L172" s="1" t="n">
        <v>61.6</v>
      </c>
      <c r="M172" s="1" t="n">
        <v>74</v>
      </c>
      <c r="N172" s="1" t="n">
        <v>30.9</v>
      </c>
      <c r="O172" s="1" t="n">
        <v>38.3</v>
      </c>
      <c r="P172" s="1" t="n">
        <v>30.8</v>
      </c>
      <c r="Q172" s="1" t="n">
        <v>77.9</v>
      </c>
      <c r="R172" s="1" t="n">
        <v>87</v>
      </c>
      <c r="S172" s="1" t="n">
        <v>67.3</v>
      </c>
      <c r="T172" s="1" t="n">
        <v>32.7</v>
      </c>
      <c r="U172" s="1" t="n">
        <v>38.1</v>
      </c>
      <c r="V172" s="1" t="n">
        <v>69</v>
      </c>
      <c r="W172" s="1" t="n">
        <v>31</v>
      </c>
      <c r="Z172" s="1" t="s">
        <v>54</v>
      </c>
    </row>
    <row r="173" customFormat="false" ht="16.05" hidden="true" customHeight="false" outlineLevel="0" collapsed="false">
      <c r="B173" s="1" t="s">
        <v>318</v>
      </c>
      <c r="C173" s="1" t="s">
        <v>231</v>
      </c>
      <c r="D173" s="13" t="n">
        <v>0.458333333333333</v>
      </c>
      <c r="E173" s="14" t="s">
        <v>441</v>
      </c>
      <c r="F173" s="14" t="s">
        <v>442</v>
      </c>
      <c r="H173" s="1" t="n">
        <v>28.5</v>
      </c>
      <c r="I173" s="1" t="n">
        <v>28.5</v>
      </c>
      <c r="J173" s="1" t="n">
        <v>43</v>
      </c>
      <c r="K173" s="1" t="n">
        <v>57</v>
      </c>
      <c r="L173" s="1" t="n">
        <v>71.5</v>
      </c>
      <c r="M173" s="1" t="n">
        <v>71.5</v>
      </c>
      <c r="N173" s="1" t="n">
        <v>16.8</v>
      </c>
      <c r="O173" s="1" t="n">
        <v>44</v>
      </c>
      <c r="P173" s="1" t="n">
        <v>39.1</v>
      </c>
      <c r="Q173" s="1" t="n">
        <v>67.4</v>
      </c>
      <c r="R173" s="1" t="n">
        <v>77.3</v>
      </c>
      <c r="S173" s="1" t="n">
        <v>52</v>
      </c>
      <c r="T173" s="1" t="n">
        <v>48</v>
      </c>
      <c r="U173" s="1" t="n">
        <v>53.8</v>
      </c>
      <c r="V173" s="1" t="n">
        <v>56.6</v>
      </c>
      <c r="W173" s="1" t="n">
        <v>43.4</v>
      </c>
      <c r="Z173" s="1" t="s">
        <v>54</v>
      </c>
    </row>
    <row r="174" customFormat="false" ht="16.05" hidden="true" customHeight="false" outlineLevel="0" collapsed="false">
      <c r="B174" s="1" t="s">
        <v>318</v>
      </c>
      <c r="C174" s="1" t="s">
        <v>231</v>
      </c>
      <c r="D174" s="13" t="n">
        <v>0.458333333333333</v>
      </c>
      <c r="E174" s="14" t="s">
        <v>443</v>
      </c>
      <c r="F174" s="14" t="s">
        <v>444</v>
      </c>
      <c r="H174" s="1" t="n">
        <v>34.8</v>
      </c>
      <c r="I174" s="1" t="n">
        <v>25.8</v>
      </c>
      <c r="J174" s="1" t="n">
        <v>39.4</v>
      </c>
      <c r="K174" s="1" t="n">
        <v>60.6</v>
      </c>
      <c r="L174" s="1" t="n">
        <v>65.2</v>
      </c>
      <c r="M174" s="1" t="n">
        <v>74.2</v>
      </c>
      <c r="N174" s="1" t="n">
        <v>28.9</v>
      </c>
      <c r="O174" s="1" t="n">
        <v>39.3</v>
      </c>
      <c r="P174" s="1" t="n">
        <v>31.9</v>
      </c>
      <c r="Q174" s="1" t="n">
        <v>76.5</v>
      </c>
      <c r="R174" s="1" t="n">
        <v>88.5</v>
      </c>
      <c r="S174" s="1" t="n">
        <v>70.1</v>
      </c>
      <c r="T174" s="1" t="n">
        <v>29.9</v>
      </c>
      <c r="U174" s="1" t="n">
        <v>35.2</v>
      </c>
      <c r="V174" s="1" t="n">
        <v>71.1</v>
      </c>
      <c r="W174" s="1" t="n">
        <v>28.9</v>
      </c>
      <c r="Z174" s="1" t="s">
        <v>54</v>
      </c>
    </row>
    <row r="175" customFormat="false" ht="16.05" hidden="true" customHeight="false" outlineLevel="0" collapsed="false">
      <c r="B175" s="1" t="s">
        <v>106</v>
      </c>
      <c r="C175" s="1" t="s">
        <v>231</v>
      </c>
      <c r="D175" s="13" t="n">
        <v>0.458333333333333</v>
      </c>
      <c r="E175" s="14" t="s">
        <v>445</v>
      </c>
      <c r="F175" s="14" t="s">
        <v>446</v>
      </c>
      <c r="H175" s="1" t="n">
        <v>51.2</v>
      </c>
      <c r="I175" s="1" t="n">
        <v>26.1</v>
      </c>
      <c r="J175" s="1" t="n">
        <v>22.7</v>
      </c>
      <c r="K175" s="1" t="n">
        <v>77.3</v>
      </c>
      <c r="L175" s="1" t="n">
        <v>48.8</v>
      </c>
      <c r="M175" s="1" t="n">
        <v>73.9</v>
      </c>
      <c r="N175" s="1" t="n">
        <v>36</v>
      </c>
      <c r="O175" s="1" t="n">
        <v>45.8</v>
      </c>
      <c r="P175" s="1" t="n">
        <v>18.2</v>
      </c>
      <c r="Q175" s="1" t="n">
        <v>64.8</v>
      </c>
      <c r="R175" s="1" t="n">
        <v>79.6</v>
      </c>
      <c r="S175" s="1" t="n">
        <v>55.4</v>
      </c>
      <c r="T175" s="1" t="n">
        <v>44.6</v>
      </c>
      <c r="U175" s="1" t="n">
        <v>51.1</v>
      </c>
      <c r="V175" s="1" t="n">
        <v>57.3</v>
      </c>
      <c r="W175" s="1" t="n">
        <v>42.7</v>
      </c>
      <c r="Z175" s="1" t="s">
        <v>54</v>
      </c>
    </row>
    <row r="176" customFormat="false" ht="16.05" hidden="true" customHeight="false" outlineLevel="0" collapsed="false">
      <c r="B176" s="1" t="s">
        <v>106</v>
      </c>
      <c r="C176" s="1" t="s">
        <v>231</v>
      </c>
      <c r="D176" s="13" t="n">
        <v>0.458333333333333</v>
      </c>
      <c r="E176" s="14" t="s">
        <v>447</v>
      </c>
      <c r="F176" s="14" t="s">
        <v>448</v>
      </c>
      <c r="H176" s="1" t="n">
        <v>31.1</v>
      </c>
      <c r="I176" s="1" t="n">
        <v>27.8</v>
      </c>
      <c r="J176" s="1" t="n">
        <v>41.1</v>
      </c>
      <c r="K176" s="1" t="n">
        <v>58.9</v>
      </c>
      <c r="L176" s="1" t="n">
        <v>68.9</v>
      </c>
      <c r="M176" s="1" t="n">
        <v>72.2</v>
      </c>
      <c r="N176" s="1" t="n">
        <v>25.7</v>
      </c>
      <c r="O176" s="1" t="n">
        <v>42.3</v>
      </c>
      <c r="P176" s="1" t="n">
        <v>32</v>
      </c>
      <c r="Q176" s="1" t="n">
        <v>71.6</v>
      </c>
      <c r="R176" s="1" t="n">
        <v>80.1</v>
      </c>
      <c r="S176" s="1" t="n">
        <v>56</v>
      </c>
      <c r="T176" s="1" t="n">
        <v>44</v>
      </c>
      <c r="U176" s="1" t="n">
        <v>49.7</v>
      </c>
      <c r="V176" s="1" t="n">
        <v>60</v>
      </c>
      <c r="W176" s="1" t="n">
        <v>40</v>
      </c>
      <c r="Z176" s="1" t="s">
        <v>54</v>
      </c>
    </row>
    <row r="177" customFormat="false" ht="16.05" hidden="true" customHeight="false" outlineLevel="0" collapsed="false">
      <c r="B177" s="1" t="s">
        <v>106</v>
      </c>
      <c r="C177" s="1" t="s">
        <v>231</v>
      </c>
      <c r="D177" s="13" t="n">
        <v>0.458333333333333</v>
      </c>
      <c r="E177" s="14" t="s">
        <v>449</v>
      </c>
      <c r="F177" s="14" t="s">
        <v>450</v>
      </c>
      <c r="H177" s="1" t="n">
        <v>49.1</v>
      </c>
      <c r="I177" s="1" t="n">
        <v>27.1</v>
      </c>
      <c r="J177" s="1" t="n">
        <v>23.7</v>
      </c>
      <c r="K177" s="1" t="n">
        <v>76.3</v>
      </c>
      <c r="L177" s="1" t="n">
        <v>50.9</v>
      </c>
      <c r="M177" s="1" t="n">
        <v>72.9</v>
      </c>
      <c r="N177" s="1" t="n">
        <v>43</v>
      </c>
      <c r="O177" s="1" t="n">
        <v>41.1</v>
      </c>
      <c r="P177" s="1" t="n">
        <v>15.9</v>
      </c>
      <c r="Q177" s="1" t="n">
        <v>70.3</v>
      </c>
      <c r="R177" s="1" t="n">
        <v>76.7</v>
      </c>
      <c r="S177" s="1" t="n">
        <v>51.2</v>
      </c>
      <c r="T177" s="1" t="n">
        <v>48.8</v>
      </c>
      <c r="U177" s="1" t="n">
        <v>55.1</v>
      </c>
      <c r="V177" s="1" t="n">
        <v>54.5</v>
      </c>
      <c r="W177" s="1" t="n">
        <v>45.5</v>
      </c>
      <c r="Z177" s="1" t="s">
        <v>54</v>
      </c>
    </row>
    <row r="178" customFormat="false" ht="16.05" hidden="true" customHeight="false" outlineLevel="0" collapsed="false">
      <c r="B178" s="1" t="s">
        <v>178</v>
      </c>
      <c r="C178" s="1" t="s">
        <v>231</v>
      </c>
      <c r="D178" s="13" t="n">
        <v>0.458333333333333</v>
      </c>
      <c r="E178" s="14" t="s">
        <v>451</v>
      </c>
      <c r="F178" s="14" t="s">
        <v>452</v>
      </c>
      <c r="H178" s="1" t="n">
        <v>46.6</v>
      </c>
      <c r="I178" s="1" t="n">
        <v>29.6</v>
      </c>
      <c r="J178" s="1" t="n">
        <v>23.8</v>
      </c>
      <c r="K178" s="1" t="n">
        <v>76.2</v>
      </c>
      <c r="L178" s="1" t="n">
        <v>53.4</v>
      </c>
      <c r="M178" s="1" t="n">
        <v>70.4</v>
      </c>
      <c r="N178" s="1" t="n">
        <v>38.2</v>
      </c>
      <c r="O178" s="1" t="n">
        <v>41.5</v>
      </c>
      <c r="P178" s="1" t="n">
        <v>20.3</v>
      </c>
      <c r="Q178" s="1" t="n">
        <v>71.4</v>
      </c>
      <c r="R178" s="1" t="n">
        <v>68.8</v>
      </c>
      <c r="S178" s="1" t="n">
        <v>41.1</v>
      </c>
      <c r="T178" s="1" t="n">
        <v>58.9</v>
      </c>
      <c r="U178" s="1" t="n">
        <v>64.7</v>
      </c>
      <c r="V178" s="1" t="n">
        <v>46.9</v>
      </c>
      <c r="W178" s="1" t="n">
        <v>53.1</v>
      </c>
      <c r="Z178" s="14" t="s">
        <v>48</v>
      </c>
    </row>
    <row r="179" customFormat="false" ht="16.05" hidden="true" customHeight="false" outlineLevel="0" collapsed="false">
      <c r="B179" s="1" t="s">
        <v>81</v>
      </c>
      <c r="C179" s="1" t="s">
        <v>231</v>
      </c>
      <c r="D179" s="13" t="n">
        <v>0.479166666666667</v>
      </c>
      <c r="E179" s="14" t="s">
        <v>453</v>
      </c>
      <c r="F179" s="14" t="s">
        <v>454</v>
      </c>
      <c r="H179" s="1" t="n">
        <v>56.8</v>
      </c>
      <c r="I179" s="1" t="n">
        <v>27.3</v>
      </c>
      <c r="J179" s="1" t="n">
        <v>15.9</v>
      </c>
      <c r="K179" s="1" t="n">
        <v>84.1</v>
      </c>
      <c r="L179" s="1" t="n">
        <v>43.2</v>
      </c>
      <c r="M179" s="1" t="n">
        <v>72.7</v>
      </c>
      <c r="N179" s="1" t="n">
        <v>37.8</v>
      </c>
      <c r="O179" s="1" t="n">
        <v>38.7</v>
      </c>
      <c r="P179" s="1" t="n">
        <v>23.5</v>
      </c>
      <c r="Q179" s="1" t="n">
        <v>76.3</v>
      </c>
      <c r="R179" s="1" t="n">
        <v>67.4</v>
      </c>
      <c r="S179" s="1" t="n">
        <v>39.6</v>
      </c>
      <c r="T179" s="1" t="n">
        <v>60.4</v>
      </c>
      <c r="U179" s="1" t="n">
        <v>67.7</v>
      </c>
      <c r="V179" s="1" t="n">
        <v>41.2</v>
      </c>
      <c r="W179" s="1" t="n">
        <v>58.8</v>
      </c>
      <c r="Z179" s="1" t="s">
        <v>54</v>
      </c>
    </row>
    <row r="180" customFormat="false" ht="16.05" hidden="true" customHeight="false" outlineLevel="0" collapsed="false">
      <c r="B180" s="1" t="s">
        <v>81</v>
      </c>
      <c r="C180" s="1" t="s">
        <v>231</v>
      </c>
      <c r="D180" s="13" t="n">
        <v>0.479166666666667</v>
      </c>
      <c r="E180" s="14" t="s">
        <v>455</v>
      </c>
      <c r="F180" s="14" t="s">
        <v>456</v>
      </c>
      <c r="H180" s="1" t="n">
        <v>59.7</v>
      </c>
      <c r="I180" s="1" t="n">
        <v>23.7</v>
      </c>
      <c r="J180" s="1" t="n">
        <v>16.6</v>
      </c>
      <c r="K180" s="1" t="n">
        <v>83.4</v>
      </c>
      <c r="L180" s="1" t="n">
        <v>40.3</v>
      </c>
      <c r="M180" s="1" t="n">
        <v>76.3</v>
      </c>
      <c r="N180" s="1" t="n">
        <v>34.2</v>
      </c>
      <c r="O180" s="1" t="n">
        <v>43.1</v>
      </c>
      <c r="P180" s="1" t="n">
        <v>22.7</v>
      </c>
      <c r="Q180" s="1" t="n">
        <v>69.8</v>
      </c>
      <c r="R180" s="1" t="n">
        <v>82.8</v>
      </c>
      <c r="S180" s="1" t="n">
        <v>60.5</v>
      </c>
      <c r="T180" s="1" t="n">
        <v>39.5</v>
      </c>
      <c r="U180" s="1" t="n">
        <v>47.2</v>
      </c>
      <c r="V180" s="1" t="n">
        <v>57.6</v>
      </c>
      <c r="W180" s="1" t="n">
        <v>42.4</v>
      </c>
      <c r="Z180" s="1" t="s">
        <v>54</v>
      </c>
    </row>
    <row r="181" customFormat="false" ht="16.05" hidden="true" customHeight="false" outlineLevel="0" collapsed="false">
      <c r="B181" s="1" t="s">
        <v>81</v>
      </c>
      <c r="C181" s="1" t="s">
        <v>231</v>
      </c>
      <c r="D181" s="13" t="n">
        <v>0.479166666666667</v>
      </c>
      <c r="E181" s="14" t="s">
        <v>457</v>
      </c>
      <c r="F181" s="14" t="s">
        <v>458</v>
      </c>
      <c r="H181" s="1" t="n">
        <v>58.9</v>
      </c>
      <c r="I181" s="1" t="n">
        <v>25.1</v>
      </c>
      <c r="J181" s="1" t="n">
        <v>16</v>
      </c>
      <c r="K181" s="1" t="n">
        <v>84</v>
      </c>
      <c r="L181" s="1" t="n">
        <v>41.1</v>
      </c>
      <c r="M181" s="1" t="n">
        <v>74.9</v>
      </c>
      <c r="N181" s="1" t="n">
        <v>27.2</v>
      </c>
      <c r="O181" s="1" t="n">
        <v>50.4</v>
      </c>
      <c r="P181" s="1" t="n">
        <v>22.4</v>
      </c>
      <c r="Q181" s="1" t="n">
        <v>59.2</v>
      </c>
      <c r="R181" s="1" t="n">
        <v>75.2</v>
      </c>
      <c r="S181" s="1" t="n">
        <v>49.4</v>
      </c>
      <c r="T181" s="1" t="n">
        <v>50.6</v>
      </c>
      <c r="U181" s="1" t="n">
        <v>58.5</v>
      </c>
      <c r="V181" s="1" t="n">
        <v>48.6</v>
      </c>
      <c r="W181" s="1" t="n">
        <v>51.4</v>
      </c>
      <c r="Z181" s="1" t="s">
        <v>54</v>
      </c>
    </row>
    <row r="182" customFormat="false" ht="16.4" hidden="true" customHeight="false" outlineLevel="0" collapsed="false">
      <c r="B182" s="1" t="s">
        <v>70</v>
      </c>
      <c r="C182" s="1" t="s">
        <v>231</v>
      </c>
      <c r="D182" s="13" t="n">
        <v>0.479166666666667</v>
      </c>
      <c r="E182" s="14" t="s">
        <v>459</v>
      </c>
      <c r="F182" s="14" t="s">
        <v>460</v>
      </c>
      <c r="H182" s="1" t="n">
        <v>58.8</v>
      </c>
      <c r="I182" s="1" t="n">
        <v>24.4</v>
      </c>
      <c r="J182" s="1" t="n">
        <v>16.9</v>
      </c>
      <c r="K182" s="1" t="n">
        <v>83.1</v>
      </c>
      <c r="L182" s="1" t="n">
        <v>41.2</v>
      </c>
      <c r="M182" s="1" t="n">
        <v>75.6</v>
      </c>
      <c r="N182" s="1" t="n">
        <v>41</v>
      </c>
      <c r="O182" s="1" t="n">
        <v>41</v>
      </c>
      <c r="P182" s="1" t="n">
        <v>18.1</v>
      </c>
      <c r="Q182" s="1" t="n">
        <v>71.4</v>
      </c>
      <c r="R182" s="1" t="n">
        <v>79.9</v>
      </c>
      <c r="S182" s="1" t="n">
        <v>55.9</v>
      </c>
      <c r="T182" s="1" t="n">
        <v>44.1</v>
      </c>
      <c r="U182" s="1" t="n">
        <v>51.8</v>
      </c>
      <c r="V182" s="1" t="n">
        <v>54.3</v>
      </c>
      <c r="W182" s="1" t="n">
        <v>45.7</v>
      </c>
      <c r="Z182" s="14" t="s">
        <v>133</v>
      </c>
    </row>
    <row r="183" customFormat="false" ht="16.15" hidden="true" customHeight="false" outlineLevel="0" collapsed="false">
      <c r="B183" s="1" t="s">
        <v>78</v>
      </c>
      <c r="C183" s="1" t="s">
        <v>231</v>
      </c>
      <c r="D183" s="13" t="n">
        <v>0.5</v>
      </c>
      <c r="E183" s="14" t="s">
        <v>461</v>
      </c>
      <c r="F183" s="14" t="s">
        <v>462</v>
      </c>
      <c r="H183" s="1" t="n">
        <v>70.2</v>
      </c>
      <c r="I183" s="1" t="n">
        <v>21.2</v>
      </c>
      <c r="J183" s="1" t="n">
        <v>8.6</v>
      </c>
      <c r="K183" s="1" t="n">
        <v>91.4</v>
      </c>
      <c r="L183" s="1" t="n">
        <v>29.8</v>
      </c>
      <c r="M183" s="1" t="n">
        <v>78.8</v>
      </c>
      <c r="N183" s="1" t="n">
        <v>55.4</v>
      </c>
      <c r="O183" s="1" t="n">
        <v>40.2</v>
      </c>
      <c r="P183" s="1" t="n">
        <v>4.4</v>
      </c>
      <c r="Q183" s="1" t="n">
        <v>64</v>
      </c>
      <c r="R183" s="1" t="n">
        <v>75.1</v>
      </c>
      <c r="S183" s="1" t="n">
        <v>49.5</v>
      </c>
      <c r="T183" s="1" t="n">
        <v>50.5</v>
      </c>
      <c r="U183" s="1" t="n">
        <v>61.4</v>
      </c>
      <c r="V183" s="1" t="n">
        <v>39.8</v>
      </c>
      <c r="W183" s="1" t="n">
        <v>60.2</v>
      </c>
      <c r="Z183" s="1" t="s">
        <v>48</v>
      </c>
    </row>
    <row r="184" customFormat="false" ht="16.15" hidden="true" customHeight="false" outlineLevel="0" collapsed="false">
      <c r="B184" s="1" t="s">
        <v>78</v>
      </c>
      <c r="C184" s="1" t="s">
        <v>231</v>
      </c>
      <c r="D184" s="13" t="n">
        <v>0.5</v>
      </c>
      <c r="E184" s="14" t="s">
        <v>463</v>
      </c>
      <c r="F184" s="14" t="s">
        <v>464</v>
      </c>
      <c r="H184" s="1" t="n">
        <v>42.9</v>
      </c>
      <c r="I184" s="1" t="n">
        <v>27.1</v>
      </c>
      <c r="J184" s="1" t="n">
        <v>30</v>
      </c>
      <c r="K184" s="1" t="n">
        <v>70</v>
      </c>
      <c r="L184" s="1" t="n">
        <v>57.1</v>
      </c>
      <c r="M184" s="1" t="n">
        <v>72.9</v>
      </c>
      <c r="N184" s="1" t="n">
        <v>18.1</v>
      </c>
      <c r="O184" s="1" t="n">
        <v>53.6</v>
      </c>
      <c r="P184" s="1" t="n">
        <v>28.2</v>
      </c>
      <c r="Q184" s="1" t="n">
        <v>54.4</v>
      </c>
      <c r="R184" s="1" t="n">
        <v>80.6</v>
      </c>
      <c r="S184" s="1" t="n">
        <v>56.9</v>
      </c>
      <c r="T184" s="1" t="n">
        <v>43.1</v>
      </c>
      <c r="U184" s="1" t="n">
        <v>48.9</v>
      </c>
      <c r="V184" s="1" t="n">
        <v>60.5</v>
      </c>
      <c r="W184" s="1" t="n">
        <v>39.5</v>
      </c>
      <c r="Z184" s="1" t="s">
        <v>48</v>
      </c>
    </row>
    <row r="185" customFormat="false" ht="16.15" hidden="true" customHeight="false" outlineLevel="0" collapsed="false">
      <c r="B185" s="1" t="s">
        <v>297</v>
      </c>
      <c r="C185" s="1" t="s">
        <v>231</v>
      </c>
      <c r="D185" s="13" t="n">
        <v>0.5</v>
      </c>
      <c r="E185" s="14" t="s">
        <v>465</v>
      </c>
      <c r="F185" s="14" t="s">
        <v>466</v>
      </c>
      <c r="H185" s="1" t="n">
        <v>35.4</v>
      </c>
      <c r="I185" s="1" t="n">
        <v>30.7</v>
      </c>
      <c r="J185" s="1" t="n">
        <v>33.9</v>
      </c>
      <c r="K185" s="1" t="n">
        <v>66.1</v>
      </c>
      <c r="L185" s="1" t="n">
        <v>64.6</v>
      </c>
      <c r="M185" s="1" t="n">
        <v>69.3</v>
      </c>
      <c r="N185" s="1" t="n">
        <v>37.4</v>
      </c>
      <c r="O185" s="1" t="n">
        <v>44.2</v>
      </c>
      <c r="P185" s="1" t="n">
        <v>18.4</v>
      </c>
      <c r="Q185" s="1" t="n">
        <v>67</v>
      </c>
      <c r="R185" s="1" t="n">
        <v>69.9</v>
      </c>
      <c r="S185" s="1" t="n">
        <v>42.3</v>
      </c>
      <c r="T185" s="1" t="n">
        <v>57.7</v>
      </c>
      <c r="U185" s="1" t="n">
        <v>62.8</v>
      </c>
      <c r="V185" s="1" t="n">
        <v>49.7</v>
      </c>
      <c r="W185" s="1" t="n">
        <v>50.3</v>
      </c>
      <c r="Z185" s="14" t="s">
        <v>20</v>
      </c>
    </row>
    <row r="186" customFormat="false" ht="16.15" hidden="true" customHeight="false" outlineLevel="0" collapsed="false">
      <c r="B186" s="1" t="s">
        <v>297</v>
      </c>
      <c r="C186" s="1" t="s">
        <v>231</v>
      </c>
      <c r="D186" s="13" t="n">
        <v>0.5</v>
      </c>
      <c r="E186" s="14" t="s">
        <v>467</v>
      </c>
      <c r="F186" s="14" t="s">
        <v>468</v>
      </c>
      <c r="H186" s="1" t="n">
        <v>61.8</v>
      </c>
      <c r="I186" s="1" t="n">
        <v>24</v>
      </c>
      <c r="J186" s="1" t="n">
        <v>14.2</v>
      </c>
      <c r="K186" s="1" t="n">
        <v>85.8</v>
      </c>
      <c r="L186" s="1" t="n">
        <v>38.2</v>
      </c>
      <c r="M186" s="1" t="n">
        <v>76</v>
      </c>
      <c r="N186" s="1" t="n">
        <v>36.5</v>
      </c>
      <c r="O186" s="1" t="n">
        <v>50</v>
      </c>
      <c r="P186" s="1" t="n">
        <v>13.5</v>
      </c>
      <c r="Q186" s="1" t="n">
        <v>57.6</v>
      </c>
      <c r="R186" s="1" t="n">
        <v>76.5</v>
      </c>
      <c r="S186" s="1" t="n">
        <v>51.2</v>
      </c>
      <c r="T186" s="1" t="n">
        <v>48.8</v>
      </c>
      <c r="U186" s="1" t="n">
        <v>57.2</v>
      </c>
      <c r="V186" s="1" t="n">
        <v>48.4</v>
      </c>
      <c r="W186" s="1" t="n">
        <v>51.6</v>
      </c>
      <c r="Z186" s="14" t="s">
        <v>20</v>
      </c>
    </row>
    <row r="187" customFormat="false" ht="16.15" hidden="true" customHeight="false" outlineLevel="0" collapsed="false">
      <c r="B187" s="1" t="s">
        <v>112</v>
      </c>
      <c r="C187" s="1" t="s">
        <v>231</v>
      </c>
      <c r="D187" s="13" t="n">
        <v>0.5</v>
      </c>
      <c r="E187" s="14" t="s">
        <v>469</v>
      </c>
      <c r="F187" s="14" t="s">
        <v>470</v>
      </c>
      <c r="H187" s="1" t="n">
        <v>39.8</v>
      </c>
      <c r="I187" s="1" t="n">
        <v>27</v>
      </c>
      <c r="J187" s="1" t="n">
        <v>33.2</v>
      </c>
      <c r="K187" s="1" t="n">
        <v>66.8</v>
      </c>
      <c r="L187" s="1" t="n">
        <v>60.2</v>
      </c>
      <c r="M187" s="1" t="n">
        <v>73</v>
      </c>
      <c r="N187" s="1" t="n">
        <v>37.5</v>
      </c>
      <c r="O187" s="1" t="n">
        <v>39.9</v>
      </c>
      <c r="P187" s="1" t="n">
        <v>22.6</v>
      </c>
      <c r="Q187" s="1" t="n">
        <v>74.4</v>
      </c>
      <c r="R187" s="1" t="n">
        <v>82.3</v>
      </c>
      <c r="S187" s="1" t="n">
        <v>59.3</v>
      </c>
      <c r="T187" s="1" t="n">
        <v>40.7</v>
      </c>
      <c r="U187" s="1" t="n">
        <v>46.3</v>
      </c>
      <c r="V187" s="1" t="n">
        <v>62.8</v>
      </c>
      <c r="W187" s="1" t="n">
        <v>37.2</v>
      </c>
      <c r="Z187" s="14" t="s">
        <v>48</v>
      </c>
    </row>
    <row r="188" customFormat="false" ht="16.15" hidden="true" customHeight="false" outlineLevel="0" collapsed="false">
      <c r="B188" s="1" t="s">
        <v>51</v>
      </c>
      <c r="C188" s="1" t="s">
        <v>231</v>
      </c>
      <c r="D188" s="13" t="n">
        <v>0.5</v>
      </c>
      <c r="E188" s="14" t="s">
        <v>471</v>
      </c>
      <c r="F188" s="14" t="s">
        <v>472</v>
      </c>
      <c r="H188" s="1" t="n">
        <v>48.4</v>
      </c>
      <c r="I188" s="1" t="n">
        <v>26</v>
      </c>
      <c r="J188" s="1" t="n">
        <v>25.6</v>
      </c>
      <c r="K188" s="1" t="n">
        <v>74.4</v>
      </c>
      <c r="L188" s="1" t="n">
        <v>51.6</v>
      </c>
      <c r="M188" s="1" t="n">
        <v>74</v>
      </c>
      <c r="N188" s="1" t="n">
        <v>38.5</v>
      </c>
      <c r="O188" s="1" t="n">
        <v>39.8</v>
      </c>
      <c r="P188" s="1" t="n">
        <v>21.7</v>
      </c>
      <c r="Q188" s="1" t="n">
        <v>74.3</v>
      </c>
      <c r="R188" s="1" t="n">
        <v>82.5</v>
      </c>
      <c r="S188" s="1" t="n">
        <v>59.7</v>
      </c>
      <c r="T188" s="1" t="n">
        <v>40.3</v>
      </c>
      <c r="U188" s="1" t="n">
        <v>46.4</v>
      </c>
      <c r="V188" s="1" t="n">
        <v>61.6</v>
      </c>
      <c r="W188" s="1" t="n">
        <v>38.4</v>
      </c>
      <c r="Z188" s="1" t="s">
        <v>48</v>
      </c>
    </row>
    <row r="189" customFormat="false" ht="16.15" hidden="true" customHeight="false" outlineLevel="0" collapsed="false">
      <c r="B189" s="1" t="s">
        <v>473</v>
      </c>
      <c r="C189" s="1" t="s">
        <v>231</v>
      </c>
      <c r="D189" s="13" t="n">
        <v>0.5</v>
      </c>
      <c r="E189" s="14" t="s">
        <v>474</v>
      </c>
      <c r="F189" s="14" t="s">
        <v>475</v>
      </c>
      <c r="H189" s="1" t="n">
        <v>50.3</v>
      </c>
      <c r="I189" s="1" t="n">
        <v>26.2</v>
      </c>
      <c r="J189" s="1" t="n">
        <v>23.5</v>
      </c>
      <c r="K189" s="1" t="n">
        <v>76.5</v>
      </c>
      <c r="L189" s="1" t="n">
        <v>49.7</v>
      </c>
      <c r="M189" s="1" t="n">
        <v>73.8</v>
      </c>
      <c r="N189" s="1" t="n">
        <v>39.8</v>
      </c>
      <c r="O189" s="1" t="n">
        <v>41.8</v>
      </c>
      <c r="P189" s="1" t="n">
        <v>18.4</v>
      </c>
      <c r="Q189" s="1" t="n">
        <v>70.3</v>
      </c>
      <c r="R189" s="1" t="n">
        <v>80</v>
      </c>
      <c r="S189" s="1" t="n">
        <v>55.9</v>
      </c>
      <c r="T189" s="1" t="n">
        <v>44.1</v>
      </c>
      <c r="U189" s="1" t="n">
        <v>50.5</v>
      </c>
      <c r="V189" s="1" t="n">
        <v>58</v>
      </c>
      <c r="W189" s="1" t="n">
        <v>42</v>
      </c>
      <c r="Z189" s="1" t="s">
        <v>48</v>
      </c>
    </row>
    <row r="190" customFormat="false" ht="16.15" hidden="true" customHeight="false" outlineLevel="0" collapsed="false">
      <c r="B190" s="1" t="s">
        <v>476</v>
      </c>
      <c r="C190" s="1" t="s">
        <v>231</v>
      </c>
      <c r="D190" s="13" t="n">
        <v>0.5</v>
      </c>
      <c r="E190" s="14" t="s">
        <v>477</v>
      </c>
      <c r="F190" s="14" t="s">
        <v>478</v>
      </c>
      <c r="H190" s="1" t="n">
        <v>38</v>
      </c>
      <c r="I190" s="1" t="n">
        <v>30.6</v>
      </c>
      <c r="J190" s="1" t="n">
        <v>31.4</v>
      </c>
      <c r="K190" s="1" t="n">
        <v>68.6</v>
      </c>
      <c r="L190" s="1" t="n">
        <v>62</v>
      </c>
      <c r="M190" s="1" t="n">
        <v>69.4</v>
      </c>
      <c r="N190" s="1" t="n">
        <v>19.4</v>
      </c>
      <c r="O190" s="1" t="n">
        <v>66.2</v>
      </c>
      <c r="P190" s="1" t="n">
        <v>14.4</v>
      </c>
      <c r="Q190" s="1" t="n">
        <v>37.7</v>
      </c>
      <c r="R190" s="1" t="n">
        <v>69.6</v>
      </c>
      <c r="S190" s="1" t="n">
        <v>42</v>
      </c>
      <c r="T190" s="1" t="n">
        <v>58</v>
      </c>
      <c r="U190" s="1" t="n">
        <v>63.2</v>
      </c>
      <c r="V190" s="1" t="n">
        <v>49.2</v>
      </c>
      <c r="W190" s="1" t="n">
        <v>50.8</v>
      </c>
      <c r="Z190" s="1" t="s">
        <v>48</v>
      </c>
    </row>
    <row r="191" customFormat="false" ht="16.15" hidden="true" customHeight="false" outlineLevel="0" collapsed="false">
      <c r="B191" s="1" t="s">
        <v>476</v>
      </c>
      <c r="C191" s="1" t="s">
        <v>231</v>
      </c>
      <c r="D191" s="13" t="n">
        <v>0.5</v>
      </c>
      <c r="E191" s="14" t="s">
        <v>479</v>
      </c>
      <c r="F191" s="14" t="s">
        <v>480</v>
      </c>
      <c r="H191" s="1" t="n">
        <v>32.9</v>
      </c>
      <c r="I191" s="1" t="n">
        <v>32.7</v>
      </c>
      <c r="J191" s="1" t="n">
        <v>34.3</v>
      </c>
      <c r="K191" s="1" t="n">
        <v>65.7</v>
      </c>
      <c r="L191" s="1" t="n">
        <v>67.1</v>
      </c>
      <c r="M191" s="1" t="n">
        <v>67.3</v>
      </c>
      <c r="N191" s="1" t="n">
        <v>11.9</v>
      </c>
      <c r="O191" s="1" t="n">
        <v>55.9</v>
      </c>
      <c r="P191" s="1" t="n">
        <v>32.1</v>
      </c>
      <c r="Q191" s="1" t="n">
        <v>50.1</v>
      </c>
      <c r="R191" s="1" t="n">
        <v>63.7</v>
      </c>
      <c r="S191" s="1" t="n">
        <v>35.4</v>
      </c>
      <c r="T191" s="1" t="n">
        <v>64.6</v>
      </c>
      <c r="U191" s="1" t="n">
        <v>69.3</v>
      </c>
      <c r="V191" s="1" t="n">
        <v>44</v>
      </c>
      <c r="W191" s="1" t="n">
        <v>56</v>
      </c>
      <c r="Z191" s="1" t="s">
        <v>48</v>
      </c>
    </row>
    <row r="192" customFormat="false" ht="16.15" hidden="true" customHeight="false" outlineLevel="0" collapsed="false">
      <c r="B192" s="1" t="s">
        <v>476</v>
      </c>
      <c r="C192" s="1" t="s">
        <v>231</v>
      </c>
      <c r="D192" s="13" t="n">
        <v>0.5</v>
      </c>
      <c r="E192" s="14" t="s">
        <v>481</v>
      </c>
      <c r="F192" s="14" t="s">
        <v>482</v>
      </c>
      <c r="H192" s="1" t="n">
        <v>39.1</v>
      </c>
      <c r="I192" s="1" t="n">
        <v>29.3</v>
      </c>
      <c r="J192" s="1" t="n">
        <v>31.6</v>
      </c>
      <c r="K192" s="1" t="n">
        <v>68.4</v>
      </c>
      <c r="L192" s="1" t="n">
        <v>60.9</v>
      </c>
      <c r="M192" s="1" t="n">
        <v>70.7</v>
      </c>
      <c r="N192" s="1" t="n">
        <v>17.2</v>
      </c>
      <c r="O192" s="1" t="n">
        <v>50.5</v>
      </c>
      <c r="P192" s="1" t="n">
        <v>32.3</v>
      </c>
      <c r="Q192" s="1" t="n">
        <v>58.5</v>
      </c>
      <c r="R192" s="1" t="n">
        <v>73.9</v>
      </c>
      <c r="S192" s="1" t="n">
        <v>47.4</v>
      </c>
      <c r="T192" s="1" t="n">
        <v>52.6</v>
      </c>
      <c r="U192" s="1" t="n">
        <v>58.1</v>
      </c>
      <c r="V192" s="1" t="n">
        <v>53.5</v>
      </c>
      <c r="W192" s="1" t="n">
        <v>46.5</v>
      </c>
      <c r="Z192" s="1" t="s">
        <v>48</v>
      </c>
    </row>
    <row r="193" customFormat="false" ht="16.15" hidden="true" customHeight="false" outlineLevel="0" collapsed="false">
      <c r="B193" s="1" t="s">
        <v>312</v>
      </c>
      <c r="C193" s="1" t="s">
        <v>231</v>
      </c>
      <c r="D193" s="13" t="n">
        <v>0.5</v>
      </c>
      <c r="E193" s="14" t="s">
        <v>483</v>
      </c>
      <c r="F193" s="14" t="s">
        <v>484</v>
      </c>
      <c r="H193" s="1" t="n">
        <v>30.6</v>
      </c>
      <c r="I193" s="1" t="n">
        <v>29.2</v>
      </c>
      <c r="J193" s="1" t="n">
        <v>40.1</v>
      </c>
      <c r="K193" s="1" t="n">
        <v>59.9</v>
      </c>
      <c r="L193" s="1" t="n">
        <v>69.4</v>
      </c>
      <c r="M193" s="1" t="n">
        <v>70.8</v>
      </c>
      <c r="N193" s="1" t="n">
        <v>19</v>
      </c>
      <c r="O193" s="1" t="n">
        <v>44.3</v>
      </c>
      <c r="P193" s="1" t="n">
        <v>36.7</v>
      </c>
      <c r="Q193" s="1" t="n">
        <v>67.6</v>
      </c>
      <c r="R193" s="1" t="n">
        <v>75.1</v>
      </c>
      <c r="S193" s="1" t="n">
        <v>49</v>
      </c>
      <c r="T193" s="1" t="n">
        <v>51</v>
      </c>
      <c r="U193" s="1" t="n">
        <v>56.6</v>
      </c>
      <c r="V193" s="1" t="n">
        <v>54.6</v>
      </c>
      <c r="W193" s="1" t="n">
        <v>45.4</v>
      </c>
      <c r="Z193" s="14" t="s">
        <v>36</v>
      </c>
    </row>
    <row r="194" customFormat="false" ht="16.15" hidden="true" customHeight="false" outlineLevel="0" collapsed="false">
      <c r="B194" s="1" t="s">
        <v>122</v>
      </c>
      <c r="C194" s="1" t="s">
        <v>231</v>
      </c>
      <c r="D194" s="13" t="n">
        <v>0.520833333333333</v>
      </c>
      <c r="E194" s="14" t="s">
        <v>485</v>
      </c>
      <c r="F194" s="14" t="s">
        <v>486</v>
      </c>
      <c r="H194" s="1" t="n">
        <v>46.1</v>
      </c>
      <c r="I194" s="1" t="n">
        <v>28.8</v>
      </c>
      <c r="J194" s="1" t="n">
        <v>25.1</v>
      </c>
      <c r="K194" s="1" t="n">
        <v>74.9</v>
      </c>
      <c r="L194" s="1" t="n">
        <v>53.9</v>
      </c>
      <c r="M194" s="1" t="n">
        <v>71.2</v>
      </c>
      <c r="N194" s="1" t="n">
        <v>38.5</v>
      </c>
      <c r="O194" s="1" t="n">
        <v>42</v>
      </c>
      <c r="P194" s="1" t="n">
        <v>19.5</v>
      </c>
      <c r="Q194" s="1" t="n">
        <v>70.5</v>
      </c>
      <c r="R194" s="1" t="n">
        <v>72.3</v>
      </c>
      <c r="S194" s="1" t="n">
        <v>45.3</v>
      </c>
      <c r="T194" s="1" t="n">
        <v>54.7</v>
      </c>
      <c r="U194" s="1" t="n">
        <v>60.5</v>
      </c>
      <c r="V194" s="1" t="n">
        <v>50.6</v>
      </c>
      <c r="W194" s="1" t="n">
        <v>49.4</v>
      </c>
      <c r="Z194" s="1" t="s">
        <v>36</v>
      </c>
    </row>
    <row r="195" customFormat="false" ht="16.15" hidden="true" customHeight="false" outlineLevel="0" collapsed="false">
      <c r="B195" s="1" t="s">
        <v>487</v>
      </c>
      <c r="C195" s="1" t="s">
        <v>231</v>
      </c>
      <c r="D195" s="13" t="n">
        <v>0.520833333333333</v>
      </c>
      <c r="E195" s="14" t="s">
        <v>488</v>
      </c>
      <c r="F195" s="14" t="s">
        <v>489</v>
      </c>
      <c r="H195" s="1" t="n">
        <v>26.3</v>
      </c>
      <c r="I195" s="1" t="n">
        <v>28</v>
      </c>
      <c r="J195" s="1" t="n">
        <v>45.7</v>
      </c>
      <c r="K195" s="1" t="n">
        <v>54.3</v>
      </c>
      <c r="L195" s="1" t="n">
        <v>73.7</v>
      </c>
      <c r="M195" s="1" t="n">
        <v>72</v>
      </c>
      <c r="N195" s="1" t="n">
        <v>24.2</v>
      </c>
      <c r="O195" s="1" t="n">
        <v>41.6</v>
      </c>
      <c r="P195" s="1" t="n">
        <v>34.2</v>
      </c>
      <c r="Q195" s="1" t="n">
        <v>72.6</v>
      </c>
      <c r="R195" s="1" t="n">
        <v>78.5</v>
      </c>
      <c r="S195" s="1" t="n">
        <v>53.7</v>
      </c>
      <c r="T195" s="1" t="n">
        <v>46.3</v>
      </c>
      <c r="U195" s="1" t="n">
        <v>52.3</v>
      </c>
      <c r="V195" s="1" t="n">
        <v>57.4</v>
      </c>
      <c r="W195" s="1" t="n">
        <v>42.6</v>
      </c>
      <c r="Z195" s="1" t="s">
        <v>48</v>
      </c>
    </row>
    <row r="196" customFormat="false" ht="16.15" hidden="true" customHeight="false" outlineLevel="0" collapsed="false">
      <c r="B196" s="1" t="s">
        <v>487</v>
      </c>
      <c r="C196" s="1" t="s">
        <v>231</v>
      </c>
      <c r="D196" s="13" t="n">
        <v>0.520833333333333</v>
      </c>
      <c r="E196" s="14" t="s">
        <v>490</v>
      </c>
      <c r="F196" s="14" t="s">
        <v>491</v>
      </c>
      <c r="H196" s="1" t="n">
        <v>66.8</v>
      </c>
      <c r="I196" s="1" t="n">
        <v>21.8</v>
      </c>
      <c r="J196" s="1" t="n">
        <v>11.5</v>
      </c>
      <c r="K196" s="1" t="n">
        <v>88.5</v>
      </c>
      <c r="L196" s="1" t="n">
        <v>33.2</v>
      </c>
      <c r="M196" s="1" t="n">
        <v>78.2</v>
      </c>
      <c r="N196" s="1" t="n">
        <v>31.2</v>
      </c>
      <c r="O196" s="1" t="n">
        <v>47</v>
      </c>
      <c r="P196" s="1" t="n">
        <v>21.7</v>
      </c>
      <c r="Q196" s="1" t="n">
        <v>63.9</v>
      </c>
      <c r="R196" s="1" t="n">
        <v>82.7</v>
      </c>
      <c r="S196" s="1" t="n">
        <v>60.4</v>
      </c>
      <c r="T196" s="1" t="n">
        <v>39.6</v>
      </c>
      <c r="U196" s="1" t="n">
        <v>49</v>
      </c>
      <c r="V196" s="1" t="n">
        <v>52.6</v>
      </c>
      <c r="W196" s="1" t="n">
        <v>47.4</v>
      </c>
      <c r="Z196" s="1" t="s">
        <v>48</v>
      </c>
    </row>
    <row r="197" customFormat="false" ht="16.15" hidden="true" customHeight="false" outlineLevel="0" collapsed="false">
      <c r="B197" s="1" t="s">
        <v>67</v>
      </c>
      <c r="C197" s="1" t="s">
        <v>231</v>
      </c>
      <c r="D197" s="13" t="n">
        <v>0.520833333333333</v>
      </c>
      <c r="E197" s="14" t="s">
        <v>492</v>
      </c>
      <c r="F197" s="14" t="s">
        <v>493</v>
      </c>
      <c r="H197" s="1" t="n">
        <v>32</v>
      </c>
      <c r="I197" s="1" t="n">
        <v>45.3</v>
      </c>
      <c r="J197" s="1" t="n">
        <v>22.7</v>
      </c>
      <c r="K197" s="1" t="n">
        <v>77.3</v>
      </c>
      <c r="L197" s="1" t="n">
        <v>68</v>
      </c>
      <c r="M197" s="1" t="n">
        <v>54.7</v>
      </c>
      <c r="N197" s="1" t="n">
        <v>21.7</v>
      </c>
      <c r="O197" s="1" t="n">
        <v>56.6</v>
      </c>
      <c r="P197" s="1" t="n">
        <v>21.7</v>
      </c>
      <c r="Q197" s="1" t="n">
        <v>50.4</v>
      </c>
      <c r="R197" s="1" t="n">
        <v>31.8</v>
      </c>
      <c r="S197" s="1" t="n">
        <v>10.3</v>
      </c>
      <c r="T197" s="1" t="n">
        <v>89.7</v>
      </c>
      <c r="U197" s="1" t="n">
        <v>91.7</v>
      </c>
      <c r="V197" s="1" t="n">
        <v>19</v>
      </c>
      <c r="W197" s="1" t="n">
        <v>81</v>
      </c>
      <c r="Z197" s="1" t="s">
        <v>48</v>
      </c>
    </row>
    <row r="198" customFormat="false" ht="16.4" hidden="true" customHeight="false" outlineLevel="0" collapsed="false">
      <c r="B198" s="1" t="s">
        <v>386</v>
      </c>
      <c r="C198" s="1" t="s">
        <v>231</v>
      </c>
      <c r="D198" s="13" t="n">
        <v>0.520833333333333</v>
      </c>
      <c r="E198" s="14" t="s">
        <v>494</v>
      </c>
      <c r="F198" s="14" t="s">
        <v>495</v>
      </c>
      <c r="H198" s="1" t="n">
        <v>33.1</v>
      </c>
      <c r="I198" s="1" t="n">
        <v>29.4</v>
      </c>
      <c r="J198" s="1" t="n">
        <v>37.5</v>
      </c>
      <c r="K198" s="1" t="n">
        <v>62.5</v>
      </c>
      <c r="L198" s="1" t="n">
        <v>66.9</v>
      </c>
      <c r="M198" s="1" t="n">
        <v>70.6</v>
      </c>
      <c r="N198" s="1" t="n">
        <v>30.4</v>
      </c>
      <c r="O198" s="1" t="n">
        <v>42.7</v>
      </c>
      <c r="P198" s="1" t="n">
        <v>26.9</v>
      </c>
      <c r="Q198" s="1" t="n">
        <v>71</v>
      </c>
      <c r="R198" s="1" t="n">
        <v>74.6</v>
      </c>
      <c r="S198" s="1" t="n">
        <v>48.3</v>
      </c>
      <c r="T198" s="1" t="n">
        <v>51.7</v>
      </c>
      <c r="U198" s="1" t="n">
        <v>57.2</v>
      </c>
      <c r="V198" s="1" t="n">
        <v>54.4</v>
      </c>
      <c r="W198" s="1" t="n">
        <v>45.6</v>
      </c>
      <c r="Z198" s="14" t="s">
        <v>36</v>
      </c>
    </row>
    <row r="199" customFormat="false" ht="16.15" hidden="true" customHeight="false" outlineLevel="0" collapsed="false">
      <c r="B199" s="1" t="s">
        <v>346</v>
      </c>
      <c r="C199" s="1" t="s">
        <v>231</v>
      </c>
      <c r="D199" s="13" t="n">
        <v>0.541666666666667</v>
      </c>
      <c r="E199" s="14" t="s">
        <v>496</v>
      </c>
      <c r="F199" s="14" t="s">
        <v>497</v>
      </c>
      <c r="H199" s="1" t="n">
        <v>33.6</v>
      </c>
      <c r="I199" s="1" t="n">
        <v>25.6</v>
      </c>
      <c r="J199" s="1" t="n">
        <v>40.8</v>
      </c>
      <c r="K199" s="1" t="n">
        <v>59.2</v>
      </c>
      <c r="L199" s="1" t="n">
        <v>66.4</v>
      </c>
      <c r="M199" s="1" t="n">
        <v>74.4</v>
      </c>
      <c r="N199" s="1" t="n">
        <v>37.5</v>
      </c>
      <c r="O199" s="1" t="n">
        <v>35.9</v>
      </c>
      <c r="P199" s="1" t="n">
        <v>26.6</v>
      </c>
      <c r="Q199" s="1" t="n">
        <v>81.1</v>
      </c>
      <c r="R199" s="1" t="n">
        <v>93.1</v>
      </c>
      <c r="S199" s="1" t="n">
        <v>79.6</v>
      </c>
      <c r="T199" s="1" t="n">
        <v>20.4</v>
      </c>
      <c r="U199" s="1" t="n">
        <v>25</v>
      </c>
      <c r="V199" s="1" t="n">
        <v>78.5</v>
      </c>
      <c r="W199" s="1" t="n">
        <v>21.5</v>
      </c>
      <c r="Z199" s="1" t="s">
        <v>54</v>
      </c>
    </row>
    <row r="200" customFormat="false" ht="16.15" hidden="true" customHeight="false" outlineLevel="0" collapsed="false">
      <c r="B200" s="1" t="s">
        <v>346</v>
      </c>
      <c r="C200" s="1" t="s">
        <v>231</v>
      </c>
      <c r="D200" s="13" t="n">
        <v>0.541666666666667</v>
      </c>
      <c r="E200" s="14" t="s">
        <v>498</v>
      </c>
      <c r="F200" s="14" t="s">
        <v>499</v>
      </c>
      <c r="H200" s="1" t="n">
        <v>60.8</v>
      </c>
      <c r="I200" s="1" t="n">
        <v>23.8</v>
      </c>
      <c r="J200" s="1" t="n">
        <v>15.4</v>
      </c>
      <c r="K200" s="1" t="n">
        <v>84.6</v>
      </c>
      <c r="L200" s="1" t="n">
        <v>39.2</v>
      </c>
      <c r="M200" s="1" t="n">
        <v>76.2</v>
      </c>
      <c r="N200" s="1" t="n">
        <v>43.4</v>
      </c>
      <c r="O200" s="1" t="n">
        <v>40.1</v>
      </c>
      <c r="P200" s="1" t="n">
        <v>16.4</v>
      </c>
      <c r="Q200" s="1" t="n">
        <v>71.9</v>
      </c>
      <c r="R200" s="1" t="n">
        <v>92.5</v>
      </c>
      <c r="S200" s="1" t="n">
        <v>78.4</v>
      </c>
      <c r="T200" s="1" t="n">
        <v>21.6</v>
      </c>
      <c r="U200" s="1" t="n">
        <v>28</v>
      </c>
      <c r="V200" s="1" t="n">
        <v>71.9</v>
      </c>
      <c r="W200" s="1" t="n">
        <v>28.1</v>
      </c>
      <c r="Z200" s="1" t="s">
        <v>54</v>
      </c>
    </row>
    <row r="201" customFormat="false" ht="16.15" hidden="true" customHeight="false" outlineLevel="0" collapsed="false">
      <c r="B201" s="1" t="s">
        <v>270</v>
      </c>
      <c r="C201" s="1" t="s">
        <v>231</v>
      </c>
      <c r="D201" s="13" t="n">
        <v>0.541666666666667</v>
      </c>
      <c r="E201" s="14" t="s">
        <v>500</v>
      </c>
      <c r="F201" s="14" t="s">
        <v>501</v>
      </c>
      <c r="H201" s="1" t="n">
        <v>51.5</v>
      </c>
      <c r="I201" s="1" t="n">
        <v>24.5</v>
      </c>
      <c r="J201" s="1" t="n">
        <v>23.9</v>
      </c>
      <c r="K201" s="1" t="n">
        <v>76.1</v>
      </c>
      <c r="L201" s="1" t="n">
        <v>48.5</v>
      </c>
      <c r="M201" s="1" t="n">
        <v>75.5</v>
      </c>
      <c r="N201" s="1" t="n">
        <v>39.5</v>
      </c>
      <c r="O201" s="1" t="n">
        <v>35.9</v>
      </c>
      <c r="P201" s="1" t="n">
        <v>24.5</v>
      </c>
      <c r="Q201" s="1" t="n">
        <v>80.6</v>
      </c>
      <c r="R201" s="1" t="n">
        <v>89.8</v>
      </c>
      <c r="S201" s="1" t="n">
        <v>72.7</v>
      </c>
      <c r="T201" s="1" t="n">
        <v>27.3</v>
      </c>
      <c r="U201" s="1" t="n">
        <v>33.1</v>
      </c>
      <c r="V201" s="1" t="n">
        <v>71.1</v>
      </c>
      <c r="W201" s="1" t="n">
        <v>28.9</v>
      </c>
      <c r="Z201" s="1" t="s">
        <v>54</v>
      </c>
    </row>
    <row r="202" customFormat="false" ht="16.15" hidden="true" customHeight="false" outlineLevel="0" collapsed="false">
      <c r="B202" s="1" t="s">
        <v>154</v>
      </c>
      <c r="C202" s="1" t="s">
        <v>231</v>
      </c>
      <c r="D202" s="13" t="n">
        <v>0.541666666666667</v>
      </c>
      <c r="E202" s="14" t="s">
        <v>502</v>
      </c>
      <c r="F202" s="14" t="s">
        <v>503</v>
      </c>
      <c r="H202" s="1" t="n">
        <v>40.4</v>
      </c>
      <c r="I202" s="1" t="n">
        <v>25.6</v>
      </c>
      <c r="J202" s="1" t="n">
        <v>34</v>
      </c>
      <c r="K202" s="1" t="n">
        <v>66</v>
      </c>
      <c r="L202" s="1" t="n">
        <v>59.6</v>
      </c>
      <c r="M202" s="1" t="n">
        <v>74.4</v>
      </c>
      <c r="N202" s="1" t="n">
        <v>22.8</v>
      </c>
      <c r="O202" s="1" t="n">
        <v>39.8</v>
      </c>
      <c r="P202" s="1" t="n">
        <v>37.4</v>
      </c>
      <c r="Q202" s="1" t="n">
        <v>75.1</v>
      </c>
      <c r="R202" s="1" t="n">
        <v>88.5</v>
      </c>
      <c r="S202" s="1" t="n">
        <v>70</v>
      </c>
      <c r="T202" s="1" t="n">
        <v>30</v>
      </c>
      <c r="U202" s="1" t="n">
        <v>35.3</v>
      </c>
      <c r="V202" s="1" t="n">
        <v>71</v>
      </c>
      <c r="W202" s="1" t="n">
        <v>29</v>
      </c>
      <c r="Z202" s="1" t="s">
        <v>54</v>
      </c>
    </row>
    <row r="203" customFormat="false" ht="16.15" hidden="true" customHeight="false" outlineLevel="0" collapsed="false">
      <c r="B203" s="1" t="s">
        <v>115</v>
      </c>
      <c r="C203" s="1" t="s">
        <v>231</v>
      </c>
      <c r="D203" s="13" t="n">
        <v>0.541666666666667</v>
      </c>
      <c r="E203" s="14" t="s">
        <v>504</v>
      </c>
      <c r="F203" s="14" t="s">
        <v>505</v>
      </c>
      <c r="H203" s="1" t="n">
        <v>54.3</v>
      </c>
      <c r="I203" s="1" t="n">
        <v>24.3</v>
      </c>
      <c r="J203" s="1" t="n">
        <v>21.4</v>
      </c>
      <c r="K203" s="1" t="n">
        <v>78.6</v>
      </c>
      <c r="L203" s="1" t="n">
        <v>45.7</v>
      </c>
      <c r="M203" s="1" t="n">
        <v>75.7</v>
      </c>
      <c r="N203" s="1" t="n">
        <v>53</v>
      </c>
      <c r="O203" s="1" t="n">
        <v>30.9</v>
      </c>
      <c r="P203" s="1" t="n">
        <v>16.1</v>
      </c>
      <c r="Q203" s="1" t="n">
        <v>84.3</v>
      </c>
      <c r="R203" s="1" t="n">
        <v>91.5</v>
      </c>
      <c r="S203" s="1" t="n">
        <v>76.1</v>
      </c>
      <c r="T203" s="1" t="n">
        <v>23.9</v>
      </c>
      <c r="U203" s="1" t="n">
        <v>29.6</v>
      </c>
      <c r="V203" s="1" t="n">
        <v>73</v>
      </c>
      <c r="W203" s="1" t="n">
        <v>27</v>
      </c>
      <c r="Z203" s="1" t="s">
        <v>54</v>
      </c>
    </row>
    <row r="204" customFormat="false" ht="16.15" hidden="true" customHeight="false" outlineLevel="0" collapsed="false">
      <c r="B204" s="1" t="s">
        <v>355</v>
      </c>
      <c r="C204" s="1" t="s">
        <v>231</v>
      </c>
      <c r="D204" s="13" t="n">
        <v>0.541666666666667</v>
      </c>
      <c r="E204" s="14" t="s">
        <v>506</v>
      </c>
      <c r="F204" s="14" t="s">
        <v>507</v>
      </c>
      <c r="H204" s="1" t="n">
        <v>56.4</v>
      </c>
      <c r="I204" s="1" t="n">
        <v>25.6</v>
      </c>
      <c r="J204" s="1" t="n">
        <v>18</v>
      </c>
      <c r="K204" s="1" t="n">
        <v>82</v>
      </c>
      <c r="L204" s="1" t="n">
        <v>43.6</v>
      </c>
      <c r="M204" s="1" t="n">
        <v>74.4</v>
      </c>
      <c r="N204" s="1" t="n">
        <v>41.7</v>
      </c>
      <c r="O204" s="1" t="n">
        <v>39.5</v>
      </c>
      <c r="P204" s="1" t="n">
        <v>18.8</v>
      </c>
      <c r="Q204" s="1" t="n">
        <v>73.8</v>
      </c>
      <c r="R204" s="1" t="n">
        <v>76.3</v>
      </c>
      <c r="S204" s="1" t="n">
        <v>50.7</v>
      </c>
      <c r="T204" s="1" t="n">
        <v>49.3</v>
      </c>
      <c r="U204" s="1" t="n">
        <v>56.6</v>
      </c>
      <c r="V204" s="1" t="n">
        <v>51.2</v>
      </c>
      <c r="W204" s="1" t="n">
        <v>48.8</v>
      </c>
      <c r="Z204" s="14" t="s">
        <v>20</v>
      </c>
    </row>
    <row r="205" customFormat="false" ht="16.15" hidden="true" customHeight="false" outlineLevel="0" collapsed="false">
      <c r="B205" s="1" t="s">
        <v>277</v>
      </c>
      <c r="C205" s="1" t="s">
        <v>231</v>
      </c>
      <c r="D205" s="13" t="n">
        <v>0.541666666666667</v>
      </c>
      <c r="E205" s="14" t="s">
        <v>508</v>
      </c>
      <c r="F205" s="14" t="s">
        <v>509</v>
      </c>
      <c r="H205" s="1" t="n">
        <v>11.7</v>
      </c>
      <c r="I205" s="1" t="n">
        <v>24.3</v>
      </c>
      <c r="J205" s="1" t="n">
        <v>64</v>
      </c>
      <c r="K205" s="1" t="n">
        <v>36</v>
      </c>
      <c r="L205" s="1" t="n">
        <v>88.3</v>
      </c>
      <c r="M205" s="1" t="n">
        <v>75.7</v>
      </c>
      <c r="N205" s="1" t="n">
        <v>6.9</v>
      </c>
      <c r="O205" s="1" t="n">
        <v>29.1</v>
      </c>
      <c r="P205" s="1" t="n">
        <v>64.1</v>
      </c>
      <c r="Q205" s="1" t="n">
        <v>81.2</v>
      </c>
      <c r="R205" s="1" t="n">
        <v>92.1</v>
      </c>
      <c r="S205" s="1" t="n">
        <v>77.7</v>
      </c>
      <c r="T205" s="1" t="n">
        <v>22.3</v>
      </c>
      <c r="U205" s="1" t="n">
        <v>29.7</v>
      </c>
      <c r="V205" s="1" t="n">
        <v>68.4</v>
      </c>
      <c r="W205" s="1" t="n">
        <v>31.6</v>
      </c>
      <c r="Z205" s="1" t="s">
        <v>54</v>
      </c>
    </row>
    <row r="206" customFormat="false" ht="16.15" hidden="true" customHeight="false" outlineLevel="0" collapsed="false">
      <c r="B206" s="1" t="s">
        <v>277</v>
      </c>
      <c r="C206" s="1" t="s">
        <v>231</v>
      </c>
      <c r="D206" s="13" t="n">
        <v>0.541666666666667</v>
      </c>
      <c r="E206" s="14" t="s">
        <v>510</v>
      </c>
      <c r="F206" s="14" t="s">
        <v>511</v>
      </c>
      <c r="H206" s="1" t="n">
        <v>37.4</v>
      </c>
      <c r="I206" s="1" t="n">
        <v>26.3</v>
      </c>
      <c r="J206" s="1" t="n">
        <v>36.3</v>
      </c>
      <c r="K206" s="1" t="n">
        <v>63.7</v>
      </c>
      <c r="L206" s="1" t="n">
        <v>62.6</v>
      </c>
      <c r="M206" s="1" t="n">
        <v>73.7</v>
      </c>
      <c r="N206" s="1" t="n">
        <v>25.5</v>
      </c>
      <c r="O206" s="1" t="n">
        <v>44.1</v>
      </c>
      <c r="P206" s="1" t="n">
        <v>30.4</v>
      </c>
      <c r="Q206" s="1" t="n">
        <v>68.9</v>
      </c>
      <c r="R206" s="1" t="n">
        <v>85.6</v>
      </c>
      <c r="S206" s="1" t="n">
        <v>64.8</v>
      </c>
      <c r="T206" s="1" t="n">
        <v>35.2</v>
      </c>
      <c r="U206" s="1" t="n">
        <v>40.7</v>
      </c>
      <c r="V206" s="1" t="n">
        <v>67.1</v>
      </c>
      <c r="W206" s="1" t="n">
        <v>32.9</v>
      </c>
      <c r="Z206" s="1" t="s">
        <v>54</v>
      </c>
    </row>
    <row r="207" customFormat="false" ht="16.15" hidden="true" customHeight="false" outlineLevel="0" collapsed="false">
      <c r="B207" s="1" t="s">
        <v>432</v>
      </c>
      <c r="C207" s="1" t="s">
        <v>231</v>
      </c>
      <c r="D207" s="13" t="n">
        <v>0.541666666666667</v>
      </c>
      <c r="E207" s="14" t="s">
        <v>512</v>
      </c>
      <c r="F207" s="14" t="s">
        <v>513</v>
      </c>
      <c r="H207" s="1" t="n">
        <v>65.5</v>
      </c>
      <c r="I207" s="1" t="n">
        <v>22.5</v>
      </c>
      <c r="J207" s="1" t="n">
        <v>12.1</v>
      </c>
      <c r="K207" s="1" t="n">
        <v>87.9</v>
      </c>
      <c r="L207" s="1" t="n">
        <v>34.5</v>
      </c>
      <c r="M207" s="1" t="n">
        <v>77.5</v>
      </c>
      <c r="N207" s="1" t="n">
        <v>53.9</v>
      </c>
      <c r="O207" s="1" t="n">
        <v>30.5</v>
      </c>
      <c r="P207" s="1" t="n">
        <v>15.5</v>
      </c>
      <c r="Q207" s="1" t="n">
        <v>84.6</v>
      </c>
      <c r="R207" s="1" t="n">
        <v>90.3</v>
      </c>
      <c r="S207" s="1" t="n">
        <v>74</v>
      </c>
      <c r="T207" s="1" t="n">
        <v>26</v>
      </c>
      <c r="U207" s="1" t="n">
        <v>33.9</v>
      </c>
      <c r="V207" s="1" t="n">
        <v>65</v>
      </c>
      <c r="W207" s="1" t="n">
        <v>35</v>
      </c>
      <c r="Z207" s="14" t="s">
        <v>22</v>
      </c>
    </row>
    <row r="208" customFormat="false" ht="16.15" hidden="true" customHeight="false" outlineLevel="0" collapsed="false">
      <c r="B208" s="1" t="s">
        <v>514</v>
      </c>
      <c r="C208" s="1" t="s">
        <v>231</v>
      </c>
      <c r="D208" s="13" t="n">
        <v>0.541666666666667</v>
      </c>
      <c r="E208" s="14" t="s">
        <v>515</v>
      </c>
      <c r="F208" s="14" t="s">
        <v>516</v>
      </c>
      <c r="H208" s="1" t="n">
        <v>42.5</v>
      </c>
      <c r="I208" s="1" t="n">
        <v>27.6</v>
      </c>
      <c r="J208" s="1" t="n">
        <v>30</v>
      </c>
      <c r="K208" s="1" t="n">
        <v>70</v>
      </c>
      <c r="L208" s="1" t="n">
        <v>57.5</v>
      </c>
      <c r="M208" s="1" t="n">
        <v>72.4</v>
      </c>
      <c r="N208" s="1" t="n">
        <v>29.2</v>
      </c>
      <c r="O208" s="1" t="n">
        <v>44.9</v>
      </c>
      <c r="P208" s="1" t="n">
        <v>25.9</v>
      </c>
      <c r="Q208" s="1" t="n">
        <v>67.5</v>
      </c>
      <c r="R208" s="1" t="n">
        <v>79</v>
      </c>
      <c r="S208" s="1" t="n">
        <v>54.5</v>
      </c>
      <c r="T208" s="1" t="n">
        <v>45.5</v>
      </c>
      <c r="U208" s="1" t="n">
        <v>51.3</v>
      </c>
      <c r="V208" s="1" t="n">
        <v>58.7</v>
      </c>
      <c r="W208" s="1" t="n">
        <v>41.3</v>
      </c>
      <c r="Z208" s="1" t="s">
        <v>48</v>
      </c>
    </row>
    <row r="209" customFormat="false" ht="16.15" hidden="true" customHeight="false" outlineLevel="0" collapsed="false">
      <c r="B209" s="1" t="s">
        <v>62</v>
      </c>
      <c r="C209" s="1" t="s">
        <v>231</v>
      </c>
      <c r="D209" s="13" t="n">
        <v>0.5625</v>
      </c>
      <c r="E209" s="14" t="s">
        <v>517</v>
      </c>
      <c r="F209" s="14" t="s">
        <v>518</v>
      </c>
      <c r="H209" s="1" t="n">
        <v>45.6</v>
      </c>
      <c r="I209" s="1" t="n">
        <v>30</v>
      </c>
      <c r="J209" s="1" t="n">
        <v>24.4</v>
      </c>
      <c r="K209" s="1" t="n">
        <v>75.6</v>
      </c>
      <c r="L209" s="1" t="n">
        <v>54.4</v>
      </c>
      <c r="M209" s="1" t="n">
        <v>70</v>
      </c>
      <c r="N209" s="1" t="n">
        <v>33.7</v>
      </c>
      <c r="O209" s="1" t="n">
        <v>45.7</v>
      </c>
      <c r="P209" s="1" t="n">
        <v>20.5</v>
      </c>
      <c r="Q209" s="1" t="n">
        <v>65.5</v>
      </c>
      <c r="R209" s="1" t="n">
        <v>67.8</v>
      </c>
      <c r="S209" s="1" t="n">
        <v>40</v>
      </c>
      <c r="T209" s="1" t="n">
        <v>60</v>
      </c>
      <c r="U209" s="1" t="n">
        <v>65.7</v>
      </c>
      <c r="V209" s="1" t="n">
        <v>46.2</v>
      </c>
      <c r="W209" s="1" t="n">
        <v>53.8</v>
      </c>
      <c r="Z209" s="1" t="s">
        <v>54</v>
      </c>
    </row>
    <row r="210" customFormat="false" ht="16.15" hidden="true" customHeight="false" outlineLevel="0" collapsed="false">
      <c r="B210" s="1" t="s">
        <v>519</v>
      </c>
      <c r="C210" s="1" t="s">
        <v>231</v>
      </c>
      <c r="D210" s="13" t="n">
        <v>0.5625</v>
      </c>
      <c r="E210" s="14" t="s">
        <v>520</v>
      </c>
      <c r="F210" s="14" t="s">
        <v>521</v>
      </c>
      <c r="H210" s="1" t="n">
        <v>41.8</v>
      </c>
      <c r="I210" s="1" t="n">
        <v>28.9</v>
      </c>
      <c r="J210" s="1" t="n">
        <v>29.3</v>
      </c>
      <c r="K210" s="1" t="n">
        <v>70.7</v>
      </c>
      <c r="L210" s="1" t="n">
        <v>58.2</v>
      </c>
      <c r="M210" s="1" t="n">
        <v>71.1</v>
      </c>
      <c r="N210" s="1" t="n">
        <v>26.4</v>
      </c>
      <c r="O210" s="1" t="n">
        <v>43.4</v>
      </c>
      <c r="P210" s="1" t="n">
        <v>30.1</v>
      </c>
      <c r="Q210" s="1" t="n">
        <v>69.9</v>
      </c>
      <c r="R210" s="1" t="n">
        <v>74.2</v>
      </c>
      <c r="S210" s="1" t="n">
        <v>47.7</v>
      </c>
      <c r="T210" s="1" t="n">
        <v>52.3</v>
      </c>
      <c r="U210" s="1" t="n">
        <v>57.9</v>
      </c>
      <c r="V210" s="1" t="n">
        <v>53.5</v>
      </c>
      <c r="W210" s="1" t="n">
        <v>46.5</v>
      </c>
      <c r="Z210" s="1" t="s">
        <v>19</v>
      </c>
    </row>
    <row r="211" customFormat="false" ht="16.15" hidden="true" customHeight="false" outlineLevel="0" collapsed="false">
      <c r="B211" s="1" t="s">
        <v>81</v>
      </c>
      <c r="C211" s="1" t="s">
        <v>231</v>
      </c>
      <c r="D211" s="13" t="n">
        <v>0.583333333333333</v>
      </c>
      <c r="E211" s="14" t="s">
        <v>522</v>
      </c>
      <c r="F211" s="14" t="s">
        <v>523</v>
      </c>
      <c r="H211" s="1" t="n">
        <v>58.1</v>
      </c>
      <c r="I211" s="1" t="n">
        <v>26.6</v>
      </c>
      <c r="J211" s="1" t="n">
        <v>15.3</v>
      </c>
      <c r="K211" s="1" t="n">
        <v>84.7</v>
      </c>
      <c r="L211" s="1" t="n">
        <v>41.9</v>
      </c>
      <c r="M211" s="1" t="n">
        <v>73.4</v>
      </c>
      <c r="N211" s="1" t="n">
        <v>43.5</v>
      </c>
      <c r="O211" s="1" t="n">
        <v>47.4</v>
      </c>
      <c r="P211" s="1" t="n">
        <v>9.1</v>
      </c>
      <c r="Q211" s="1" t="n">
        <v>58.9</v>
      </c>
      <c r="R211" s="1" t="n">
        <v>68.7</v>
      </c>
      <c r="S211" s="1" t="n">
        <v>41.2</v>
      </c>
      <c r="T211" s="1" t="n">
        <v>58.8</v>
      </c>
      <c r="U211" s="1" t="n">
        <v>66.4</v>
      </c>
      <c r="V211" s="1" t="n">
        <v>41.9</v>
      </c>
      <c r="W211" s="1" t="n">
        <v>58.1</v>
      </c>
      <c r="Z211" s="1" t="s">
        <v>54</v>
      </c>
    </row>
    <row r="212" customFormat="false" ht="16.15" hidden="true" customHeight="false" outlineLevel="0" collapsed="false">
      <c r="B212" s="1" t="s">
        <v>524</v>
      </c>
      <c r="C212" s="1" t="s">
        <v>231</v>
      </c>
      <c r="D212" s="13" t="n">
        <v>0.583333333333333</v>
      </c>
      <c r="E212" s="14" t="s">
        <v>525</v>
      </c>
      <c r="F212" s="14" t="s">
        <v>526</v>
      </c>
      <c r="H212" s="1" t="n">
        <v>54.1</v>
      </c>
      <c r="I212" s="1" t="n">
        <v>24.3</v>
      </c>
      <c r="J212" s="1" t="n">
        <v>21.7</v>
      </c>
      <c r="K212" s="1" t="n">
        <v>78.3</v>
      </c>
      <c r="L212" s="1" t="n">
        <v>45.9</v>
      </c>
      <c r="M212" s="1" t="n">
        <v>75.7</v>
      </c>
      <c r="N212" s="1" t="n">
        <v>43.1</v>
      </c>
      <c r="O212" s="1" t="n">
        <v>36.8</v>
      </c>
      <c r="P212" s="1" t="n">
        <v>20.1</v>
      </c>
      <c r="Q212" s="1" t="n">
        <v>78.1</v>
      </c>
      <c r="R212" s="1" t="n">
        <v>88.3</v>
      </c>
      <c r="S212" s="1" t="n">
        <v>69.7</v>
      </c>
      <c r="T212" s="1" t="n">
        <v>30.3</v>
      </c>
      <c r="U212" s="1" t="n">
        <v>36.5</v>
      </c>
      <c r="V212" s="1" t="n">
        <v>67.9</v>
      </c>
      <c r="W212" s="1" t="n">
        <v>32.1</v>
      </c>
      <c r="Z212" s="1" t="s">
        <v>48</v>
      </c>
    </row>
    <row r="213" customFormat="false" ht="16.15" hidden="true" customHeight="false" outlineLevel="0" collapsed="false">
      <c r="B213" s="1" t="s">
        <v>429</v>
      </c>
      <c r="C213" s="1" t="s">
        <v>231</v>
      </c>
      <c r="D213" s="13" t="n">
        <v>0.583333333333333</v>
      </c>
      <c r="E213" s="14" t="s">
        <v>527</v>
      </c>
      <c r="F213" s="14" t="s">
        <v>528</v>
      </c>
      <c r="H213" s="1" t="n">
        <v>41.5</v>
      </c>
      <c r="I213" s="1" t="n">
        <v>26.4</v>
      </c>
      <c r="J213" s="1" t="n">
        <v>32.1</v>
      </c>
      <c r="K213" s="1" t="n">
        <v>67.9</v>
      </c>
      <c r="L213" s="1" t="n">
        <v>58.5</v>
      </c>
      <c r="M213" s="1" t="n">
        <v>73.6</v>
      </c>
      <c r="N213" s="1" t="n">
        <v>35.2</v>
      </c>
      <c r="O213" s="1" t="n">
        <v>40.8</v>
      </c>
      <c r="P213" s="1" t="n">
        <v>23.9</v>
      </c>
      <c r="Q213" s="1" t="n">
        <v>73.3</v>
      </c>
      <c r="R213" s="1" t="n">
        <v>84.1</v>
      </c>
      <c r="S213" s="1" t="n">
        <v>62.3</v>
      </c>
      <c r="T213" s="1" t="n">
        <v>37.7</v>
      </c>
      <c r="U213" s="1" t="n">
        <v>43.4</v>
      </c>
      <c r="V213" s="1" t="n">
        <v>64.9</v>
      </c>
      <c r="W213" s="1" t="n">
        <v>35.1</v>
      </c>
      <c r="Z213" s="1" t="s">
        <v>54</v>
      </c>
    </row>
    <row r="214" customFormat="false" ht="16.15" hidden="true" customHeight="false" outlineLevel="0" collapsed="false">
      <c r="B214" s="1" t="s">
        <v>70</v>
      </c>
      <c r="C214" s="1" t="s">
        <v>231</v>
      </c>
      <c r="D214" s="13" t="n">
        <v>0.583333333333333</v>
      </c>
      <c r="E214" s="14" t="s">
        <v>529</v>
      </c>
      <c r="F214" s="14" t="s">
        <v>530</v>
      </c>
      <c r="H214" s="1" t="n">
        <v>55.5</v>
      </c>
      <c r="I214" s="1" t="n">
        <v>25.8</v>
      </c>
      <c r="J214" s="1" t="n">
        <v>18.8</v>
      </c>
      <c r="K214" s="1" t="n">
        <v>81.2</v>
      </c>
      <c r="L214" s="1" t="n">
        <v>44.5</v>
      </c>
      <c r="M214" s="1" t="n">
        <v>74.2</v>
      </c>
      <c r="N214" s="1" t="n">
        <v>37.7</v>
      </c>
      <c r="O214" s="1" t="n">
        <v>40.1</v>
      </c>
      <c r="P214" s="1" t="n">
        <v>22.2</v>
      </c>
      <c r="Q214" s="1" t="n">
        <v>74</v>
      </c>
      <c r="R214" s="1" t="n">
        <v>76.6</v>
      </c>
      <c r="S214" s="1" t="n">
        <v>51.2</v>
      </c>
      <c r="T214" s="1" t="n">
        <v>48.8</v>
      </c>
      <c r="U214" s="1" t="n">
        <v>56</v>
      </c>
      <c r="V214" s="1" t="n">
        <v>52</v>
      </c>
      <c r="W214" s="1" t="n">
        <v>48</v>
      </c>
      <c r="Z214" s="14" t="s">
        <v>317</v>
      </c>
    </row>
    <row r="215" customFormat="false" ht="16.15" hidden="true" customHeight="false" outlineLevel="0" collapsed="false">
      <c r="B215" s="1" t="s">
        <v>70</v>
      </c>
      <c r="C215" s="1" t="s">
        <v>231</v>
      </c>
      <c r="D215" s="13" t="n">
        <v>0.583333333333333</v>
      </c>
      <c r="E215" s="14" t="s">
        <v>531</v>
      </c>
      <c r="F215" s="14" t="s">
        <v>532</v>
      </c>
      <c r="H215" s="1" t="n">
        <v>44.1</v>
      </c>
      <c r="I215" s="1" t="n">
        <v>29.5</v>
      </c>
      <c r="J215" s="1" t="n">
        <v>26.4</v>
      </c>
      <c r="K215" s="1" t="n">
        <v>73.6</v>
      </c>
      <c r="L215" s="1" t="n">
        <v>55.9</v>
      </c>
      <c r="M215" s="1" t="n">
        <v>70.5</v>
      </c>
      <c r="N215" s="14" t="s">
        <v>533</v>
      </c>
      <c r="O215" s="14" t="s">
        <v>533</v>
      </c>
      <c r="P215" s="14" t="s">
        <v>533</v>
      </c>
      <c r="Q215" s="1" t="s">
        <v>533</v>
      </c>
      <c r="R215" s="1" t="n">
        <v>70.8</v>
      </c>
      <c r="S215" s="1" t="n">
        <v>43.5</v>
      </c>
      <c r="T215" s="1" t="n">
        <v>56.5</v>
      </c>
      <c r="U215" s="1" t="n">
        <v>62.1</v>
      </c>
      <c r="V215" s="1" t="n">
        <v>49.6</v>
      </c>
      <c r="W215" s="1" t="n">
        <v>50.4</v>
      </c>
      <c r="Z215" s="14" t="s">
        <v>36</v>
      </c>
    </row>
    <row r="216" customFormat="false" ht="16.15" hidden="true" customHeight="false" outlineLevel="0" collapsed="false">
      <c r="B216" s="1" t="s">
        <v>178</v>
      </c>
      <c r="C216" s="1" t="s">
        <v>231</v>
      </c>
      <c r="D216" s="13" t="n">
        <v>0.583333333333333</v>
      </c>
      <c r="E216" s="14" t="s">
        <v>534</v>
      </c>
      <c r="F216" s="14" t="s">
        <v>535</v>
      </c>
      <c r="H216" s="1" t="n">
        <v>47.3</v>
      </c>
      <c r="I216" s="1" t="n">
        <v>30.2</v>
      </c>
      <c r="J216" s="1" t="n">
        <v>22.5</v>
      </c>
      <c r="K216" s="1" t="n">
        <v>77.5</v>
      </c>
      <c r="L216" s="1" t="n">
        <v>52.7</v>
      </c>
      <c r="M216" s="1" t="n">
        <v>69.8</v>
      </c>
      <c r="N216" s="1" t="n">
        <v>27.6</v>
      </c>
      <c r="O216" s="1" t="n">
        <v>51.2</v>
      </c>
      <c r="P216" s="1" t="n">
        <v>21.2</v>
      </c>
      <c r="Q216" s="1" t="n">
        <v>58</v>
      </c>
      <c r="R216" s="1" t="n">
        <v>66</v>
      </c>
      <c r="S216" s="1" t="n">
        <v>38</v>
      </c>
      <c r="T216" s="1" t="n">
        <v>62</v>
      </c>
      <c r="U216" s="1" t="n">
        <v>67.8</v>
      </c>
      <c r="V216" s="1" t="n">
        <v>43.9</v>
      </c>
      <c r="W216" s="1" t="n">
        <v>56.1</v>
      </c>
      <c r="Z216" s="14" t="s">
        <v>20</v>
      </c>
    </row>
    <row r="217" customFormat="false" ht="16.15" hidden="true" customHeight="false" outlineLevel="0" collapsed="false">
      <c r="B217" s="1" t="s">
        <v>178</v>
      </c>
      <c r="C217" s="1" t="s">
        <v>231</v>
      </c>
      <c r="D217" s="13" t="n">
        <v>0.583333333333333</v>
      </c>
      <c r="E217" s="14" t="s">
        <v>536</v>
      </c>
      <c r="F217" s="14" t="s">
        <v>537</v>
      </c>
      <c r="H217" s="1" t="n">
        <v>31.3</v>
      </c>
      <c r="I217" s="1" t="n">
        <v>30.1</v>
      </c>
      <c r="J217" s="1" t="n">
        <v>38.5</v>
      </c>
      <c r="K217" s="1" t="n">
        <v>61.5</v>
      </c>
      <c r="L217" s="1" t="n">
        <v>68.7</v>
      </c>
      <c r="M217" s="1" t="n">
        <v>69.9</v>
      </c>
      <c r="N217" s="1" t="n">
        <v>30.1</v>
      </c>
      <c r="O217" s="1" t="n">
        <v>43.5</v>
      </c>
      <c r="P217" s="1" t="n">
        <v>26.3</v>
      </c>
      <c r="Q217" s="1" t="n">
        <v>69.6</v>
      </c>
      <c r="R217" s="1" t="n">
        <v>72.2</v>
      </c>
      <c r="S217" s="1" t="n">
        <v>45.2</v>
      </c>
      <c r="T217" s="1" t="n">
        <v>54.8</v>
      </c>
      <c r="U217" s="1" t="n">
        <v>60.2</v>
      </c>
      <c r="V217" s="1" t="n">
        <v>51.8</v>
      </c>
      <c r="W217" s="1" t="n">
        <v>48.2</v>
      </c>
      <c r="Z217" s="14" t="s">
        <v>19</v>
      </c>
    </row>
    <row r="218" customFormat="false" ht="16.15" hidden="true" customHeight="false" outlineLevel="0" collapsed="false">
      <c r="B218" s="1" t="s">
        <v>172</v>
      </c>
      <c r="C218" s="1" t="s">
        <v>231</v>
      </c>
      <c r="D218" s="13" t="n">
        <v>0.614583333333333</v>
      </c>
      <c r="E218" s="14" t="s">
        <v>538</v>
      </c>
      <c r="F218" s="14" t="s">
        <v>539</v>
      </c>
      <c r="H218" s="1" t="n">
        <v>26.7</v>
      </c>
      <c r="I218" s="1" t="n">
        <v>38.5</v>
      </c>
      <c r="J218" s="1" t="n">
        <v>34.8</v>
      </c>
      <c r="K218" s="1" t="n">
        <v>65.2</v>
      </c>
      <c r="L218" s="1" t="n">
        <v>73.3</v>
      </c>
      <c r="M218" s="1" t="n">
        <v>61.5</v>
      </c>
      <c r="N218" s="1" t="n">
        <v>26.6</v>
      </c>
      <c r="O218" s="1" t="n">
        <v>53.1</v>
      </c>
      <c r="P218" s="1" t="n">
        <v>20.3</v>
      </c>
      <c r="Q218" s="1" t="n">
        <v>55.2</v>
      </c>
      <c r="R218" s="1" t="n">
        <v>47.6</v>
      </c>
      <c r="S218" s="1" t="n">
        <v>20.7</v>
      </c>
      <c r="T218" s="1" t="n">
        <v>79.3</v>
      </c>
      <c r="U218" s="1" t="n">
        <v>82.7</v>
      </c>
      <c r="V218" s="1" t="n">
        <v>30.5</v>
      </c>
      <c r="W218" s="1" t="n">
        <v>69.5</v>
      </c>
      <c r="Z218" s="1" t="s">
        <v>317</v>
      </c>
    </row>
    <row r="219" customFormat="false" ht="16.15" hidden="true" customHeight="false" outlineLevel="0" collapsed="false">
      <c r="B219" s="1" t="s">
        <v>209</v>
      </c>
      <c r="C219" s="1" t="s">
        <v>231</v>
      </c>
      <c r="D219" s="13" t="n">
        <v>0.625</v>
      </c>
      <c r="E219" s="14" t="s">
        <v>540</v>
      </c>
      <c r="F219" s="14" t="s">
        <v>541</v>
      </c>
      <c r="H219" s="1" t="n">
        <v>35.2</v>
      </c>
      <c r="I219" s="1" t="n">
        <v>33</v>
      </c>
      <c r="J219" s="1" t="n">
        <v>31.8</v>
      </c>
      <c r="K219" s="1" t="n">
        <v>68.2</v>
      </c>
      <c r="L219" s="1" t="n">
        <v>64.8</v>
      </c>
      <c r="M219" s="1" t="n">
        <v>67</v>
      </c>
      <c r="N219" s="1" t="n">
        <v>18.5</v>
      </c>
      <c r="O219" s="1" t="n">
        <v>54.9</v>
      </c>
      <c r="P219" s="1" t="n">
        <v>26.7</v>
      </c>
      <c r="Q219" s="1" t="n">
        <v>52.8</v>
      </c>
      <c r="R219" s="1" t="n">
        <v>62.5</v>
      </c>
      <c r="S219" s="1" t="n">
        <v>34.1</v>
      </c>
      <c r="T219" s="1" t="n">
        <v>65.9</v>
      </c>
      <c r="U219" s="1" t="n">
        <v>70.6</v>
      </c>
      <c r="V219" s="1" t="n">
        <v>42.8</v>
      </c>
      <c r="W219" s="1" t="n">
        <v>57.2</v>
      </c>
      <c r="Z219" s="1" t="s">
        <v>48</v>
      </c>
    </row>
    <row r="220" customFormat="false" ht="16.15" hidden="true" customHeight="false" outlineLevel="0" collapsed="false">
      <c r="B220" s="1" t="s">
        <v>542</v>
      </c>
      <c r="C220" s="1" t="s">
        <v>231</v>
      </c>
      <c r="D220" s="13" t="n">
        <v>0.625</v>
      </c>
      <c r="E220" s="14" t="s">
        <v>543</v>
      </c>
      <c r="F220" s="14" t="s">
        <v>544</v>
      </c>
      <c r="H220" s="1" t="n">
        <v>33.2</v>
      </c>
      <c r="I220" s="1" t="n">
        <v>34.4</v>
      </c>
      <c r="J220" s="1" t="n">
        <v>32.4</v>
      </c>
      <c r="K220" s="1" t="n">
        <v>67.6</v>
      </c>
      <c r="L220" s="1" t="n">
        <v>66.8</v>
      </c>
      <c r="M220" s="1" t="n">
        <v>65.6</v>
      </c>
      <c r="N220" s="1" t="n">
        <v>21.3</v>
      </c>
      <c r="O220" s="1" t="n">
        <v>57.1</v>
      </c>
      <c r="P220" s="1" t="n">
        <v>21.6</v>
      </c>
      <c r="Q220" s="1" t="n">
        <v>49.8</v>
      </c>
      <c r="R220" s="1" t="n">
        <v>58.5</v>
      </c>
      <c r="S220" s="1" t="n">
        <v>30.1</v>
      </c>
      <c r="T220" s="1" t="n">
        <v>69.9</v>
      </c>
      <c r="U220" s="1" t="n">
        <v>74.2</v>
      </c>
      <c r="V220" s="1" t="n">
        <v>39.4</v>
      </c>
      <c r="W220" s="1" t="n">
        <v>60.6</v>
      </c>
      <c r="Z220" s="1" t="s">
        <v>54</v>
      </c>
    </row>
    <row r="221" customFormat="false" ht="16.15" hidden="true" customHeight="false" outlineLevel="0" collapsed="false">
      <c r="B221" s="1" t="s">
        <v>542</v>
      </c>
      <c r="C221" s="1" t="s">
        <v>231</v>
      </c>
      <c r="D221" s="13" t="n">
        <v>0.625</v>
      </c>
      <c r="E221" s="14" t="s">
        <v>545</v>
      </c>
      <c r="F221" s="14" t="s">
        <v>546</v>
      </c>
      <c r="H221" s="1" t="n">
        <v>37.5</v>
      </c>
      <c r="I221" s="1" t="n">
        <v>32.4</v>
      </c>
      <c r="J221" s="1" t="n">
        <v>30.1</v>
      </c>
      <c r="K221" s="1" t="n">
        <v>69.9</v>
      </c>
      <c r="L221" s="1" t="n">
        <v>62.5</v>
      </c>
      <c r="M221" s="1" t="n">
        <v>67.6</v>
      </c>
      <c r="N221" s="1" t="n">
        <v>31.1</v>
      </c>
      <c r="O221" s="1" t="n">
        <v>47.7</v>
      </c>
      <c r="P221" s="1" t="n">
        <v>21.1</v>
      </c>
      <c r="Q221" s="1" t="n">
        <v>62.8</v>
      </c>
      <c r="R221" s="1" t="n">
        <v>63.6</v>
      </c>
      <c r="S221" s="1" t="n">
        <v>35.3</v>
      </c>
      <c r="T221" s="1" t="n">
        <v>64.7</v>
      </c>
      <c r="U221" s="1" t="n">
        <v>69.5</v>
      </c>
      <c r="V221" s="1" t="n">
        <v>43.7</v>
      </c>
      <c r="W221" s="1" t="n">
        <v>56.3</v>
      </c>
      <c r="Z221" s="1" t="s">
        <v>54</v>
      </c>
    </row>
    <row r="222" customFormat="false" ht="16.15" hidden="true" customHeight="false" outlineLevel="0" collapsed="false">
      <c r="B222" s="1" t="s">
        <v>542</v>
      </c>
      <c r="C222" s="1" t="s">
        <v>231</v>
      </c>
      <c r="D222" s="13" t="n">
        <v>0.625</v>
      </c>
      <c r="E222" s="14" t="s">
        <v>547</v>
      </c>
      <c r="F222" s="14" t="s">
        <v>548</v>
      </c>
      <c r="H222" s="1" t="n">
        <v>34.2</v>
      </c>
      <c r="I222" s="1" t="n">
        <v>36.3</v>
      </c>
      <c r="J222" s="1" t="n">
        <v>29.5</v>
      </c>
      <c r="K222" s="1" t="n">
        <v>70.5</v>
      </c>
      <c r="L222" s="1" t="n">
        <v>65.8</v>
      </c>
      <c r="M222" s="1" t="n">
        <v>63.7</v>
      </c>
      <c r="N222" s="1" t="n">
        <v>20.6</v>
      </c>
      <c r="O222" s="1" t="n">
        <v>57.4</v>
      </c>
      <c r="P222" s="1" t="n">
        <v>22</v>
      </c>
      <c r="Q222" s="1" t="n">
        <v>49.4</v>
      </c>
      <c r="R222" s="1" t="n">
        <v>52.8</v>
      </c>
      <c r="S222" s="1" t="n">
        <v>24.9</v>
      </c>
      <c r="T222" s="1" t="n">
        <v>75.1</v>
      </c>
      <c r="U222" s="1" t="n">
        <v>78.9</v>
      </c>
      <c r="V222" s="1" t="n">
        <v>34.7</v>
      </c>
      <c r="W222" s="1" t="n">
        <v>65.3</v>
      </c>
      <c r="Z222" s="1" t="s">
        <v>54</v>
      </c>
    </row>
    <row r="223" customFormat="false" ht="16.15" hidden="true" customHeight="false" outlineLevel="0" collapsed="false">
      <c r="B223" s="1" t="s">
        <v>542</v>
      </c>
      <c r="C223" s="1" t="s">
        <v>231</v>
      </c>
      <c r="D223" s="13" t="n">
        <v>0.625</v>
      </c>
      <c r="E223" s="14" t="s">
        <v>549</v>
      </c>
      <c r="F223" s="14" t="s">
        <v>550</v>
      </c>
      <c r="H223" s="1" t="n">
        <v>27.7</v>
      </c>
      <c r="I223" s="1" t="n">
        <v>35</v>
      </c>
      <c r="J223" s="1" t="n">
        <v>37.3</v>
      </c>
      <c r="K223" s="1" t="n">
        <v>62.7</v>
      </c>
      <c r="L223" s="1" t="n">
        <v>72.3</v>
      </c>
      <c r="M223" s="1" t="n">
        <v>65</v>
      </c>
      <c r="N223" s="1" t="n">
        <v>19.6</v>
      </c>
      <c r="O223" s="1" t="n">
        <v>52.7</v>
      </c>
      <c r="P223" s="1" t="n">
        <v>27.7</v>
      </c>
      <c r="Q223" s="1" t="n">
        <v>55.8</v>
      </c>
      <c r="R223" s="1" t="n">
        <v>56.9</v>
      </c>
      <c r="S223" s="1" t="n">
        <v>28.7</v>
      </c>
      <c r="T223" s="1" t="n">
        <v>71.3</v>
      </c>
      <c r="U223" s="1" t="n">
        <v>75.6</v>
      </c>
      <c r="V223" s="1" t="n">
        <v>37.8</v>
      </c>
      <c r="W223" s="1" t="n">
        <v>62.2</v>
      </c>
      <c r="Z223" s="1" t="s">
        <v>54</v>
      </c>
    </row>
    <row r="224" customFormat="false" ht="16.15" hidden="true" customHeight="false" outlineLevel="0" collapsed="false">
      <c r="B224" s="1" t="s">
        <v>542</v>
      </c>
      <c r="C224" s="1" t="s">
        <v>231</v>
      </c>
      <c r="D224" s="13" t="n">
        <v>0.625</v>
      </c>
      <c r="E224" s="14" t="s">
        <v>551</v>
      </c>
      <c r="F224" s="14" t="s">
        <v>552</v>
      </c>
      <c r="H224" s="1" t="n">
        <v>39.7</v>
      </c>
      <c r="I224" s="1" t="n">
        <v>30.7</v>
      </c>
      <c r="J224" s="1" t="n">
        <v>29.6</v>
      </c>
      <c r="K224" s="1" t="n">
        <v>70.4</v>
      </c>
      <c r="L224" s="1" t="n">
        <v>60.3</v>
      </c>
      <c r="M224" s="1" t="n">
        <v>69.3</v>
      </c>
      <c r="N224" s="1" t="n">
        <v>28</v>
      </c>
      <c r="O224" s="1" t="n">
        <v>44.5</v>
      </c>
      <c r="P224" s="1" t="n">
        <v>27.5</v>
      </c>
      <c r="Q224" s="1" t="n">
        <v>68.3</v>
      </c>
      <c r="R224" s="1" t="n">
        <v>68.6</v>
      </c>
      <c r="S224" s="1" t="n">
        <v>40.9</v>
      </c>
      <c r="T224" s="1" t="n">
        <v>59.1</v>
      </c>
      <c r="U224" s="1" t="n">
        <v>64.4</v>
      </c>
      <c r="V224" s="1" t="n">
        <v>48.1</v>
      </c>
      <c r="W224" s="1" t="n">
        <v>51.9</v>
      </c>
      <c r="Z224" s="1" t="s">
        <v>54</v>
      </c>
    </row>
    <row r="225" customFormat="false" ht="16.15" hidden="true" customHeight="false" outlineLevel="0" collapsed="false">
      <c r="B225" s="1" t="s">
        <v>542</v>
      </c>
      <c r="C225" s="1" t="s">
        <v>231</v>
      </c>
      <c r="D225" s="13" t="n">
        <v>0.625</v>
      </c>
      <c r="E225" s="14" t="s">
        <v>553</v>
      </c>
      <c r="F225" s="14" t="s">
        <v>554</v>
      </c>
      <c r="H225" s="1" t="n">
        <v>28.7</v>
      </c>
      <c r="I225" s="1" t="n">
        <v>33.1</v>
      </c>
      <c r="J225" s="1" t="n">
        <v>38.2</v>
      </c>
      <c r="K225" s="1" t="n">
        <v>61.8</v>
      </c>
      <c r="L225" s="1" t="n">
        <v>71.3</v>
      </c>
      <c r="M225" s="1" t="n">
        <v>66.9</v>
      </c>
      <c r="N225" s="1" t="n">
        <v>26.4</v>
      </c>
      <c r="O225" s="1" t="n">
        <v>48.4</v>
      </c>
      <c r="P225" s="1" t="n">
        <v>25.2</v>
      </c>
      <c r="Q225" s="1" t="n">
        <v>62.3</v>
      </c>
      <c r="R225" s="1" t="n">
        <v>62.7</v>
      </c>
      <c r="S225" s="1" t="n">
        <v>34.3</v>
      </c>
      <c r="T225" s="1" t="n">
        <v>65.7</v>
      </c>
      <c r="U225" s="1" t="n">
        <v>70.5</v>
      </c>
      <c r="V225" s="1" t="n">
        <v>42.7</v>
      </c>
      <c r="W225" s="1" t="n">
        <v>57.3</v>
      </c>
      <c r="Z225" s="1" t="s">
        <v>54</v>
      </c>
    </row>
    <row r="226" customFormat="false" ht="16.15" hidden="true" customHeight="false" outlineLevel="0" collapsed="false">
      <c r="B226" s="1" t="s">
        <v>542</v>
      </c>
      <c r="C226" s="1" t="s">
        <v>231</v>
      </c>
      <c r="D226" s="13" t="n">
        <v>0.625</v>
      </c>
      <c r="E226" s="14" t="s">
        <v>555</v>
      </c>
      <c r="F226" s="14" t="s">
        <v>556</v>
      </c>
      <c r="H226" s="1" t="n">
        <v>51.3</v>
      </c>
      <c r="I226" s="1" t="n">
        <v>34.2</v>
      </c>
      <c r="J226" s="1" t="n">
        <v>14.5</v>
      </c>
      <c r="K226" s="1" t="n">
        <v>85.5</v>
      </c>
      <c r="L226" s="1" t="n">
        <v>48.7</v>
      </c>
      <c r="M226" s="1" t="n">
        <v>65.8</v>
      </c>
      <c r="N226" s="1" t="n">
        <v>32.4</v>
      </c>
      <c r="O226" s="1" t="n">
        <v>57.2</v>
      </c>
      <c r="P226" s="1" t="n">
        <v>10.4</v>
      </c>
      <c r="Q226" s="1" t="n">
        <v>47.7</v>
      </c>
      <c r="R226" s="1" t="n">
        <v>47.7</v>
      </c>
      <c r="S226" s="1" t="n">
        <v>21</v>
      </c>
      <c r="T226" s="1" t="n">
        <v>79</v>
      </c>
      <c r="U226" s="1" t="n">
        <v>84.2</v>
      </c>
      <c r="V226" s="1" t="n">
        <v>25.7</v>
      </c>
      <c r="W226" s="1" t="n">
        <v>74.3</v>
      </c>
      <c r="Z226" s="1" t="s">
        <v>54</v>
      </c>
    </row>
    <row r="227" customFormat="false" ht="16.15" hidden="true" customHeight="false" outlineLevel="0" collapsed="false">
      <c r="B227" s="1" t="s">
        <v>557</v>
      </c>
      <c r="C227" s="1" t="s">
        <v>231</v>
      </c>
      <c r="D227" s="13" t="n">
        <v>0.625</v>
      </c>
      <c r="E227" s="14" t="s">
        <v>558</v>
      </c>
      <c r="F227" s="14" t="s">
        <v>559</v>
      </c>
      <c r="H227" s="1" t="n">
        <v>33.3</v>
      </c>
      <c r="I227" s="1" t="n">
        <v>32.5</v>
      </c>
      <c r="J227" s="1" t="n">
        <v>34.2</v>
      </c>
      <c r="K227" s="1" t="n">
        <v>65.8</v>
      </c>
      <c r="L227" s="1" t="n">
        <v>66.7</v>
      </c>
      <c r="M227" s="1" t="n">
        <v>67.5</v>
      </c>
      <c r="N227" s="1" t="n">
        <v>24</v>
      </c>
      <c r="O227" s="1" t="n">
        <v>52.5</v>
      </c>
      <c r="P227" s="1" t="n">
        <v>23.5</v>
      </c>
      <c r="Q227" s="1" t="n">
        <v>56.3</v>
      </c>
      <c r="R227" s="1" t="n">
        <v>64.4</v>
      </c>
      <c r="S227" s="1" t="n">
        <v>36.1</v>
      </c>
      <c r="T227" s="1" t="n">
        <v>63.9</v>
      </c>
      <c r="U227" s="1" t="n">
        <v>68.7</v>
      </c>
      <c r="V227" s="1" t="n">
        <v>44.5</v>
      </c>
      <c r="W227" s="1" t="n">
        <v>55.5</v>
      </c>
      <c r="Z227" s="1" t="s">
        <v>54</v>
      </c>
    </row>
    <row r="228" customFormat="false" ht="16.15" hidden="true" customHeight="false" outlineLevel="0" collapsed="false">
      <c r="B228" s="1" t="s">
        <v>557</v>
      </c>
      <c r="C228" s="1" t="s">
        <v>231</v>
      </c>
      <c r="D228" s="13" t="n">
        <v>0.625</v>
      </c>
      <c r="E228" s="14" t="s">
        <v>560</v>
      </c>
      <c r="F228" s="14" t="s">
        <v>561</v>
      </c>
      <c r="H228" s="1" t="n">
        <v>37</v>
      </c>
      <c r="I228" s="1" t="n">
        <v>36</v>
      </c>
      <c r="J228" s="1" t="n">
        <v>27</v>
      </c>
      <c r="K228" s="1" t="n">
        <v>73</v>
      </c>
      <c r="L228" s="1" t="n">
        <v>63</v>
      </c>
      <c r="M228" s="1" t="n">
        <v>64</v>
      </c>
      <c r="N228" s="1" t="n">
        <v>22.5</v>
      </c>
      <c r="O228" s="1" t="n">
        <v>57.7</v>
      </c>
      <c r="P228" s="1" t="n">
        <v>19.9</v>
      </c>
      <c r="Q228" s="1" t="n">
        <v>49</v>
      </c>
      <c r="R228" s="1" t="n">
        <v>52.6</v>
      </c>
      <c r="S228" s="1" t="n">
        <v>24.8</v>
      </c>
      <c r="T228" s="1" t="n">
        <v>75.2</v>
      </c>
      <c r="U228" s="1" t="n">
        <v>79.1</v>
      </c>
      <c r="V228" s="1" t="n">
        <v>34.2</v>
      </c>
      <c r="W228" s="1" t="n">
        <v>65.8</v>
      </c>
      <c r="Z228" s="1" t="s">
        <v>54</v>
      </c>
    </row>
    <row r="229" customFormat="false" ht="16.15" hidden="true" customHeight="false" outlineLevel="0" collapsed="false">
      <c r="B229" s="1" t="s">
        <v>557</v>
      </c>
      <c r="C229" s="1" t="s">
        <v>231</v>
      </c>
      <c r="D229" s="13" t="n">
        <v>0.625</v>
      </c>
      <c r="E229" s="14" t="s">
        <v>562</v>
      </c>
      <c r="F229" s="14" t="s">
        <v>563</v>
      </c>
      <c r="H229" s="1" t="n">
        <v>37.4</v>
      </c>
      <c r="I229" s="1" t="n">
        <v>31.8</v>
      </c>
      <c r="J229" s="1" t="n">
        <v>30.8</v>
      </c>
      <c r="K229" s="1" t="n">
        <v>69.2</v>
      </c>
      <c r="L229" s="1" t="n">
        <v>62.6</v>
      </c>
      <c r="M229" s="1" t="n">
        <v>68.2</v>
      </c>
      <c r="N229" s="1" t="n">
        <v>30.5</v>
      </c>
      <c r="O229" s="1" t="n">
        <v>48.3</v>
      </c>
      <c r="P229" s="1" t="n">
        <v>21.2</v>
      </c>
      <c r="Q229" s="1" t="n">
        <v>62</v>
      </c>
      <c r="R229" s="1" t="n">
        <v>65.7</v>
      </c>
      <c r="S229" s="1" t="n">
        <v>37.5</v>
      </c>
      <c r="T229" s="1" t="n">
        <v>62.5</v>
      </c>
      <c r="U229" s="1" t="n">
        <v>67.4</v>
      </c>
      <c r="V229" s="1" t="n">
        <v>45.6</v>
      </c>
      <c r="W229" s="1" t="n">
        <v>54.4</v>
      </c>
      <c r="Z229" s="1" t="s">
        <v>54</v>
      </c>
    </row>
    <row r="230" customFormat="false" ht="16.15" hidden="true" customHeight="false" outlineLevel="0" collapsed="false">
      <c r="B230" s="1" t="s">
        <v>557</v>
      </c>
      <c r="C230" s="1" t="s">
        <v>231</v>
      </c>
      <c r="D230" s="13" t="n">
        <v>0.625</v>
      </c>
      <c r="E230" s="14" t="s">
        <v>564</v>
      </c>
      <c r="F230" s="14" t="s">
        <v>565</v>
      </c>
      <c r="H230" s="1" t="n">
        <v>44.5</v>
      </c>
      <c r="I230" s="1" t="n">
        <v>32.9</v>
      </c>
      <c r="J230" s="1" t="n">
        <v>22.6</v>
      </c>
      <c r="K230" s="1" t="n">
        <v>77.4</v>
      </c>
      <c r="L230" s="1" t="n">
        <v>55.5</v>
      </c>
      <c r="M230" s="1" t="n">
        <v>67.1</v>
      </c>
      <c r="N230" s="1" t="n">
        <v>29.3</v>
      </c>
      <c r="O230" s="1" t="n">
        <v>50.7</v>
      </c>
      <c r="P230" s="1" t="n">
        <v>20</v>
      </c>
      <c r="Q230" s="1" t="n">
        <v>58.5</v>
      </c>
      <c r="R230" s="1" t="n">
        <v>58.3</v>
      </c>
      <c r="S230" s="1" t="n">
        <v>30</v>
      </c>
      <c r="T230" s="1" t="n">
        <v>70</v>
      </c>
      <c r="U230" s="1" t="n">
        <v>75</v>
      </c>
      <c r="V230" s="1" t="n">
        <v>37.5</v>
      </c>
      <c r="W230" s="1" t="n">
        <v>62.5</v>
      </c>
      <c r="Z230" s="1" t="s">
        <v>54</v>
      </c>
    </row>
    <row r="231" customFormat="false" ht="16.15" hidden="true" customHeight="false" outlineLevel="0" collapsed="false">
      <c r="B231" s="1" t="s">
        <v>557</v>
      </c>
      <c r="C231" s="1" t="s">
        <v>231</v>
      </c>
      <c r="D231" s="13" t="n">
        <v>0.625</v>
      </c>
      <c r="E231" s="14" t="s">
        <v>566</v>
      </c>
      <c r="F231" s="14" t="s">
        <v>567</v>
      </c>
      <c r="H231" s="1" t="n">
        <v>45.4</v>
      </c>
      <c r="I231" s="1" t="n">
        <v>33.8</v>
      </c>
      <c r="J231" s="1" t="n">
        <v>20.8</v>
      </c>
      <c r="K231" s="1" t="n">
        <v>79.2</v>
      </c>
      <c r="L231" s="1" t="n">
        <v>54.6</v>
      </c>
      <c r="M231" s="1" t="n">
        <v>66.2</v>
      </c>
      <c r="N231" s="1" t="n">
        <v>33.3</v>
      </c>
      <c r="O231" s="1" t="n">
        <v>52.5</v>
      </c>
      <c r="P231" s="1" t="n">
        <v>14.2</v>
      </c>
      <c r="Q231" s="1" t="n">
        <v>54.7</v>
      </c>
      <c r="R231" s="1" t="n">
        <v>54.6</v>
      </c>
      <c r="S231" s="1" t="n">
        <v>26.6</v>
      </c>
      <c r="T231" s="1" t="n">
        <v>73.4</v>
      </c>
      <c r="U231" s="1" t="n">
        <v>78.2</v>
      </c>
      <c r="V231" s="1" t="n">
        <v>34</v>
      </c>
      <c r="W231" s="1" t="n">
        <v>66</v>
      </c>
      <c r="Z231" s="1" t="s">
        <v>54</v>
      </c>
    </row>
    <row r="232" customFormat="false" ht="16.15" hidden="true" customHeight="false" outlineLevel="0" collapsed="false">
      <c r="B232" s="1" t="s">
        <v>557</v>
      </c>
      <c r="C232" s="1" t="s">
        <v>231</v>
      </c>
      <c r="D232" s="13" t="n">
        <v>0.625</v>
      </c>
      <c r="E232" s="14" t="s">
        <v>568</v>
      </c>
      <c r="F232" s="14" t="s">
        <v>569</v>
      </c>
      <c r="H232" s="1" t="n">
        <v>36.7</v>
      </c>
      <c r="I232" s="1" t="n">
        <v>37</v>
      </c>
      <c r="J232" s="1" t="n">
        <v>26.3</v>
      </c>
      <c r="K232" s="1" t="n">
        <v>73.7</v>
      </c>
      <c r="L232" s="1" t="n">
        <v>63.3</v>
      </c>
      <c r="M232" s="1" t="n">
        <v>63</v>
      </c>
      <c r="N232" s="1" t="n">
        <v>24.7</v>
      </c>
      <c r="O232" s="1" t="n">
        <v>59.5</v>
      </c>
      <c r="P232" s="1" t="n">
        <v>15.8</v>
      </c>
      <c r="Q232" s="1" t="n">
        <v>46.2</v>
      </c>
      <c r="R232" s="1" t="n">
        <v>49.8</v>
      </c>
      <c r="S232" s="1" t="n">
        <v>22.5</v>
      </c>
      <c r="T232" s="1" t="n">
        <v>77.5</v>
      </c>
      <c r="U232" s="1" t="n">
        <v>81.2</v>
      </c>
      <c r="V232" s="1" t="n">
        <v>32</v>
      </c>
      <c r="W232" s="1" t="n">
        <v>68</v>
      </c>
      <c r="Z232" s="1" t="s">
        <v>54</v>
      </c>
    </row>
    <row r="233" customFormat="false" ht="16.15" hidden="true" customHeight="false" outlineLevel="0" collapsed="false">
      <c r="B233" s="1" t="s">
        <v>557</v>
      </c>
      <c r="C233" s="1" t="s">
        <v>231</v>
      </c>
      <c r="D233" s="13" t="n">
        <v>0.625</v>
      </c>
      <c r="E233" s="14" t="s">
        <v>570</v>
      </c>
      <c r="F233" s="14" t="s">
        <v>571</v>
      </c>
      <c r="H233" s="1" t="n">
        <v>32.7</v>
      </c>
      <c r="I233" s="1" t="n">
        <v>36</v>
      </c>
      <c r="J233" s="1" t="n">
        <v>31.4</v>
      </c>
      <c r="K233" s="1" t="n">
        <v>68.6</v>
      </c>
      <c r="L233" s="1" t="n">
        <v>67.3</v>
      </c>
      <c r="M233" s="1" t="n">
        <v>64</v>
      </c>
      <c r="N233" s="1" t="n">
        <v>22.1</v>
      </c>
      <c r="O233" s="1" t="n">
        <v>54.8</v>
      </c>
      <c r="P233" s="1" t="n">
        <v>23.1</v>
      </c>
      <c r="Q233" s="1" t="n">
        <v>53</v>
      </c>
      <c r="R233" s="1" t="n">
        <v>54</v>
      </c>
      <c r="S233" s="1" t="n">
        <v>26</v>
      </c>
      <c r="T233" s="1" t="n">
        <v>74</v>
      </c>
      <c r="U233" s="1" t="n">
        <v>77.9</v>
      </c>
      <c r="V233" s="1" t="n">
        <v>35.7</v>
      </c>
      <c r="W233" s="1" t="n">
        <v>64.3</v>
      </c>
      <c r="Z233" s="1" t="s">
        <v>54</v>
      </c>
    </row>
    <row r="234" customFormat="false" ht="16.15" hidden="true" customHeight="false" outlineLevel="0" collapsed="false">
      <c r="B234" s="1" t="s">
        <v>557</v>
      </c>
      <c r="C234" s="1" t="s">
        <v>231</v>
      </c>
      <c r="D234" s="13" t="n">
        <v>0.625</v>
      </c>
      <c r="E234" s="14" t="s">
        <v>572</v>
      </c>
      <c r="F234" s="14" t="s">
        <v>573</v>
      </c>
      <c r="H234" s="1" t="n">
        <v>35.8</v>
      </c>
      <c r="I234" s="1" t="n">
        <v>35.2</v>
      </c>
      <c r="J234" s="1" t="n">
        <v>29</v>
      </c>
      <c r="K234" s="1" t="n">
        <v>71</v>
      </c>
      <c r="L234" s="1" t="n">
        <v>64.2</v>
      </c>
      <c r="M234" s="1" t="n">
        <v>64.8</v>
      </c>
      <c r="N234" s="1" t="n">
        <v>26.5</v>
      </c>
      <c r="O234" s="1" t="n">
        <v>51.7</v>
      </c>
      <c r="P234" s="1" t="n">
        <v>21.7</v>
      </c>
      <c r="Q234" s="1" t="n">
        <v>57.2</v>
      </c>
      <c r="R234" s="1" t="n">
        <v>55.5</v>
      </c>
      <c r="S234" s="1" t="n">
        <v>27.4</v>
      </c>
      <c r="T234" s="1" t="n">
        <v>72.6</v>
      </c>
      <c r="U234" s="1" t="n">
        <v>76.7</v>
      </c>
      <c r="V234" s="1" t="n">
        <v>36.8</v>
      </c>
      <c r="W234" s="1" t="n">
        <v>63.2</v>
      </c>
      <c r="Z234" s="1" t="s">
        <v>54</v>
      </c>
    </row>
    <row r="235" customFormat="false" ht="16.15" hidden="true" customHeight="false" outlineLevel="0" collapsed="false">
      <c r="B235" s="1" t="s">
        <v>557</v>
      </c>
      <c r="C235" s="1" t="s">
        <v>231</v>
      </c>
      <c r="D235" s="13" t="n">
        <v>0.625</v>
      </c>
      <c r="E235" s="14" t="s">
        <v>574</v>
      </c>
      <c r="F235" s="14" t="s">
        <v>575</v>
      </c>
      <c r="H235" s="1" t="n">
        <v>35.5</v>
      </c>
      <c r="I235" s="1" t="n">
        <v>31.4</v>
      </c>
      <c r="J235" s="1" t="n">
        <v>33.1</v>
      </c>
      <c r="K235" s="1" t="n">
        <v>66.9</v>
      </c>
      <c r="L235" s="1" t="n">
        <v>64.5</v>
      </c>
      <c r="M235" s="1" t="n">
        <v>68.6</v>
      </c>
      <c r="N235" s="1" t="n">
        <v>19.4</v>
      </c>
      <c r="O235" s="1" t="n">
        <v>49.6</v>
      </c>
      <c r="P235" s="1" t="n">
        <v>31</v>
      </c>
      <c r="Q235" s="1" t="n">
        <v>60.2</v>
      </c>
      <c r="R235" s="1" t="n">
        <v>67.6</v>
      </c>
      <c r="S235" s="1" t="n">
        <v>39.7</v>
      </c>
      <c r="T235" s="1" t="n">
        <v>60.3</v>
      </c>
      <c r="U235" s="1" t="n">
        <v>65.4</v>
      </c>
      <c r="V235" s="1" t="n">
        <v>47.5</v>
      </c>
      <c r="W235" s="1" t="n">
        <v>52.5</v>
      </c>
      <c r="Z235" s="1" t="s">
        <v>54</v>
      </c>
    </row>
    <row r="236" customFormat="false" ht="16.15" hidden="true" customHeight="false" outlineLevel="0" collapsed="false">
      <c r="B236" s="1" t="s">
        <v>557</v>
      </c>
      <c r="C236" s="1" t="s">
        <v>231</v>
      </c>
      <c r="D236" s="13" t="n">
        <v>0.625</v>
      </c>
      <c r="E236" s="14" t="s">
        <v>576</v>
      </c>
      <c r="F236" s="14" t="s">
        <v>577</v>
      </c>
      <c r="H236" s="1" t="n">
        <v>39.4</v>
      </c>
      <c r="I236" s="1" t="n">
        <v>34.8</v>
      </c>
      <c r="J236" s="1" t="n">
        <v>25.8</v>
      </c>
      <c r="K236" s="1" t="n">
        <v>74.2</v>
      </c>
      <c r="L236" s="1" t="n">
        <v>60.6</v>
      </c>
      <c r="M236" s="1" t="n">
        <v>65.2</v>
      </c>
      <c r="N236" s="1" t="n">
        <v>26.2</v>
      </c>
      <c r="O236" s="1" t="n">
        <v>48.5</v>
      </c>
      <c r="P236" s="1" t="n">
        <v>25.3</v>
      </c>
      <c r="Q236" s="1" t="n">
        <v>62.2</v>
      </c>
      <c r="R236" s="1" t="n">
        <v>55.2</v>
      </c>
      <c r="S236" s="1" t="n">
        <v>27.1</v>
      </c>
      <c r="T236" s="1" t="n">
        <v>72.9</v>
      </c>
      <c r="U236" s="1" t="n">
        <v>77.2</v>
      </c>
      <c r="V236" s="1" t="n">
        <v>36</v>
      </c>
      <c r="W236" s="1" t="n">
        <v>64</v>
      </c>
      <c r="Z236" s="1" t="s">
        <v>54</v>
      </c>
    </row>
    <row r="237" customFormat="false" ht="16.15" hidden="true" customHeight="false" outlineLevel="0" collapsed="false">
      <c r="B237" s="1" t="s">
        <v>557</v>
      </c>
      <c r="C237" s="1" t="s">
        <v>231</v>
      </c>
      <c r="D237" s="13" t="n">
        <v>0.625</v>
      </c>
      <c r="E237" s="14" t="s">
        <v>578</v>
      </c>
      <c r="F237" s="14" t="s">
        <v>579</v>
      </c>
      <c r="H237" s="1" t="n">
        <v>41.3</v>
      </c>
      <c r="I237" s="1" t="n">
        <v>33.1</v>
      </c>
      <c r="J237" s="1" t="n">
        <v>25.6</v>
      </c>
      <c r="K237" s="1" t="n">
        <v>74.4</v>
      </c>
      <c r="L237" s="1" t="n">
        <v>58.7</v>
      </c>
      <c r="M237" s="1" t="n">
        <v>66.9</v>
      </c>
      <c r="N237" s="1" t="n">
        <v>29.7</v>
      </c>
      <c r="O237" s="1" t="n">
        <v>52.4</v>
      </c>
      <c r="P237" s="1" t="n">
        <v>17.9</v>
      </c>
      <c r="Q237" s="1" t="n">
        <v>55.8</v>
      </c>
      <c r="R237" s="1" t="n">
        <v>59.6</v>
      </c>
      <c r="S237" s="1" t="n">
        <v>31.2</v>
      </c>
      <c r="T237" s="1" t="n">
        <v>68.8</v>
      </c>
      <c r="U237" s="1" t="n">
        <v>73.5</v>
      </c>
      <c r="V237" s="1" t="n">
        <v>39.5</v>
      </c>
      <c r="W237" s="1" t="n">
        <v>60.5</v>
      </c>
      <c r="Z237" s="1" t="s">
        <v>54</v>
      </c>
    </row>
    <row r="238" customFormat="false" ht="16.15" hidden="true" customHeight="false" outlineLevel="0" collapsed="false">
      <c r="B238" s="1" t="s">
        <v>557</v>
      </c>
      <c r="C238" s="1" t="s">
        <v>231</v>
      </c>
      <c r="D238" s="13" t="n">
        <v>0.625</v>
      </c>
      <c r="E238" s="14" t="s">
        <v>580</v>
      </c>
      <c r="F238" s="14" t="s">
        <v>581</v>
      </c>
      <c r="H238" s="1" t="n">
        <v>53.5</v>
      </c>
      <c r="I238" s="1" t="n">
        <v>29.9</v>
      </c>
      <c r="J238" s="1" t="n">
        <v>16.6</v>
      </c>
      <c r="K238" s="1" t="n">
        <v>83.4</v>
      </c>
      <c r="L238" s="1" t="n">
        <v>46.5</v>
      </c>
      <c r="M238" s="1" t="n">
        <v>70.1</v>
      </c>
      <c r="N238" s="1" t="n">
        <v>38.6</v>
      </c>
      <c r="O238" s="1" t="n">
        <v>48.4</v>
      </c>
      <c r="P238" s="1" t="n">
        <v>13</v>
      </c>
      <c r="Q238" s="1" t="n">
        <v>59.4</v>
      </c>
      <c r="R238" s="1" t="n">
        <v>60.9</v>
      </c>
      <c r="S238" s="1" t="n">
        <v>32.7</v>
      </c>
      <c r="T238" s="1" t="n">
        <v>67.3</v>
      </c>
      <c r="U238" s="1" t="n">
        <v>73.7</v>
      </c>
      <c r="V238" s="1" t="n">
        <v>36.5</v>
      </c>
      <c r="W238" s="1" t="n">
        <v>63.5</v>
      </c>
      <c r="Z238" s="1" t="s">
        <v>54</v>
      </c>
    </row>
    <row r="239" customFormat="false" ht="16.15" hidden="true" customHeight="false" outlineLevel="0" collapsed="false">
      <c r="B239" s="1" t="s">
        <v>557</v>
      </c>
      <c r="C239" s="1" t="s">
        <v>231</v>
      </c>
      <c r="D239" s="13" t="n">
        <v>0.625</v>
      </c>
      <c r="E239" s="14" t="s">
        <v>582</v>
      </c>
      <c r="F239" s="14" t="s">
        <v>583</v>
      </c>
      <c r="H239" s="1" t="n">
        <v>49.6</v>
      </c>
      <c r="I239" s="1" t="n">
        <v>34.3</v>
      </c>
      <c r="J239" s="1" t="n">
        <v>16.2</v>
      </c>
      <c r="K239" s="1" t="n">
        <v>83.8</v>
      </c>
      <c r="L239" s="1" t="n">
        <v>50.4</v>
      </c>
      <c r="M239" s="1" t="n">
        <v>65.7</v>
      </c>
      <c r="N239" s="1" t="n">
        <v>32.4</v>
      </c>
      <c r="O239" s="1" t="n">
        <v>57.8</v>
      </c>
      <c r="P239" s="1" t="n">
        <v>9.8</v>
      </c>
      <c r="Q239" s="1" t="n">
        <v>46.8</v>
      </c>
      <c r="R239" s="1" t="n">
        <v>49.4</v>
      </c>
      <c r="S239" s="1" t="n">
        <v>22.3</v>
      </c>
      <c r="T239" s="1" t="n">
        <v>77.7</v>
      </c>
      <c r="U239" s="1" t="n">
        <v>82.7</v>
      </c>
      <c r="V239" s="1" t="n">
        <v>27.9</v>
      </c>
      <c r="W239" s="1" t="n">
        <v>72.1</v>
      </c>
      <c r="Z239" s="1" t="s">
        <v>54</v>
      </c>
    </row>
    <row r="240" customFormat="false" ht="16.15" hidden="true" customHeight="false" outlineLevel="0" collapsed="false">
      <c r="B240" s="1" t="s">
        <v>181</v>
      </c>
      <c r="C240" s="1" t="s">
        <v>231</v>
      </c>
      <c r="D240" s="13" t="n">
        <v>0.625</v>
      </c>
      <c r="E240" s="14" t="s">
        <v>584</v>
      </c>
      <c r="F240" s="14" t="s">
        <v>585</v>
      </c>
      <c r="H240" s="1" t="n">
        <v>45.6</v>
      </c>
      <c r="I240" s="1" t="n">
        <v>29.9</v>
      </c>
      <c r="J240" s="1" t="n">
        <v>24.5</v>
      </c>
      <c r="K240" s="1" t="n">
        <v>75.5</v>
      </c>
      <c r="L240" s="1" t="n">
        <v>54.4</v>
      </c>
      <c r="M240" s="1" t="n">
        <v>70.1</v>
      </c>
      <c r="N240" s="1" t="n">
        <v>28.2</v>
      </c>
      <c r="O240" s="1" t="n">
        <v>46.5</v>
      </c>
      <c r="P240" s="1" t="n">
        <v>25.3</v>
      </c>
      <c r="Q240" s="1" t="n">
        <v>65.2</v>
      </c>
      <c r="R240" s="1" t="n">
        <v>68.3</v>
      </c>
      <c r="S240" s="1" t="n">
        <v>40.5</v>
      </c>
      <c r="T240" s="1" t="n">
        <v>59.5</v>
      </c>
      <c r="U240" s="1" t="n">
        <v>65.2</v>
      </c>
      <c r="V240" s="1" t="n">
        <v>46.6</v>
      </c>
      <c r="W240" s="1" t="n">
        <v>53.4</v>
      </c>
      <c r="Z240" s="1" t="s">
        <v>54</v>
      </c>
    </row>
    <row r="241" customFormat="false" ht="16.15" hidden="true" customHeight="false" outlineLevel="0" collapsed="false">
      <c r="B241" s="1" t="s">
        <v>181</v>
      </c>
      <c r="C241" s="1" t="s">
        <v>231</v>
      </c>
      <c r="D241" s="13" t="n">
        <v>0.625</v>
      </c>
      <c r="E241" s="14" t="s">
        <v>586</v>
      </c>
      <c r="F241" s="14" t="s">
        <v>587</v>
      </c>
      <c r="H241" s="1" t="n">
        <v>30.8</v>
      </c>
      <c r="I241" s="1" t="n">
        <v>33</v>
      </c>
      <c r="J241" s="1" t="n">
        <v>36.2</v>
      </c>
      <c r="K241" s="1" t="n">
        <v>63.8</v>
      </c>
      <c r="L241" s="1" t="n">
        <v>69.2</v>
      </c>
      <c r="M241" s="1" t="n">
        <v>67</v>
      </c>
      <c r="N241" s="1" t="n">
        <v>23.5</v>
      </c>
      <c r="O241" s="1" t="n">
        <v>50</v>
      </c>
      <c r="P241" s="1" t="n">
        <v>26.5</v>
      </c>
      <c r="Q241" s="1" t="n">
        <v>60</v>
      </c>
      <c r="R241" s="1" t="n">
        <v>63.1</v>
      </c>
      <c r="S241" s="1" t="n">
        <v>34.7</v>
      </c>
      <c r="T241" s="1" t="n">
        <v>65.3</v>
      </c>
      <c r="U241" s="1" t="n">
        <v>70</v>
      </c>
      <c r="V241" s="1" t="n">
        <v>43.3</v>
      </c>
      <c r="W241" s="1" t="n">
        <v>56.7</v>
      </c>
      <c r="Z241" s="1" t="s">
        <v>54</v>
      </c>
    </row>
    <row r="242" customFormat="false" ht="16.15" hidden="true" customHeight="false" outlineLevel="0" collapsed="false">
      <c r="B242" s="1" t="s">
        <v>167</v>
      </c>
      <c r="C242" s="1" t="s">
        <v>231</v>
      </c>
      <c r="D242" s="13" t="n">
        <v>0.625</v>
      </c>
      <c r="E242" s="14" t="s">
        <v>588</v>
      </c>
      <c r="F242" s="14" t="s">
        <v>589</v>
      </c>
      <c r="H242" s="1" t="n">
        <v>53</v>
      </c>
      <c r="I242" s="1" t="n">
        <v>25.2</v>
      </c>
      <c r="J242" s="1" t="n">
        <v>21.7</v>
      </c>
      <c r="K242" s="1" t="n">
        <v>78.3</v>
      </c>
      <c r="L242" s="1" t="n">
        <v>47</v>
      </c>
      <c r="M242" s="1" t="n">
        <v>74.8</v>
      </c>
      <c r="N242" s="1" t="n">
        <v>45</v>
      </c>
      <c r="O242" s="1" t="n">
        <v>39.3</v>
      </c>
      <c r="P242" s="1" t="n">
        <v>15.6</v>
      </c>
      <c r="Q242" s="1" t="n">
        <v>72.6</v>
      </c>
      <c r="R242" s="1" t="n">
        <v>82.4</v>
      </c>
      <c r="S242" s="1" t="n">
        <v>59.6</v>
      </c>
      <c r="T242" s="1" t="n">
        <v>40.4</v>
      </c>
      <c r="U242" s="1" t="n">
        <v>47.1</v>
      </c>
      <c r="V242" s="1" t="n">
        <v>60</v>
      </c>
      <c r="W242" s="1" t="n">
        <v>40</v>
      </c>
      <c r="Z242" s="1" t="s">
        <v>133</v>
      </c>
      <c r="AB242" s="1" t="n">
        <v>57</v>
      </c>
      <c r="AE242" s="1" t="n">
        <v>58</v>
      </c>
    </row>
    <row r="243" customFormat="false" ht="16.15" hidden="true" customHeight="false" outlineLevel="0" collapsed="false">
      <c r="B243" s="1" t="s">
        <v>219</v>
      </c>
      <c r="C243" s="1" t="s">
        <v>231</v>
      </c>
      <c r="D243" s="13" t="n">
        <v>0.625</v>
      </c>
      <c r="E243" s="14" t="s">
        <v>590</v>
      </c>
      <c r="F243" s="14" t="s">
        <v>591</v>
      </c>
      <c r="H243" s="1" t="n">
        <v>53.7</v>
      </c>
      <c r="I243" s="1" t="n">
        <v>26.4</v>
      </c>
      <c r="J243" s="1" t="n">
        <v>19.9</v>
      </c>
      <c r="K243" s="1" t="n">
        <v>80.1</v>
      </c>
      <c r="L243" s="1" t="n">
        <v>46.3</v>
      </c>
      <c r="M243" s="1" t="n">
        <v>73.6</v>
      </c>
      <c r="N243" s="1" t="n">
        <v>17.2</v>
      </c>
      <c r="O243" s="1" t="n">
        <v>50.5</v>
      </c>
      <c r="P243" s="1" t="n">
        <v>32.2</v>
      </c>
      <c r="Q243" s="1" t="n">
        <v>58.5</v>
      </c>
      <c r="R243" s="1" t="n">
        <v>75.8</v>
      </c>
      <c r="S243" s="1" t="n">
        <v>50</v>
      </c>
      <c r="T243" s="1" t="n">
        <v>50</v>
      </c>
      <c r="U243" s="1" t="n">
        <v>56.9</v>
      </c>
      <c r="V243" s="1" t="n">
        <v>51.8</v>
      </c>
      <c r="W243" s="1" t="n">
        <v>48.2</v>
      </c>
      <c r="Z243" s="1" t="s">
        <v>54</v>
      </c>
    </row>
    <row r="244" customFormat="false" ht="16.15" hidden="true" customHeight="false" outlineLevel="0" collapsed="false">
      <c r="B244" s="1" t="s">
        <v>161</v>
      </c>
      <c r="C244" s="1" t="s">
        <v>231</v>
      </c>
      <c r="D244" s="13" t="n">
        <v>0.625</v>
      </c>
      <c r="E244" s="14" t="s">
        <v>592</v>
      </c>
      <c r="F244" s="14" t="s">
        <v>593</v>
      </c>
      <c r="H244" s="1" t="n">
        <v>51.5</v>
      </c>
      <c r="I244" s="1" t="n">
        <v>25.5</v>
      </c>
      <c r="J244" s="1" t="n">
        <v>23</v>
      </c>
      <c r="K244" s="1" t="n">
        <v>77</v>
      </c>
      <c r="L244" s="1" t="n">
        <v>48.5</v>
      </c>
      <c r="M244" s="1" t="n">
        <v>74.5</v>
      </c>
      <c r="N244" s="1" t="n">
        <v>43.7</v>
      </c>
      <c r="O244" s="1" t="n">
        <v>39.1</v>
      </c>
      <c r="P244" s="1" t="n">
        <v>17.1</v>
      </c>
      <c r="Q244" s="1" t="n">
        <v>73.5</v>
      </c>
      <c r="R244" s="1" t="n">
        <v>82.4</v>
      </c>
      <c r="S244" s="1" t="n">
        <v>59.6</v>
      </c>
      <c r="T244" s="1" t="n">
        <v>40.4</v>
      </c>
      <c r="U244" s="1" t="n">
        <v>46.8</v>
      </c>
      <c r="V244" s="1" t="n">
        <v>60.6</v>
      </c>
      <c r="W244" s="1" t="n">
        <v>39.4</v>
      </c>
      <c r="Z244" s="1" t="s">
        <v>54</v>
      </c>
    </row>
    <row r="245" customFormat="false" ht="16.15" hidden="true" customHeight="false" outlineLevel="0" collapsed="false">
      <c r="B245" s="1" t="s">
        <v>476</v>
      </c>
      <c r="C245" s="1" t="s">
        <v>231</v>
      </c>
      <c r="D245" s="13" t="n">
        <v>0.625</v>
      </c>
      <c r="E245" s="14" t="s">
        <v>594</v>
      </c>
      <c r="F245" s="14" t="s">
        <v>595</v>
      </c>
      <c r="H245" s="1" t="n">
        <v>31.1</v>
      </c>
      <c r="I245" s="1" t="n">
        <v>25.5</v>
      </c>
      <c r="J245" s="1" t="n">
        <v>43.4</v>
      </c>
      <c r="K245" s="1" t="n">
        <v>56.6</v>
      </c>
      <c r="L245" s="1" t="n">
        <v>68.9</v>
      </c>
      <c r="M245" s="1" t="n">
        <v>74.5</v>
      </c>
      <c r="N245" s="1" t="n">
        <v>18.5</v>
      </c>
      <c r="O245" s="1" t="n">
        <v>36.2</v>
      </c>
      <c r="P245" s="1" t="n">
        <v>45.3</v>
      </c>
      <c r="Q245" s="1" t="n">
        <v>79.1</v>
      </c>
      <c r="R245" s="1" t="n">
        <v>90</v>
      </c>
      <c r="S245" s="1" t="n">
        <v>73</v>
      </c>
      <c r="T245" s="1" t="n">
        <v>27</v>
      </c>
      <c r="U245" s="1" t="n">
        <v>32.2</v>
      </c>
      <c r="V245" s="1" t="n">
        <v>73.1</v>
      </c>
      <c r="W245" s="1" t="n">
        <v>26.9</v>
      </c>
      <c r="Z245" s="1" t="s">
        <v>54</v>
      </c>
    </row>
    <row r="246" customFormat="false" ht="16.15" hidden="true" customHeight="false" outlineLevel="0" collapsed="false">
      <c r="B246" s="1" t="s">
        <v>122</v>
      </c>
      <c r="C246" s="1" t="s">
        <v>231</v>
      </c>
      <c r="D246" s="13" t="n">
        <v>0.635416666666667</v>
      </c>
      <c r="E246" s="14" t="s">
        <v>596</v>
      </c>
      <c r="F246" s="14" t="s">
        <v>597</v>
      </c>
      <c r="H246" s="1" t="n">
        <v>43</v>
      </c>
      <c r="I246" s="1" t="n">
        <v>27.1</v>
      </c>
      <c r="J246" s="1" t="n">
        <v>29.9</v>
      </c>
      <c r="K246" s="1" t="n">
        <v>70.1</v>
      </c>
      <c r="L246" s="1" t="n">
        <v>57</v>
      </c>
      <c r="M246" s="1" t="n">
        <v>72.9</v>
      </c>
      <c r="N246" s="1" t="n">
        <v>25.3</v>
      </c>
      <c r="O246" s="1" t="n">
        <v>46.6</v>
      </c>
      <c r="P246" s="1" t="n">
        <v>28.1</v>
      </c>
      <c r="Q246" s="1" t="n">
        <v>65</v>
      </c>
      <c r="R246" s="1" t="n">
        <v>80.5</v>
      </c>
      <c r="S246" s="1" t="n">
        <v>56.6</v>
      </c>
      <c r="T246" s="1" t="n">
        <v>43.4</v>
      </c>
      <c r="U246" s="1" t="n">
        <v>49.2</v>
      </c>
      <c r="V246" s="1" t="n">
        <v>60.3</v>
      </c>
      <c r="W246" s="1" t="n">
        <v>39.7</v>
      </c>
      <c r="Z246" s="1" t="s">
        <v>133</v>
      </c>
    </row>
    <row r="247" customFormat="false" ht="16.15" hidden="true" customHeight="false" outlineLevel="0" collapsed="false">
      <c r="B247" s="1" t="s">
        <v>209</v>
      </c>
      <c r="C247" s="1" t="s">
        <v>231</v>
      </c>
      <c r="D247" s="13" t="n">
        <v>0.645833333333333</v>
      </c>
      <c r="E247" s="14" t="s">
        <v>598</v>
      </c>
      <c r="F247" s="14" t="s">
        <v>599</v>
      </c>
      <c r="H247" s="1" t="n">
        <v>46.1</v>
      </c>
      <c r="I247" s="1" t="n">
        <v>33.6</v>
      </c>
      <c r="J247" s="1" t="n">
        <v>20.4</v>
      </c>
      <c r="K247" s="1" t="n">
        <v>79.6</v>
      </c>
      <c r="L247" s="1" t="n">
        <v>53.9</v>
      </c>
      <c r="M247" s="1" t="n">
        <v>66.4</v>
      </c>
      <c r="N247" s="1" t="n">
        <v>39.3</v>
      </c>
      <c r="O247" s="1" t="n">
        <v>50.7</v>
      </c>
      <c r="P247" s="1" t="n">
        <v>9.9</v>
      </c>
      <c r="Q247" s="1" t="n">
        <v>55.3</v>
      </c>
      <c r="R247" s="1" t="n">
        <v>54.9</v>
      </c>
      <c r="S247" s="1" t="n">
        <v>26.9</v>
      </c>
      <c r="T247" s="1" t="n">
        <v>73.1</v>
      </c>
      <c r="U247" s="1" t="n">
        <v>78</v>
      </c>
      <c r="V247" s="1" t="n">
        <v>34.1</v>
      </c>
      <c r="W247" s="1" t="n">
        <v>65.9</v>
      </c>
      <c r="Z247" s="1" t="s">
        <v>317</v>
      </c>
      <c r="AF247" s="1" t="n">
        <v>61</v>
      </c>
    </row>
    <row r="248" customFormat="false" ht="16.15" hidden="true" customHeight="false" outlineLevel="0" collapsed="false">
      <c r="B248" s="1" t="s">
        <v>600</v>
      </c>
      <c r="C248" s="1" t="s">
        <v>231</v>
      </c>
      <c r="D248" s="13" t="n">
        <v>0.645833333333333</v>
      </c>
      <c r="E248" s="14" t="s">
        <v>601</v>
      </c>
      <c r="F248" s="14" t="s">
        <v>602</v>
      </c>
      <c r="H248" s="1" t="n">
        <v>36</v>
      </c>
      <c r="I248" s="1" t="n">
        <v>26.5</v>
      </c>
      <c r="J248" s="1" t="n">
        <v>37.6</v>
      </c>
      <c r="K248" s="1" t="n">
        <v>62.4</v>
      </c>
      <c r="L248" s="1" t="n">
        <v>64</v>
      </c>
      <c r="M248" s="1" t="n">
        <v>73.5</v>
      </c>
      <c r="N248" s="1" t="n">
        <v>14.3</v>
      </c>
      <c r="O248" s="1" t="n">
        <v>39.8</v>
      </c>
      <c r="P248" s="1" t="n">
        <v>46</v>
      </c>
      <c r="Q248" s="1" t="n">
        <v>72.3</v>
      </c>
      <c r="R248" s="1" t="n">
        <v>85.1</v>
      </c>
      <c r="S248" s="1" t="n">
        <v>63.9</v>
      </c>
      <c r="T248" s="1" t="n">
        <v>36.1</v>
      </c>
      <c r="U248" s="1" t="n">
        <v>41.6</v>
      </c>
      <c r="V248" s="1" t="n">
        <v>66.5</v>
      </c>
      <c r="W248" s="1" t="n">
        <v>33.5</v>
      </c>
      <c r="Z248" s="1" t="s">
        <v>54</v>
      </c>
    </row>
    <row r="249" customFormat="false" ht="16.15" hidden="true" customHeight="false" outlineLevel="0" collapsed="false">
      <c r="B249" s="1" t="s">
        <v>67</v>
      </c>
      <c r="C249" s="1" t="s">
        <v>231</v>
      </c>
      <c r="D249" s="13" t="n">
        <v>0.645833333333333</v>
      </c>
      <c r="E249" s="14" t="s">
        <v>603</v>
      </c>
      <c r="F249" s="14" t="s">
        <v>604</v>
      </c>
      <c r="H249" s="1" t="n">
        <v>30.4</v>
      </c>
      <c r="I249" s="1" t="n">
        <v>33.3</v>
      </c>
      <c r="J249" s="1" t="n">
        <v>36.3</v>
      </c>
      <c r="K249" s="1" t="n">
        <v>63.7</v>
      </c>
      <c r="L249" s="1" t="n">
        <v>69.6</v>
      </c>
      <c r="M249" s="1" t="n">
        <v>66.7</v>
      </c>
      <c r="N249" s="1" t="n">
        <v>14.7</v>
      </c>
      <c r="O249" s="1" t="n">
        <v>58.1</v>
      </c>
      <c r="P249" s="1" t="n">
        <v>27.2</v>
      </c>
      <c r="Q249" s="1" t="n">
        <v>48</v>
      </c>
      <c r="R249" s="1" t="n">
        <v>62.1</v>
      </c>
      <c r="S249" s="1" t="n">
        <v>33.7</v>
      </c>
      <c r="T249" s="1" t="n">
        <v>66.3</v>
      </c>
      <c r="U249" s="1" t="n">
        <v>70.9</v>
      </c>
      <c r="V249" s="1" t="n">
        <v>42.4</v>
      </c>
      <c r="W249" s="1" t="n">
        <v>57.6</v>
      </c>
      <c r="Z249" s="1" t="s">
        <v>54</v>
      </c>
    </row>
    <row r="250" customFormat="false" ht="16.15" hidden="true" customHeight="false" outlineLevel="0" collapsed="false">
      <c r="B250" s="1" t="s">
        <v>209</v>
      </c>
      <c r="C250" s="1" t="s">
        <v>231</v>
      </c>
      <c r="D250" s="13" t="n">
        <v>0.666666666666667</v>
      </c>
      <c r="E250" s="14" t="s">
        <v>605</v>
      </c>
      <c r="F250" s="14" t="s">
        <v>606</v>
      </c>
      <c r="H250" s="1" t="n">
        <v>27.1</v>
      </c>
      <c r="I250" s="1" t="n">
        <v>40.7</v>
      </c>
      <c r="J250" s="1" t="n">
        <v>32.2</v>
      </c>
      <c r="K250" s="1" t="n">
        <v>67.8</v>
      </c>
      <c r="L250" s="1" t="n">
        <v>72.9</v>
      </c>
      <c r="M250" s="1" t="n">
        <v>59.3</v>
      </c>
      <c r="N250" s="1" t="n">
        <v>19.4</v>
      </c>
      <c r="O250" s="1" t="n">
        <v>58.1</v>
      </c>
      <c r="P250" s="1" t="n">
        <v>22.5</v>
      </c>
      <c r="Q250" s="1" t="n">
        <v>48.5</v>
      </c>
      <c r="R250" s="1" t="n">
        <v>42.4</v>
      </c>
      <c r="S250" s="1" t="n">
        <v>16.9</v>
      </c>
      <c r="T250" s="1" t="n">
        <v>83.1</v>
      </c>
      <c r="U250" s="1" t="n">
        <v>86</v>
      </c>
      <c r="V250" s="1" t="n">
        <v>26.7</v>
      </c>
      <c r="W250" s="1" t="n">
        <v>73.3</v>
      </c>
      <c r="Z250" s="1" t="s">
        <v>317</v>
      </c>
      <c r="AF250" s="1" t="n">
        <v>65</v>
      </c>
    </row>
    <row r="251" customFormat="false" ht="16.4" hidden="true" customHeight="false" outlineLevel="0" collapsed="false">
      <c r="B251" s="1" t="s">
        <v>209</v>
      </c>
      <c r="C251" s="1" t="s">
        <v>231</v>
      </c>
      <c r="D251" s="13" t="n">
        <v>0.666666666666667</v>
      </c>
      <c r="E251" s="14" t="s">
        <v>607</v>
      </c>
      <c r="F251" s="14" t="s">
        <v>608</v>
      </c>
      <c r="H251" s="1" t="n">
        <v>40.9</v>
      </c>
      <c r="I251" s="1" t="n">
        <v>35.6</v>
      </c>
      <c r="J251" s="1" t="n">
        <v>23.4</v>
      </c>
      <c r="K251" s="1" t="n">
        <v>76.6</v>
      </c>
      <c r="L251" s="1" t="n">
        <v>59.1</v>
      </c>
      <c r="M251" s="1" t="n">
        <v>64.4</v>
      </c>
      <c r="N251" s="1" t="n">
        <v>30.3</v>
      </c>
      <c r="O251" s="1" t="n">
        <v>52.9</v>
      </c>
      <c r="P251" s="1" t="n">
        <v>16.8</v>
      </c>
      <c r="Q251" s="1" t="n">
        <v>54.9</v>
      </c>
      <c r="R251" s="1" t="n">
        <v>51.8</v>
      </c>
      <c r="S251" s="1" t="n">
        <v>24.2</v>
      </c>
      <c r="T251" s="1" t="n">
        <v>75.8</v>
      </c>
      <c r="U251" s="1" t="n">
        <v>80</v>
      </c>
      <c r="V251" s="1" t="n">
        <v>32.9</v>
      </c>
      <c r="W251" s="1" t="n">
        <v>67.1</v>
      </c>
      <c r="Z251" s="1" t="s">
        <v>317</v>
      </c>
      <c r="AF251" s="1" t="n">
        <v>65</v>
      </c>
    </row>
    <row r="252" customFormat="false" ht="16.4" hidden="true" customHeight="false" outlineLevel="0" collapsed="false">
      <c r="B252" s="1" t="s">
        <v>519</v>
      </c>
      <c r="C252" s="1" t="s">
        <v>231</v>
      </c>
      <c r="D252" s="13" t="n">
        <v>0.666666666666667</v>
      </c>
      <c r="E252" s="14" t="s">
        <v>609</v>
      </c>
      <c r="F252" s="14" t="s">
        <v>610</v>
      </c>
      <c r="H252" s="1" t="n">
        <v>52</v>
      </c>
      <c r="I252" s="1" t="n">
        <v>25.1</v>
      </c>
      <c r="J252" s="1" t="n">
        <v>22.9</v>
      </c>
      <c r="K252" s="1" t="n">
        <v>77.1</v>
      </c>
      <c r="L252" s="1" t="n">
        <v>48</v>
      </c>
      <c r="M252" s="1" t="n">
        <v>74.9</v>
      </c>
      <c r="N252" s="1" t="n">
        <v>44.7</v>
      </c>
      <c r="O252" s="1" t="n">
        <v>36</v>
      </c>
      <c r="P252" s="1" t="n">
        <v>19.3</v>
      </c>
      <c r="Q252" s="1" t="n">
        <v>78.9</v>
      </c>
      <c r="R252" s="1" t="n">
        <v>84.1</v>
      </c>
      <c r="S252" s="1" t="n">
        <v>62.3</v>
      </c>
      <c r="T252" s="1" t="n">
        <v>37.7</v>
      </c>
      <c r="U252" s="1" t="n">
        <v>44.1</v>
      </c>
      <c r="V252" s="1" t="n">
        <v>62.7</v>
      </c>
      <c r="W252" s="1" t="n">
        <v>37.3</v>
      </c>
      <c r="Z252" s="1" t="s">
        <v>19</v>
      </c>
    </row>
    <row r="253" customFormat="false" ht="16.4" hidden="true" customHeight="false" outlineLevel="0" collapsed="false">
      <c r="B253" s="1" t="s">
        <v>164</v>
      </c>
      <c r="C253" s="1" t="s">
        <v>231</v>
      </c>
      <c r="D253" s="13" t="n">
        <v>0.666666666666667</v>
      </c>
      <c r="E253" s="14" t="s">
        <v>611</v>
      </c>
      <c r="F253" s="14" t="s">
        <v>612</v>
      </c>
      <c r="H253" s="1" t="n">
        <v>37.2</v>
      </c>
      <c r="I253" s="1" t="n">
        <v>32</v>
      </c>
      <c r="J253" s="1" t="n">
        <v>30.9</v>
      </c>
      <c r="K253" s="1" t="n">
        <v>69.1</v>
      </c>
      <c r="L253" s="1" t="n">
        <v>62.8</v>
      </c>
      <c r="M253" s="1" t="n">
        <v>68</v>
      </c>
      <c r="N253" s="1" t="n">
        <v>23.8</v>
      </c>
      <c r="O253" s="1" t="n">
        <v>48.8</v>
      </c>
      <c r="P253" s="1" t="n">
        <v>27.4</v>
      </c>
      <c r="Q253" s="1" t="n">
        <v>61.7</v>
      </c>
      <c r="R253" s="1" t="n">
        <v>65.3</v>
      </c>
      <c r="S253" s="1" t="n">
        <v>37.1</v>
      </c>
      <c r="T253" s="1" t="n">
        <v>62.9</v>
      </c>
      <c r="U253" s="1" t="n">
        <v>67.8</v>
      </c>
      <c r="V253" s="1" t="n">
        <v>45.2</v>
      </c>
      <c r="W253" s="1" t="n">
        <v>54.8</v>
      </c>
      <c r="Z253" s="1" t="s">
        <v>36</v>
      </c>
      <c r="AC253" s="1" t="n">
        <v>61</v>
      </c>
      <c r="AF253" s="1" t="n">
        <v>51</v>
      </c>
    </row>
    <row r="254" customFormat="false" ht="16.4" hidden="true" customHeight="false" outlineLevel="0" collapsed="false">
      <c r="B254" s="1" t="s">
        <v>151</v>
      </c>
      <c r="C254" s="1" t="s">
        <v>231</v>
      </c>
      <c r="D254" s="13" t="n">
        <v>0.666666666666667</v>
      </c>
      <c r="E254" s="14" t="s">
        <v>613</v>
      </c>
      <c r="F254" s="14" t="s">
        <v>614</v>
      </c>
      <c r="H254" s="1" t="n">
        <v>53.4</v>
      </c>
      <c r="I254" s="1" t="n">
        <v>27.5</v>
      </c>
      <c r="J254" s="1" t="n">
        <v>19.1</v>
      </c>
      <c r="K254" s="1" t="n">
        <v>80.9</v>
      </c>
      <c r="L254" s="1" t="n">
        <v>46.6</v>
      </c>
      <c r="M254" s="1" t="n">
        <v>72.5</v>
      </c>
      <c r="N254" s="1" t="n">
        <v>32.7</v>
      </c>
      <c r="O254" s="1" t="n">
        <v>48.5</v>
      </c>
      <c r="P254" s="1" t="n">
        <v>18.8</v>
      </c>
      <c r="Q254" s="1" t="n">
        <v>61.3</v>
      </c>
      <c r="R254" s="1" t="n">
        <v>71.1</v>
      </c>
      <c r="S254" s="1" t="n">
        <v>44</v>
      </c>
      <c r="T254" s="1" t="n">
        <v>56</v>
      </c>
      <c r="U254" s="1" t="n">
        <v>62.8</v>
      </c>
      <c r="V254" s="1" t="n">
        <v>46.8</v>
      </c>
      <c r="W254" s="1" t="n">
        <v>53.2</v>
      </c>
      <c r="Z254" s="1" t="s">
        <v>54</v>
      </c>
    </row>
    <row r="255" customFormat="false" ht="16.15" hidden="true" customHeight="false" outlineLevel="0" collapsed="false">
      <c r="B255" s="1" t="s">
        <v>514</v>
      </c>
      <c r="C255" s="1" t="s">
        <v>231</v>
      </c>
      <c r="D255" s="13" t="n">
        <v>0.666666666666667</v>
      </c>
      <c r="E255" s="14" t="s">
        <v>615</v>
      </c>
      <c r="F255" s="14" t="s">
        <v>616</v>
      </c>
      <c r="H255" s="1" t="n">
        <v>47.9</v>
      </c>
      <c r="I255" s="1" t="n">
        <v>28</v>
      </c>
      <c r="J255" s="1" t="n">
        <v>24.1</v>
      </c>
      <c r="K255" s="1" t="n">
        <v>75.9</v>
      </c>
      <c r="L255" s="1" t="n">
        <v>52.1</v>
      </c>
      <c r="M255" s="1" t="n">
        <v>72</v>
      </c>
      <c r="N255" s="1" t="n">
        <v>54.2</v>
      </c>
      <c r="O255" s="1" t="n">
        <v>36.3</v>
      </c>
      <c r="P255" s="1" t="n">
        <v>9.4</v>
      </c>
      <c r="Q255" s="1" t="n">
        <v>72.6</v>
      </c>
      <c r="R255" s="1" t="n">
        <v>74.1</v>
      </c>
      <c r="S255" s="1" t="n">
        <v>47.7</v>
      </c>
      <c r="T255" s="1" t="n">
        <v>52.3</v>
      </c>
      <c r="U255" s="1" t="n">
        <v>58.4</v>
      </c>
      <c r="V255" s="1" t="n">
        <v>52</v>
      </c>
      <c r="W255" s="1" t="n">
        <v>48</v>
      </c>
      <c r="Z255" s="1" t="s">
        <v>36</v>
      </c>
      <c r="AC255" s="1" t="n">
        <v>46</v>
      </c>
      <c r="AF255" s="1" t="n">
        <v>45</v>
      </c>
    </row>
    <row r="256" customFormat="false" ht="16.4" hidden="true" customHeight="false" outlineLevel="0" collapsed="false">
      <c r="B256" s="1" t="s">
        <v>514</v>
      </c>
      <c r="C256" s="1" t="s">
        <v>231</v>
      </c>
      <c r="D256" s="13" t="n">
        <v>0.666666666666667</v>
      </c>
      <c r="E256" s="14" t="s">
        <v>617</v>
      </c>
      <c r="F256" s="14" t="s">
        <v>618</v>
      </c>
      <c r="H256" s="1" t="n">
        <v>49.8</v>
      </c>
      <c r="I256" s="1" t="n">
        <v>29.6</v>
      </c>
      <c r="J256" s="1" t="n">
        <v>20.6</v>
      </c>
      <c r="K256" s="1" t="n">
        <v>79.4</v>
      </c>
      <c r="L256" s="1" t="n">
        <v>50.2</v>
      </c>
      <c r="M256" s="1" t="n">
        <v>70.4</v>
      </c>
      <c r="N256" s="1" t="n">
        <v>37.9</v>
      </c>
      <c r="O256" s="1" t="n">
        <v>45.6</v>
      </c>
      <c r="P256" s="1" t="n">
        <v>16.5</v>
      </c>
      <c r="Q256" s="1" t="n">
        <v>64.5</v>
      </c>
      <c r="R256" s="1" t="n">
        <v>66</v>
      </c>
      <c r="S256" s="1" t="n">
        <v>37.9</v>
      </c>
      <c r="T256" s="1" t="n">
        <v>62.1</v>
      </c>
      <c r="U256" s="1" t="n">
        <v>68.1</v>
      </c>
      <c r="V256" s="1" t="n">
        <v>43</v>
      </c>
      <c r="W256" s="1" t="n">
        <v>57</v>
      </c>
      <c r="Z256" s="1" t="s">
        <v>36</v>
      </c>
      <c r="AC256" s="1" t="n">
        <v>49</v>
      </c>
      <c r="AF256" s="1" t="n">
        <v>51</v>
      </c>
    </row>
    <row r="257" customFormat="false" ht="16.15" hidden="true" customHeight="false" outlineLevel="0" collapsed="false">
      <c r="B257" s="1" t="s">
        <v>514</v>
      </c>
      <c r="C257" s="1" t="s">
        <v>231</v>
      </c>
      <c r="D257" s="13" t="n">
        <v>0.666666666666667</v>
      </c>
      <c r="E257" s="14" t="s">
        <v>619</v>
      </c>
      <c r="F257" s="14" t="s">
        <v>620</v>
      </c>
      <c r="H257" s="1" t="n">
        <v>18.9</v>
      </c>
      <c r="I257" s="1" t="n">
        <v>34.1</v>
      </c>
      <c r="J257" s="1" t="n">
        <v>47</v>
      </c>
      <c r="K257" s="1" t="n">
        <v>53</v>
      </c>
      <c r="L257" s="1" t="n">
        <v>81.1</v>
      </c>
      <c r="M257" s="1" t="n">
        <v>65.9</v>
      </c>
      <c r="N257" s="1" t="n">
        <v>15.1</v>
      </c>
      <c r="O257" s="1" t="n">
        <v>40.7</v>
      </c>
      <c r="P257" s="1" t="n">
        <v>44.3</v>
      </c>
      <c r="Q257" s="1" t="n">
        <v>71.4</v>
      </c>
      <c r="R257" s="1" t="n">
        <v>56.9</v>
      </c>
      <c r="S257" s="1" t="n">
        <v>28.7</v>
      </c>
      <c r="T257" s="1" t="n">
        <v>71.3</v>
      </c>
      <c r="U257" s="1" t="n">
        <v>76.6</v>
      </c>
      <c r="V257" s="1" t="n">
        <v>35.1</v>
      </c>
      <c r="W257" s="1" t="n">
        <v>64.9</v>
      </c>
      <c r="Z257" s="1" t="s">
        <v>36</v>
      </c>
      <c r="AC257" s="1" t="n">
        <v>54</v>
      </c>
      <c r="AF257" s="1" t="n">
        <v>48</v>
      </c>
    </row>
    <row r="258" customFormat="false" ht="16.4" hidden="true" customHeight="false" outlineLevel="0" collapsed="false">
      <c r="B258" s="1" t="s">
        <v>172</v>
      </c>
      <c r="C258" s="1" t="s">
        <v>231</v>
      </c>
      <c r="D258" s="13" t="n">
        <v>0.708333333333333</v>
      </c>
      <c r="E258" s="14" t="s">
        <v>621</v>
      </c>
      <c r="F258" s="14" t="s">
        <v>622</v>
      </c>
      <c r="H258" s="1" t="n">
        <v>47.3</v>
      </c>
      <c r="I258" s="1" t="n">
        <v>29.3</v>
      </c>
      <c r="J258" s="1" t="n">
        <v>23.4</v>
      </c>
      <c r="K258" s="1" t="n">
        <v>76.6</v>
      </c>
      <c r="L258" s="1" t="n">
        <v>52.7</v>
      </c>
      <c r="M258" s="1" t="n">
        <v>70.7</v>
      </c>
      <c r="N258" s="1" t="n">
        <v>29.4</v>
      </c>
      <c r="O258" s="1" t="n">
        <v>45.6</v>
      </c>
      <c r="P258" s="1" t="n">
        <v>25</v>
      </c>
      <c r="Q258" s="1" t="n">
        <v>66.4</v>
      </c>
      <c r="R258" s="1" t="n">
        <v>69.5</v>
      </c>
      <c r="S258" s="1" t="n">
        <v>41.9</v>
      </c>
      <c r="T258" s="1" t="n">
        <v>58.1</v>
      </c>
      <c r="U258" s="1" t="n">
        <v>63.9</v>
      </c>
      <c r="V258" s="1" t="n">
        <v>47.4</v>
      </c>
      <c r="W258" s="1" t="n">
        <v>52.6</v>
      </c>
      <c r="Z258" s="1" t="s">
        <v>133</v>
      </c>
    </row>
    <row r="259" customFormat="false" ht="16.15" hidden="true" customHeight="false" outlineLevel="0" collapsed="false">
      <c r="B259" s="1" t="s">
        <v>542</v>
      </c>
      <c r="C259" s="1" t="s">
        <v>231</v>
      </c>
      <c r="D259" s="13" t="n">
        <v>0.708333333333333</v>
      </c>
      <c r="E259" s="14" t="s">
        <v>623</v>
      </c>
      <c r="F259" s="14" t="s">
        <v>624</v>
      </c>
      <c r="H259" s="1" t="n">
        <v>47.9</v>
      </c>
      <c r="I259" s="1" t="n">
        <v>29.5</v>
      </c>
      <c r="J259" s="1" t="n">
        <v>22.6</v>
      </c>
      <c r="K259" s="1" t="n">
        <v>77.4</v>
      </c>
      <c r="L259" s="1" t="n">
        <v>52.1</v>
      </c>
      <c r="M259" s="1" t="n">
        <v>70.5</v>
      </c>
      <c r="N259" s="1" t="n">
        <v>41.1</v>
      </c>
      <c r="O259" s="1" t="n">
        <v>43</v>
      </c>
      <c r="P259" s="1" t="n">
        <v>16</v>
      </c>
      <c r="Q259" s="1" t="n">
        <v>67.9</v>
      </c>
      <c r="R259" s="1" t="n">
        <v>68.1</v>
      </c>
      <c r="S259" s="1" t="n">
        <v>40.3</v>
      </c>
      <c r="T259" s="1" t="n">
        <v>59.7</v>
      </c>
      <c r="U259" s="1" t="n">
        <v>65.6</v>
      </c>
      <c r="V259" s="1" t="n">
        <v>45.8</v>
      </c>
      <c r="W259" s="1" t="n">
        <v>54.2</v>
      </c>
      <c r="Z259" s="1" t="s">
        <v>54</v>
      </c>
    </row>
    <row r="260" customFormat="false" ht="16.4" hidden="true" customHeight="false" outlineLevel="0" collapsed="false">
      <c r="B260" s="1" t="s">
        <v>557</v>
      </c>
      <c r="C260" s="1" t="s">
        <v>231</v>
      </c>
      <c r="D260" s="13" t="n">
        <v>0.708333333333333</v>
      </c>
      <c r="E260" s="14" t="s">
        <v>625</v>
      </c>
      <c r="F260" s="14" t="s">
        <v>626</v>
      </c>
      <c r="H260" s="1" t="n">
        <v>33.9</v>
      </c>
      <c r="I260" s="1" t="n">
        <v>36</v>
      </c>
      <c r="J260" s="1" t="n">
        <v>30.2</v>
      </c>
      <c r="K260" s="1" t="n">
        <v>69.8</v>
      </c>
      <c r="L260" s="1" t="n">
        <v>66.1</v>
      </c>
      <c r="M260" s="1" t="n">
        <v>64</v>
      </c>
      <c r="N260" s="1" t="n">
        <v>19.6</v>
      </c>
      <c r="O260" s="1" t="n">
        <v>55.5</v>
      </c>
      <c r="P260" s="1" t="n">
        <v>24.9</v>
      </c>
      <c r="Q260" s="1" t="n">
        <v>52</v>
      </c>
      <c r="R260" s="1" t="n">
        <v>53.8</v>
      </c>
      <c r="S260" s="1" t="n">
        <v>25.8</v>
      </c>
      <c r="T260" s="1" t="n">
        <v>74.2</v>
      </c>
      <c r="U260" s="1" t="n">
        <v>78.1</v>
      </c>
      <c r="V260" s="1" t="n">
        <v>35.5</v>
      </c>
      <c r="W260" s="1" t="n">
        <v>64.5</v>
      </c>
      <c r="Z260" s="1" t="s">
        <v>54</v>
      </c>
    </row>
    <row r="261" customFormat="false" ht="16.4" hidden="true" customHeight="false" outlineLevel="0" collapsed="false">
      <c r="B261" s="1" t="s">
        <v>627</v>
      </c>
      <c r="C261" s="1" t="s">
        <v>231</v>
      </c>
      <c r="D261" s="13" t="n">
        <v>0.708333333333333</v>
      </c>
      <c r="E261" s="14" t="s">
        <v>628</v>
      </c>
      <c r="F261" s="14" t="s">
        <v>629</v>
      </c>
      <c r="H261" s="1" t="n">
        <v>39.1</v>
      </c>
      <c r="I261" s="1" t="n">
        <v>30.1</v>
      </c>
      <c r="J261" s="1" t="n">
        <v>30.7</v>
      </c>
      <c r="K261" s="1" t="n">
        <v>69.3</v>
      </c>
      <c r="L261" s="1" t="n">
        <v>60.9</v>
      </c>
      <c r="M261" s="1" t="n">
        <v>69.9</v>
      </c>
      <c r="N261" s="1" t="n">
        <v>29.4</v>
      </c>
      <c r="O261" s="1" t="n">
        <v>47.4</v>
      </c>
      <c r="P261" s="1" t="n">
        <v>23.3</v>
      </c>
      <c r="Q261" s="1" t="n">
        <v>63.6</v>
      </c>
      <c r="R261" s="1" t="n">
        <v>70.9</v>
      </c>
      <c r="S261" s="1" t="n">
        <v>43.5</v>
      </c>
      <c r="T261" s="1" t="n">
        <v>56.5</v>
      </c>
      <c r="U261" s="1" t="n">
        <v>61.8</v>
      </c>
      <c r="V261" s="1" t="n">
        <v>50.4</v>
      </c>
      <c r="W261" s="1" t="n">
        <v>49.6</v>
      </c>
      <c r="Z261" s="1" t="s">
        <v>133</v>
      </c>
      <c r="AB261" s="1" t="n">
        <v>38</v>
      </c>
      <c r="AE261" s="1" t="n">
        <v>49</v>
      </c>
    </row>
    <row r="262" customFormat="false" ht="16.4" hidden="true" customHeight="false" outlineLevel="0" collapsed="false">
      <c r="B262" s="1" t="s">
        <v>627</v>
      </c>
      <c r="C262" s="1" t="s">
        <v>231</v>
      </c>
      <c r="D262" s="13" t="n">
        <v>0.708333333333333</v>
      </c>
      <c r="E262" s="14" t="s">
        <v>630</v>
      </c>
      <c r="F262" s="14" t="s">
        <v>631</v>
      </c>
      <c r="H262" s="1" t="n">
        <v>32.4</v>
      </c>
      <c r="I262" s="1" t="n">
        <v>34.3</v>
      </c>
      <c r="J262" s="1" t="n">
        <v>33.3</v>
      </c>
      <c r="K262" s="1" t="n">
        <v>66.7</v>
      </c>
      <c r="L262" s="1" t="n">
        <v>67.6</v>
      </c>
      <c r="M262" s="1" t="n">
        <v>65.7</v>
      </c>
      <c r="N262" s="1" t="n">
        <v>22.3</v>
      </c>
      <c r="O262" s="1" t="n">
        <v>52.8</v>
      </c>
      <c r="P262" s="1" t="n">
        <v>24.9</v>
      </c>
      <c r="Q262" s="1" t="n">
        <v>55.9</v>
      </c>
      <c r="R262" s="1" t="n">
        <v>59</v>
      </c>
      <c r="S262" s="1" t="n">
        <v>30.6</v>
      </c>
      <c r="T262" s="1" t="n">
        <v>69.4</v>
      </c>
      <c r="U262" s="1" t="n">
        <v>73.8</v>
      </c>
      <c r="V262" s="1" t="n">
        <v>39.8</v>
      </c>
      <c r="W262" s="1" t="n">
        <v>60.2</v>
      </c>
      <c r="Z262" s="1" t="s">
        <v>36</v>
      </c>
      <c r="AC262" s="1" t="n">
        <v>63</v>
      </c>
      <c r="AF262" s="1" t="n">
        <v>52</v>
      </c>
    </row>
    <row r="263" customFormat="false" ht="16.4" hidden="true" customHeight="false" outlineLevel="0" collapsed="false">
      <c r="B263" s="1" t="s">
        <v>627</v>
      </c>
      <c r="C263" s="1" t="s">
        <v>231</v>
      </c>
      <c r="D263" s="13" t="n">
        <v>0.708333333333333</v>
      </c>
      <c r="E263" s="14" t="s">
        <v>632</v>
      </c>
      <c r="F263" s="14" t="s">
        <v>633</v>
      </c>
      <c r="H263" s="1" t="n">
        <v>49</v>
      </c>
      <c r="I263" s="1" t="n">
        <v>30.1</v>
      </c>
      <c r="J263" s="1" t="n">
        <v>20.9</v>
      </c>
      <c r="K263" s="1" t="n">
        <v>79.1</v>
      </c>
      <c r="L263" s="1" t="n">
        <v>51</v>
      </c>
      <c r="M263" s="1" t="n">
        <v>69.9</v>
      </c>
      <c r="N263" s="1" t="n">
        <v>32.4</v>
      </c>
      <c r="O263" s="1" t="n">
        <v>48.7</v>
      </c>
      <c r="P263" s="1" t="n">
        <v>18.9</v>
      </c>
      <c r="Q263" s="1" t="n">
        <v>61</v>
      </c>
      <c r="R263" s="1" t="n">
        <v>64.7</v>
      </c>
      <c r="S263" s="1" t="n">
        <v>36.6</v>
      </c>
      <c r="T263" s="1" t="n">
        <v>63.4</v>
      </c>
      <c r="U263" s="1" t="n">
        <v>69.3</v>
      </c>
      <c r="V263" s="1" t="n">
        <v>42</v>
      </c>
      <c r="W263" s="1" t="n">
        <v>58</v>
      </c>
      <c r="Z263" s="1" t="s">
        <v>20</v>
      </c>
      <c r="AC263" s="1" t="n">
        <v>62</v>
      </c>
    </row>
    <row r="264" customFormat="false" ht="16.4" hidden="true" customHeight="false" outlineLevel="0" collapsed="false">
      <c r="B264" s="1" t="s">
        <v>627</v>
      </c>
      <c r="C264" s="1" t="s">
        <v>231</v>
      </c>
      <c r="D264" s="13" t="n">
        <v>0.708333333333333</v>
      </c>
      <c r="E264" s="14" t="s">
        <v>634</v>
      </c>
      <c r="F264" s="14" t="s">
        <v>635</v>
      </c>
      <c r="H264" s="1" t="n">
        <v>38.9</v>
      </c>
      <c r="I264" s="1" t="n">
        <v>32.5</v>
      </c>
      <c r="J264" s="1" t="n">
        <v>28.7</v>
      </c>
      <c r="K264" s="1" t="n">
        <v>71.3</v>
      </c>
      <c r="L264" s="1" t="n">
        <v>61.1</v>
      </c>
      <c r="M264" s="1" t="n">
        <v>67.5</v>
      </c>
      <c r="N264" s="1" t="n">
        <v>25.3</v>
      </c>
      <c r="O264" s="1" t="n">
        <v>54.5</v>
      </c>
      <c r="P264" s="1" t="n">
        <v>20.1</v>
      </c>
      <c r="Q264" s="1" t="n">
        <v>53.2</v>
      </c>
      <c r="R264" s="1" t="n">
        <v>63</v>
      </c>
      <c r="S264" s="1" t="n">
        <v>34.6</v>
      </c>
      <c r="T264" s="1" t="n">
        <v>65.4</v>
      </c>
      <c r="U264" s="1" t="n">
        <v>70.2</v>
      </c>
      <c r="V264" s="1" t="n">
        <v>42.9</v>
      </c>
      <c r="W264" s="1" t="n">
        <v>57.1</v>
      </c>
      <c r="Z264" s="1" t="s">
        <v>48</v>
      </c>
    </row>
    <row r="265" customFormat="false" ht="16.4" hidden="true" customHeight="false" outlineLevel="0" collapsed="false">
      <c r="B265" s="1" t="s">
        <v>627</v>
      </c>
      <c r="C265" s="1" t="s">
        <v>231</v>
      </c>
      <c r="D265" s="13" t="n">
        <v>0.708333333333333</v>
      </c>
      <c r="E265" s="14" t="s">
        <v>636</v>
      </c>
      <c r="F265" s="14" t="s">
        <v>637</v>
      </c>
      <c r="H265" s="1" t="n">
        <v>50.7</v>
      </c>
      <c r="I265" s="1" t="n">
        <v>31.6</v>
      </c>
      <c r="J265" s="1" t="n">
        <v>17.6</v>
      </c>
      <c r="K265" s="1" t="n">
        <v>82.4</v>
      </c>
      <c r="L265" s="1" t="n">
        <v>49.3</v>
      </c>
      <c r="M265" s="1" t="n">
        <v>68.4</v>
      </c>
      <c r="N265" s="1" t="n">
        <v>28.7</v>
      </c>
      <c r="O265" s="1" t="n">
        <v>59</v>
      </c>
      <c r="P265" s="1" t="n">
        <v>12.3</v>
      </c>
      <c r="Q265" s="1" t="n">
        <v>46.1</v>
      </c>
      <c r="R265" s="1" t="n">
        <v>57.4</v>
      </c>
      <c r="S265" s="1" t="n">
        <v>29.2</v>
      </c>
      <c r="T265" s="1" t="n">
        <v>70.8</v>
      </c>
      <c r="U265" s="1" t="n">
        <v>76.5</v>
      </c>
      <c r="V265" s="1" t="n">
        <v>34.4</v>
      </c>
      <c r="W265" s="1" t="n">
        <v>65.6</v>
      </c>
      <c r="Z265" s="1" t="s">
        <v>20</v>
      </c>
      <c r="AC265" s="1" t="n">
        <v>57</v>
      </c>
    </row>
    <row r="266" customFormat="false" ht="16.4" hidden="true" customHeight="false" outlineLevel="0" collapsed="false">
      <c r="B266" s="1" t="s">
        <v>627</v>
      </c>
      <c r="C266" s="1" t="s">
        <v>231</v>
      </c>
      <c r="D266" s="13" t="n">
        <v>0.708333333333333</v>
      </c>
      <c r="E266" s="14" t="s">
        <v>638</v>
      </c>
      <c r="F266" s="14" t="s">
        <v>639</v>
      </c>
      <c r="H266" s="1" t="n">
        <v>35.4</v>
      </c>
      <c r="I266" s="1" t="n">
        <v>33.3</v>
      </c>
      <c r="J266" s="1" t="n">
        <v>31.3</v>
      </c>
      <c r="K266" s="1" t="n">
        <v>68.7</v>
      </c>
      <c r="L266" s="1" t="n">
        <v>64.6</v>
      </c>
      <c r="M266" s="1" t="n">
        <v>66.7</v>
      </c>
      <c r="N266" s="1" t="n">
        <v>21.3</v>
      </c>
      <c r="O266" s="1" t="n">
        <v>51.4</v>
      </c>
      <c r="P266" s="1" t="n">
        <v>27.3</v>
      </c>
      <c r="Q266" s="1" t="n">
        <v>57.9</v>
      </c>
      <c r="R266" s="1" t="n">
        <v>61.3</v>
      </c>
      <c r="S266" s="1" t="n">
        <v>32.9</v>
      </c>
      <c r="T266" s="1" t="n">
        <v>67.1</v>
      </c>
      <c r="U266" s="1" t="n">
        <v>71.7</v>
      </c>
      <c r="V266" s="1" t="n">
        <v>41.8</v>
      </c>
      <c r="W266" s="1" t="n">
        <v>58.2</v>
      </c>
      <c r="Z266" s="1" t="s">
        <v>36</v>
      </c>
      <c r="AC266" s="1" t="n">
        <v>57</v>
      </c>
      <c r="AF266" s="1" t="n">
        <v>55</v>
      </c>
    </row>
    <row r="267" customFormat="false" ht="16.4" hidden="true" customHeight="false" outlineLevel="0" collapsed="false">
      <c r="B267" s="1" t="s">
        <v>627</v>
      </c>
      <c r="C267" s="1" t="s">
        <v>231</v>
      </c>
      <c r="D267" s="13" t="n">
        <v>0.708333333333333</v>
      </c>
      <c r="E267" s="14" t="s">
        <v>640</v>
      </c>
      <c r="F267" s="14" t="s">
        <v>641</v>
      </c>
      <c r="H267" s="1" t="n">
        <v>41.2</v>
      </c>
      <c r="I267" s="1" t="n">
        <v>31.9</v>
      </c>
      <c r="J267" s="1" t="n">
        <v>26.9</v>
      </c>
      <c r="K267" s="1" t="n">
        <v>73.1</v>
      </c>
      <c r="L267" s="1" t="n">
        <v>58.8</v>
      </c>
      <c r="M267" s="1" t="n">
        <v>68.1</v>
      </c>
      <c r="N267" s="1" t="n">
        <v>28.6</v>
      </c>
      <c r="O267" s="1" t="n">
        <v>48.8</v>
      </c>
      <c r="P267" s="1" t="n">
        <v>22.6</v>
      </c>
      <c r="Q267" s="1" t="n">
        <v>61.5</v>
      </c>
      <c r="R267" s="1" t="n">
        <v>63.8</v>
      </c>
      <c r="S267" s="1" t="n">
        <v>35.5</v>
      </c>
      <c r="T267" s="1" t="n">
        <v>64.5</v>
      </c>
      <c r="U267" s="1" t="n">
        <v>69.5</v>
      </c>
      <c r="V267" s="1" t="n">
        <v>43.3</v>
      </c>
      <c r="W267" s="1" t="n">
        <v>56.7</v>
      </c>
      <c r="Z267" s="1" t="s">
        <v>48</v>
      </c>
    </row>
    <row r="268" customFormat="false" ht="16.4" hidden="true" customHeight="false" outlineLevel="0" collapsed="false">
      <c r="B268" s="1" t="s">
        <v>627</v>
      </c>
      <c r="C268" s="1" t="s">
        <v>231</v>
      </c>
      <c r="D268" s="13" t="n">
        <v>0.708333333333333</v>
      </c>
      <c r="E268" s="14" t="s">
        <v>642</v>
      </c>
      <c r="F268" s="14" t="s">
        <v>643</v>
      </c>
      <c r="H268" s="1" t="n">
        <v>48.2</v>
      </c>
      <c r="I268" s="1" t="n">
        <v>27</v>
      </c>
      <c r="J268" s="1" t="n">
        <v>24.8</v>
      </c>
      <c r="K268" s="1" t="n">
        <v>75.2</v>
      </c>
      <c r="L268" s="1" t="n">
        <v>51.8</v>
      </c>
      <c r="M268" s="1" t="n">
        <v>73</v>
      </c>
      <c r="N268" s="1" t="n">
        <v>43.8</v>
      </c>
      <c r="O268" s="1" t="n">
        <v>40.6</v>
      </c>
      <c r="P268" s="1" t="n">
        <v>15.5</v>
      </c>
      <c r="Q268" s="1" t="n">
        <v>70.8</v>
      </c>
      <c r="R268" s="1" t="n">
        <v>78.1</v>
      </c>
      <c r="S268" s="1" t="n">
        <v>53.2</v>
      </c>
      <c r="T268" s="1" t="n">
        <v>46.8</v>
      </c>
      <c r="U268" s="1" t="n">
        <v>53</v>
      </c>
      <c r="V268" s="1" t="n">
        <v>56.4</v>
      </c>
      <c r="W268" s="1" t="n">
        <v>43.6</v>
      </c>
      <c r="Z268" s="1" t="s">
        <v>133</v>
      </c>
      <c r="AB268" s="1" t="n">
        <v>51</v>
      </c>
      <c r="AE268" s="1" t="n">
        <v>45</v>
      </c>
    </row>
    <row r="269" customFormat="false" ht="16.4" hidden="true" customHeight="false" outlineLevel="0" collapsed="false">
      <c r="B269" s="1" t="s">
        <v>627</v>
      </c>
      <c r="C269" s="1" t="s">
        <v>231</v>
      </c>
      <c r="D269" s="13" t="n">
        <v>0.708333333333333</v>
      </c>
      <c r="E269" s="14" t="s">
        <v>644</v>
      </c>
      <c r="F269" s="14" t="s">
        <v>645</v>
      </c>
      <c r="H269" s="1" t="n">
        <v>30.6</v>
      </c>
      <c r="I269" s="1" t="n">
        <v>30.9</v>
      </c>
      <c r="J269" s="1" t="n">
        <v>38.5</v>
      </c>
      <c r="K269" s="1" t="n">
        <v>61.5</v>
      </c>
      <c r="L269" s="1" t="n">
        <v>69.4</v>
      </c>
      <c r="M269" s="1" t="n">
        <v>69.1</v>
      </c>
      <c r="N269" s="1" t="n">
        <v>30.4</v>
      </c>
      <c r="O269" s="1" t="n">
        <v>46.2</v>
      </c>
      <c r="P269" s="1" t="n">
        <v>23.4</v>
      </c>
      <c r="Q269" s="1" t="n">
        <v>65.3</v>
      </c>
      <c r="R269" s="1" t="n">
        <v>69.6</v>
      </c>
      <c r="S269" s="1" t="n">
        <v>41.9</v>
      </c>
      <c r="T269" s="1" t="n">
        <v>58.1</v>
      </c>
      <c r="U269" s="1" t="n">
        <v>63.3</v>
      </c>
      <c r="V269" s="1" t="n">
        <v>49.1</v>
      </c>
      <c r="W269" s="1" t="n">
        <v>50.9</v>
      </c>
      <c r="Z269" s="1" t="s">
        <v>48</v>
      </c>
    </row>
    <row r="270" customFormat="false" ht="16.4" hidden="true" customHeight="false" outlineLevel="0" collapsed="false">
      <c r="B270" s="1" t="s">
        <v>627</v>
      </c>
      <c r="C270" s="1" t="s">
        <v>231</v>
      </c>
      <c r="D270" s="13" t="n">
        <v>0.708333333333333</v>
      </c>
      <c r="E270" s="14" t="s">
        <v>646</v>
      </c>
      <c r="F270" s="14" t="s">
        <v>647</v>
      </c>
      <c r="H270" s="1" t="n">
        <v>44.2</v>
      </c>
      <c r="I270" s="1" t="n">
        <v>26.3</v>
      </c>
      <c r="J270" s="1" t="n">
        <v>29.5</v>
      </c>
      <c r="K270" s="1" t="n">
        <v>70.5</v>
      </c>
      <c r="L270" s="1" t="n">
        <v>55.8</v>
      </c>
      <c r="M270" s="1" t="n">
        <v>73.7</v>
      </c>
      <c r="N270" s="1" t="n">
        <v>37.8</v>
      </c>
      <c r="O270" s="1" t="n">
        <v>39.8</v>
      </c>
      <c r="P270" s="1" t="n">
        <v>22.5</v>
      </c>
      <c r="Q270" s="1" t="n">
        <v>74.5</v>
      </c>
      <c r="R270" s="1" t="n">
        <v>83.6</v>
      </c>
      <c r="S270" s="1" t="n">
        <v>61.5</v>
      </c>
      <c r="T270" s="1" t="n">
        <v>38.5</v>
      </c>
      <c r="U270" s="1" t="n">
        <v>44.3</v>
      </c>
      <c r="V270" s="1" t="n">
        <v>64</v>
      </c>
      <c r="W270" s="1" t="n">
        <v>36</v>
      </c>
      <c r="Z270" s="1" t="s">
        <v>133</v>
      </c>
      <c r="AB270" s="1" t="n">
        <v>50</v>
      </c>
      <c r="AE270" s="1" t="n">
        <v>56</v>
      </c>
    </row>
    <row r="271" customFormat="false" ht="16.4" hidden="true" customHeight="false" outlineLevel="0" collapsed="false">
      <c r="B271" s="1" t="s">
        <v>178</v>
      </c>
      <c r="C271" s="1" t="s">
        <v>231</v>
      </c>
      <c r="D271" s="13" t="n">
        <v>0.708333333333333</v>
      </c>
      <c r="E271" s="14" t="s">
        <v>648</v>
      </c>
      <c r="F271" s="14" t="s">
        <v>649</v>
      </c>
      <c r="H271" s="1" t="n">
        <v>33.7</v>
      </c>
      <c r="I271" s="1" t="n">
        <v>31.2</v>
      </c>
      <c r="J271" s="1" t="n">
        <v>35.1</v>
      </c>
      <c r="K271" s="1" t="n">
        <v>64.9</v>
      </c>
      <c r="L271" s="1" t="n">
        <v>66.3</v>
      </c>
      <c r="M271" s="1" t="n">
        <v>68.8</v>
      </c>
      <c r="N271" s="1" t="n">
        <v>31.7</v>
      </c>
      <c r="O271" s="1" t="n">
        <v>43.6</v>
      </c>
      <c r="P271" s="1" t="n">
        <v>24.7</v>
      </c>
      <c r="Q271" s="1" t="n">
        <v>69.3</v>
      </c>
      <c r="R271" s="1" t="n">
        <v>68.6</v>
      </c>
      <c r="S271" s="1" t="n">
        <v>40.8</v>
      </c>
      <c r="T271" s="1" t="n">
        <v>59.2</v>
      </c>
      <c r="U271" s="1" t="n">
        <v>64.3</v>
      </c>
      <c r="V271" s="1" t="n">
        <v>48.4</v>
      </c>
      <c r="W271" s="1" t="n">
        <v>51.6</v>
      </c>
      <c r="Z271" s="14" t="s">
        <v>20</v>
      </c>
    </row>
    <row r="272" customFormat="false" ht="16.15" hidden="true" customHeight="false" outlineLevel="0" collapsed="false">
      <c r="B272" s="1" t="s">
        <v>164</v>
      </c>
      <c r="C272" s="1" t="s">
        <v>231</v>
      </c>
      <c r="D272" s="13" t="n">
        <v>0.729166666666667</v>
      </c>
      <c r="E272" s="14" t="s">
        <v>650</v>
      </c>
      <c r="F272" s="14" t="s">
        <v>651</v>
      </c>
      <c r="H272" s="1" t="n">
        <v>33.7</v>
      </c>
      <c r="I272" s="1" t="n">
        <v>32.3</v>
      </c>
      <c r="J272" s="1" t="n">
        <v>34</v>
      </c>
      <c r="K272" s="1" t="n">
        <v>66</v>
      </c>
      <c r="L272" s="1" t="n">
        <v>66.3</v>
      </c>
      <c r="M272" s="1" t="n">
        <v>67.7</v>
      </c>
      <c r="N272" s="1" t="n">
        <v>29.4</v>
      </c>
      <c r="O272" s="1" t="n">
        <v>43.3</v>
      </c>
      <c r="P272" s="1" t="n">
        <v>27.3</v>
      </c>
      <c r="Q272" s="1" t="n">
        <v>70.1</v>
      </c>
      <c r="R272" s="1" t="n">
        <v>65.1</v>
      </c>
      <c r="S272" s="1" t="n">
        <v>36.9</v>
      </c>
      <c r="T272" s="1" t="n">
        <v>63.1</v>
      </c>
      <c r="U272" s="1" t="n">
        <v>68</v>
      </c>
      <c r="V272" s="1" t="n">
        <v>45.2</v>
      </c>
      <c r="W272" s="1" t="n">
        <v>54.8</v>
      </c>
      <c r="Z272" s="1" t="s">
        <v>36</v>
      </c>
      <c r="AC272" s="1" t="n">
        <v>58</v>
      </c>
      <c r="AF272" s="1" t="n">
        <v>52</v>
      </c>
    </row>
    <row r="273" customFormat="false" ht="16.15" hidden="true" customHeight="false" outlineLevel="0" collapsed="false">
      <c r="B273" s="1" t="s">
        <v>164</v>
      </c>
      <c r="C273" s="1" t="s">
        <v>231</v>
      </c>
      <c r="D273" s="13" t="n">
        <v>0.729166666666667</v>
      </c>
      <c r="E273" s="14" t="s">
        <v>652</v>
      </c>
      <c r="F273" s="14" t="s">
        <v>653</v>
      </c>
      <c r="H273" s="1" t="n">
        <v>22.9</v>
      </c>
      <c r="I273" s="1" t="n">
        <v>31.1</v>
      </c>
      <c r="J273" s="1" t="n">
        <v>45.9</v>
      </c>
      <c r="K273" s="1" t="n">
        <v>54.1</v>
      </c>
      <c r="L273" s="1" t="n">
        <v>77.1</v>
      </c>
      <c r="M273" s="1" t="n">
        <v>68.9</v>
      </c>
      <c r="N273" s="1" t="n">
        <v>14.3</v>
      </c>
      <c r="O273" s="1" t="n">
        <v>46.8</v>
      </c>
      <c r="P273" s="1" t="n">
        <v>38.9</v>
      </c>
      <c r="Q273" s="1" t="n">
        <v>62.8</v>
      </c>
      <c r="R273" s="1" t="n">
        <v>67.2</v>
      </c>
      <c r="S273" s="1" t="n">
        <v>39.3</v>
      </c>
      <c r="T273" s="1" t="n">
        <v>60.7</v>
      </c>
      <c r="U273" s="1" t="n">
        <v>66.4</v>
      </c>
      <c r="V273" s="1" t="n">
        <v>45.3</v>
      </c>
      <c r="W273" s="1" t="n">
        <v>54.7</v>
      </c>
      <c r="Z273" s="1" t="s">
        <v>36</v>
      </c>
      <c r="AC273" s="1" t="n">
        <v>57</v>
      </c>
      <c r="AF273" s="1" t="n">
        <v>50</v>
      </c>
    </row>
    <row r="274" customFormat="false" ht="16.4" hidden="true" customHeight="false" outlineLevel="0" collapsed="false">
      <c r="B274" s="1" t="s">
        <v>654</v>
      </c>
      <c r="C274" s="1" t="s">
        <v>231</v>
      </c>
      <c r="D274" s="13" t="n">
        <v>0.729166666666667</v>
      </c>
      <c r="E274" s="14" t="s">
        <v>655</v>
      </c>
      <c r="F274" s="14" t="s">
        <v>656</v>
      </c>
      <c r="H274" s="1" t="n">
        <v>34</v>
      </c>
      <c r="I274" s="1" t="n">
        <v>28.3</v>
      </c>
      <c r="J274" s="1" t="n">
        <v>37.7</v>
      </c>
      <c r="K274" s="1" t="n">
        <v>62.3</v>
      </c>
      <c r="L274" s="1" t="n">
        <v>66</v>
      </c>
      <c r="M274" s="1" t="n">
        <v>71.7</v>
      </c>
      <c r="N274" s="1" t="n">
        <v>27.8</v>
      </c>
      <c r="O274" s="1" t="n">
        <v>43</v>
      </c>
      <c r="P274" s="1" t="n">
        <v>29.2</v>
      </c>
      <c r="Q274" s="1" t="n">
        <v>70.6</v>
      </c>
      <c r="R274" s="1" t="n">
        <v>78.2</v>
      </c>
      <c r="S274" s="1" t="n">
        <v>53.2</v>
      </c>
      <c r="T274" s="1" t="n">
        <v>46.8</v>
      </c>
      <c r="U274" s="1" t="n">
        <v>52.4</v>
      </c>
      <c r="V274" s="1" t="n">
        <v>58.2</v>
      </c>
      <c r="W274" s="1" t="n">
        <v>41.8</v>
      </c>
      <c r="Z274" s="1" t="s">
        <v>36</v>
      </c>
      <c r="AC274" s="1" t="n">
        <v>39</v>
      </c>
      <c r="AF274" s="1" t="n">
        <v>36</v>
      </c>
    </row>
    <row r="275" customFormat="false" ht="16.4" hidden="true" customHeight="false" outlineLevel="0" collapsed="false">
      <c r="B275" s="1" t="s">
        <v>161</v>
      </c>
      <c r="C275" s="1" t="s">
        <v>231</v>
      </c>
      <c r="D275" s="13" t="n">
        <v>0.729166666666667</v>
      </c>
      <c r="E275" s="14" t="s">
        <v>657</v>
      </c>
      <c r="F275" s="14" t="s">
        <v>658</v>
      </c>
      <c r="H275" s="1" t="n">
        <v>31</v>
      </c>
      <c r="I275" s="1" t="n">
        <v>29.9</v>
      </c>
      <c r="J275" s="1" t="n">
        <v>39.1</v>
      </c>
      <c r="K275" s="1" t="n">
        <v>60.9</v>
      </c>
      <c r="L275" s="1" t="n">
        <v>69</v>
      </c>
      <c r="M275" s="1" t="n">
        <v>70.1</v>
      </c>
      <c r="N275" s="1" t="n">
        <v>15.2</v>
      </c>
      <c r="O275" s="1" t="n">
        <v>50.9</v>
      </c>
      <c r="P275" s="1" t="n">
        <v>33.9</v>
      </c>
      <c r="Q275" s="1" t="n">
        <v>57.5</v>
      </c>
      <c r="R275" s="1" t="n">
        <v>72.7</v>
      </c>
      <c r="S275" s="1" t="n">
        <v>45.9</v>
      </c>
      <c r="T275" s="1" t="n">
        <v>54.1</v>
      </c>
      <c r="U275" s="1" t="n">
        <v>59.6</v>
      </c>
      <c r="V275" s="1" t="n">
        <v>52.3</v>
      </c>
      <c r="W275" s="1" t="n">
        <v>47.7</v>
      </c>
      <c r="Z275" s="1" t="s">
        <v>54</v>
      </c>
    </row>
    <row r="276" customFormat="false" ht="16.4" hidden="true" customHeight="false" outlineLevel="0" collapsed="false">
      <c r="B276" s="1" t="s">
        <v>187</v>
      </c>
      <c r="C276" s="1" t="s">
        <v>231</v>
      </c>
      <c r="D276" s="13" t="n">
        <v>0.75</v>
      </c>
      <c r="E276" s="14" t="s">
        <v>659</v>
      </c>
      <c r="F276" s="14" t="s">
        <v>660</v>
      </c>
      <c r="H276" s="1" t="n">
        <v>55.5</v>
      </c>
      <c r="I276" s="1" t="n">
        <v>26.1</v>
      </c>
      <c r="J276" s="1" t="n">
        <v>18.5</v>
      </c>
      <c r="K276" s="1" t="n">
        <v>81.5</v>
      </c>
      <c r="L276" s="1" t="n">
        <v>44.5</v>
      </c>
      <c r="M276" s="1" t="n">
        <v>73.9</v>
      </c>
      <c r="N276" s="1" t="n">
        <v>29.4</v>
      </c>
      <c r="O276" s="1" t="n">
        <v>48.3</v>
      </c>
      <c r="P276" s="1" t="n">
        <v>22.3</v>
      </c>
      <c r="Q276" s="1" t="n">
        <v>62.2</v>
      </c>
      <c r="R276" s="1" t="n">
        <v>75.2</v>
      </c>
      <c r="S276" s="1" t="n">
        <v>49.2</v>
      </c>
      <c r="T276" s="1" t="n">
        <v>50.8</v>
      </c>
      <c r="U276" s="1" t="n">
        <v>57.9</v>
      </c>
      <c r="V276" s="1" t="n">
        <v>50.4</v>
      </c>
      <c r="W276" s="1" t="n">
        <v>49.6</v>
      </c>
      <c r="Z276" s="1" t="s">
        <v>54</v>
      </c>
    </row>
    <row r="277" customFormat="false" ht="16.4" hidden="true" customHeight="false" outlineLevel="0" collapsed="false">
      <c r="B277" s="1" t="s">
        <v>167</v>
      </c>
      <c r="C277" s="1" t="s">
        <v>231</v>
      </c>
      <c r="D277" s="13" t="n">
        <v>0.75</v>
      </c>
      <c r="E277" s="14" t="s">
        <v>661</v>
      </c>
      <c r="F277" s="14" t="s">
        <v>662</v>
      </c>
      <c r="H277" s="1" t="n">
        <v>35</v>
      </c>
      <c r="I277" s="1" t="n">
        <v>34.2</v>
      </c>
      <c r="J277" s="1" t="n">
        <v>30.8</v>
      </c>
      <c r="K277" s="1" t="n">
        <v>69.2</v>
      </c>
      <c r="L277" s="1" t="n">
        <v>65</v>
      </c>
      <c r="M277" s="1" t="n">
        <v>65.8</v>
      </c>
      <c r="N277" s="1" t="n">
        <v>20</v>
      </c>
      <c r="O277" s="1" t="n">
        <v>52.6</v>
      </c>
      <c r="P277" s="1" t="n">
        <v>27.4</v>
      </c>
      <c r="Q277" s="1" t="n">
        <v>56</v>
      </c>
      <c r="R277" s="1" t="n">
        <v>58.9</v>
      </c>
      <c r="S277" s="1" t="n">
        <v>30.5</v>
      </c>
      <c r="T277" s="1" t="n">
        <v>69.5</v>
      </c>
      <c r="U277" s="1" t="n">
        <v>73.9</v>
      </c>
      <c r="V277" s="1" t="n">
        <v>39.7</v>
      </c>
      <c r="W277" s="1" t="n">
        <v>60.3</v>
      </c>
      <c r="Z277" s="1" t="s">
        <v>36</v>
      </c>
      <c r="AC277" s="1" t="n">
        <v>57</v>
      </c>
      <c r="AF277" s="1" t="n">
        <v>51</v>
      </c>
    </row>
    <row r="278" customFormat="false" ht="16.4" hidden="true" customHeight="false" outlineLevel="0" collapsed="false">
      <c r="B278" s="1" t="s">
        <v>32</v>
      </c>
      <c r="C278" s="1" t="s">
        <v>231</v>
      </c>
      <c r="D278" s="13" t="n">
        <v>0.75</v>
      </c>
      <c r="E278" s="14" t="s">
        <v>663</v>
      </c>
      <c r="F278" s="14" t="s">
        <v>664</v>
      </c>
      <c r="H278" s="1" t="n">
        <v>34.8</v>
      </c>
      <c r="I278" s="1" t="n">
        <v>30.1</v>
      </c>
      <c r="J278" s="1" t="n">
        <v>35.1</v>
      </c>
      <c r="K278" s="1" t="n">
        <v>64.9</v>
      </c>
      <c r="L278" s="1" t="n">
        <v>65.2</v>
      </c>
      <c r="M278" s="1" t="n">
        <v>69.9</v>
      </c>
      <c r="N278" s="1" t="n">
        <v>28.1</v>
      </c>
      <c r="O278" s="1" t="n">
        <v>48.2</v>
      </c>
      <c r="P278" s="1" t="n">
        <v>23.7</v>
      </c>
      <c r="Q278" s="1" t="n">
        <v>62.5</v>
      </c>
      <c r="R278" s="1" t="n">
        <v>72</v>
      </c>
      <c r="S278" s="1" t="n">
        <v>45</v>
      </c>
      <c r="T278" s="1" t="n">
        <v>55</v>
      </c>
      <c r="U278" s="1" t="n">
        <v>60.3</v>
      </c>
      <c r="V278" s="1" t="n">
        <v>51.8</v>
      </c>
      <c r="W278" s="1" t="n">
        <v>48.2</v>
      </c>
      <c r="Z278" s="1" t="s">
        <v>19</v>
      </c>
      <c r="AB278" s="1" t="n">
        <v>43</v>
      </c>
    </row>
    <row r="279" customFormat="false" ht="16.4" hidden="true" customHeight="false" outlineLevel="0" collapsed="false">
      <c r="B279" s="1" t="s">
        <v>228</v>
      </c>
      <c r="C279" s="1" t="s">
        <v>231</v>
      </c>
      <c r="D279" s="13" t="n">
        <v>0.75</v>
      </c>
      <c r="E279" s="14" t="s">
        <v>665</v>
      </c>
      <c r="F279" s="14" t="s">
        <v>666</v>
      </c>
      <c r="H279" s="1" t="n">
        <v>57</v>
      </c>
      <c r="I279" s="1" t="n">
        <v>25.2</v>
      </c>
      <c r="J279" s="1" t="n">
        <v>17.8</v>
      </c>
      <c r="K279" s="1" t="n">
        <v>82.2</v>
      </c>
      <c r="L279" s="1" t="n">
        <v>43</v>
      </c>
      <c r="M279" s="1" t="n">
        <v>74.8</v>
      </c>
      <c r="N279" s="1" t="n">
        <v>29.6</v>
      </c>
      <c r="O279" s="1" t="n">
        <v>42.6</v>
      </c>
      <c r="P279" s="1" t="n">
        <v>27.8</v>
      </c>
      <c r="Q279" s="1" t="n">
        <v>71.2</v>
      </c>
      <c r="R279" s="1" t="n">
        <v>77.6</v>
      </c>
      <c r="S279" s="1" t="n">
        <v>52.5</v>
      </c>
      <c r="T279" s="1" t="n">
        <v>47.5</v>
      </c>
      <c r="U279" s="1" t="n">
        <v>54.9</v>
      </c>
      <c r="V279" s="1" t="n">
        <v>52.4</v>
      </c>
      <c r="W279" s="1" t="n">
        <v>47.6</v>
      </c>
      <c r="Z279" s="1" t="s">
        <v>133</v>
      </c>
      <c r="AB279" s="1" t="n">
        <v>45</v>
      </c>
      <c r="AE279" s="1" t="n">
        <v>48</v>
      </c>
    </row>
    <row r="280" customFormat="false" ht="16.4" hidden="true" customHeight="false" outlineLevel="0" collapsed="false">
      <c r="B280" s="1" t="s">
        <v>667</v>
      </c>
      <c r="C280" s="1" t="s">
        <v>231</v>
      </c>
      <c r="D280" s="13" t="n">
        <v>0.767361111111111</v>
      </c>
      <c r="E280" s="14" t="s">
        <v>668</v>
      </c>
      <c r="F280" s="14" t="s">
        <v>669</v>
      </c>
      <c r="H280" s="1" t="n">
        <v>23.9</v>
      </c>
      <c r="I280" s="1" t="n">
        <v>31</v>
      </c>
      <c r="J280" s="1" t="n">
        <v>45.1</v>
      </c>
      <c r="K280" s="1" t="n">
        <v>54.9</v>
      </c>
      <c r="L280" s="1" t="n">
        <v>76.1</v>
      </c>
      <c r="M280" s="1" t="n">
        <v>69</v>
      </c>
      <c r="N280" s="1" t="n">
        <v>19.1</v>
      </c>
      <c r="O280" s="1" t="n">
        <v>47.4</v>
      </c>
      <c r="P280" s="1" t="n">
        <v>33.5</v>
      </c>
      <c r="Q280" s="1" t="n">
        <v>63.3</v>
      </c>
      <c r="R280" s="1" t="n">
        <v>68</v>
      </c>
      <c r="S280" s="1" t="n">
        <v>40.2</v>
      </c>
      <c r="T280" s="1" t="n">
        <v>59.8</v>
      </c>
      <c r="U280" s="1" t="n">
        <v>65.4</v>
      </c>
      <c r="V280" s="1" t="n">
        <v>46.3</v>
      </c>
      <c r="W280" s="1" t="n">
        <v>53.7</v>
      </c>
      <c r="Z280" s="1" t="s">
        <v>54</v>
      </c>
    </row>
    <row r="281" customFormat="false" ht="16.4" hidden="true" customHeight="false" outlineLevel="0" collapsed="false">
      <c r="B281" s="1" t="s">
        <v>670</v>
      </c>
      <c r="C281" s="1" t="s">
        <v>231</v>
      </c>
      <c r="D281" s="13" t="n">
        <v>0.770833333333333</v>
      </c>
      <c r="E281" s="14" t="s">
        <v>671</v>
      </c>
      <c r="F281" s="14" t="s">
        <v>672</v>
      </c>
      <c r="H281" s="1" t="n">
        <v>49.6</v>
      </c>
      <c r="I281" s="1" t="n">
        <v>28.2</v>
      </c>
      <c r="J281" s="1" t="n">
        <v>22.2</v>
      </c>
      <c r="K281" s="1" t="n">
        <v>77.8</v>
      </c>
      <c r="L281" s="1" t="n">
        <v>50.4</v>
      </c>
      <c r="M281" s="1" t="n">
        <v>71.8</v>
      </c>
      <c r="N281" s="1" t="n">
        <v>43.2</v>
      </c>
      <c r="O281" s="1" t="n">
        <v>41.4</v>
      </c>
      <c r="P281" s="1" t="n">
        <v>15.4</v>
      </c>
      <c r="Q281" s="1" t="n">
        <v>69.7</v>
      </c>
      <c r="R281" s="1" t="n">
        <v>71.9</v>
      </c>
      <c r="S281" s="1" t="n">
        <v>44.8</v>
      </c>
      <c r="T281" s="1" t="n">
        <v>55.2</v>
      </c>
      <c r="U281" s="1" t="n">
        <v>61.4</v>
      </c>
      <c r="V281" s="1" t="n">
        <v>49</v>
      </c>
      <c r="W281" s="1" t="n">
        <v>51</v>
      </c>
      <c r="Z281" s="1" t="s">
        <v>36</v>
      </c>
      <c r="AC281" s="1" t="n">
        <v>54</v>
      </c>
      <c r="AF281" s="1" t="n">
        <v>50</v>
      </c>
    </row>
    <row r="282" customFormat="false" ht="16.4" hidden="true" customHeight="false" outlineLevel="0" collapsed="false">
      <c r="B282" s="1" t="s">
        <v>181</v>
      </c>
      <c r="C282" s="1" t="s">
        <v>231</v>
      </c>
      <c r="D282" s="13" t="n">
        <v>0.770833333333333</v>
      </c>
      <c r="E282" s="14" t="s">
        <v>673</v>
      </c>
      <c r="F282" s="14" t="s">
        <v>674</v>
      </c>
      <c r="H282" s="1" t="n">
        <v>38.6</v>
      </c>
      <c r="I282" s="1" t="n">
        <v>33.5</v>
      </c>
      <c r="J282" s="1" t="n">
        <v>27.9</v>
      </c>
      <c r="K282" s="1" t="n">
        <v>72.1</v>
      </c>
      <c r="L282" s="1" t="n">
        <v>61.4</v>
      </c>
      <c r="M282" s="1" t="n">
        <v>66.5</v>
      </c>
      <c r="N282" s="1" t="n">
        <v>28.8</v>
      </c>
      <c r="O282" s="1" t="n">
        <v>54.3</v>
      </c>
      <c r="P282" s="1" t="n">
        <v>16.9</v>
      </c>
      <c r="Q282" s="1" t="n">
        <v>53.1</v>
      </c>
      <c r="R282" s="1" t="n">
        <v>59.8</v>
      </c>
      <c r="S282" s="1" t="n">
        <v>31.4</v>
      </c>
      <c r="T282" s="1" t="n">
        <v>68.6</v>
      </c>
      <c r="U282" s="1" t="n">
        <v>73.2</v>
      </c>
      <c r="V282" s="1" t="n">
        <v>40.1</v>
      </c>
      <c r="W282" s="1" t="n">
        <v>59.9</v>
      </c>
      <c r="Z282" s="1" t="s">
        <v>54</v>
      </c>
    </row>
    <row r="283" customFormat="false" ht="16.4" hidden="true" customHeight="false" outlineLevel="0" collapsed="false">
      <c r="B283" s="1" t="s">
        <v>184</v>
      </c>
      <c r="C283" s="1" t="s">
        <v>231</v>
      </c>
      <c r="D283" s="13" t="n">
        <v>0.770833333333333</v>
      </c>
      <c r="E283" s="14" t="s">
        <v>675</v>
      </c>
      <c r="F283" s="14" t="s">
        <v>676</v>
      </c>
      <c r="H283" s="1" t="n">
        <v>48.9</v>
      </c>
      <c r="I283" s="1" t="n">
        <v>25.7</v>
      </c>
      <c r="J283" s="1" t="n">
        <v>25.4</v>
      </c>
      <c r="K283" s="1" t="n">
        <v>74.6</v>
      </c>
      <c r="L283" s="1" t="n">
        <v>51.1</v>
      </c>
      <c r="M283" s="1" t="n">
        <v>74.3</v>
      </c>
      <c r="N283" s="1" t="n">
        <v>42.8</v>
      </c>
      <c r="O283" s="1" t="n">
        <v>36.6</v>
      </c>
      <c r="P283" s="1" t="n">
        <v>20.6</v>
      </c>
      <c r="Q283" s="1" t="n">
        <v>78.5</v>
      </c>
      <c r="R283" s="1" t="n">
        <v>83.3</v>
      </c>
      <c r="S283" s="1" t="n">
        <v>61</v>
      </c>
      <c r="T283" s="1" t="n">
        <v>39</v>
      </c>
      <c r="U283" s="1" t="n">
        <v>45.1</v>
      </c>
      <c r="V283" s="1" t="n">
        <v>62.6</v>
      </c>
      <c r="W283" s="1" t="n">
        <v>37.4</v>
      </c>
      <c r="Z283" s="1" t="s">
        <v>54</v>
      </c>
    </row>
    <row r="284" customFormat="false" ht="16.4" hidden="true" customHeight="false" outlineLevel="0" collapsed="false">
      <c r="B284" s="1" t="s">
        <v>519</v>
      </c>
      <c r="C284" s="1" t="s">
        <v>231</v>
      </c>
      <c r="D284" s="13" t="n">
        <v>0.770833333333333</v>
      </c>
      <c r="E284" s="14" t="s">
        <v>677</v>
      </c>
      <c r="F284" s="14" t="s">
        <v>678</v>
      </c>
      <c r="H284" s="1" t="n">
        <v>54.7</v>
      </c>
      <c r="I284" s="1" t="n">
        <v>26</v>
      </c>
      <c r="J284" s="1" t="n">
        <v>19.4</v>
      </c>
      <c r="K284" s="1" t="n">
        <v>80.6</v>
      </c>
      <c r="L284" s="1" t="n">
        <v>45.3</v>
      </c>
      <c r="M284" s="1" t="n">
        <v>74</v>
      </c>
      <c r="N284" s="1" t="n">
        <v>39.5</v>
      </c>
      <c r="O284" s="1" t="n">
        <v>40.2</v>
      </c>
      <c r="P284" s="1" t="n">
        <v>20.3</v>
      </c>
      <c r="Q284" s="1" t="n">
        <v>73.3</v>
      </c>
      <c r="R284" s="1" t="n">
        <v>76.7</v>
      </c>
      <c r="S284" s="1" t="n">
        <v>51.3</v>
      </c>
      <c r="T284" s="1" t="n">
        <v>48.7</v>
      </c>
      <c r="U284" s="1" t="n">
        <v>55.7</v>
      </c>
      <c r="V284" s="1" t="n">
        <v>52.5</v>
      </c>
      <c r="W284" s="1" t="n">
        <v>47.5</v>
      </c>
      <c r="Z284" s="1" t="s">
        <v>48</v>
      </c>
    </row>
    <row r="285" customFormat="false" ht="16.4" hidden="true" customHeight="false" outlineLevel="0" collapsed="false">
      <c r="B285" s="1" t="s">
        <v>175</v>
      </c>
      <c r="C285" s="1" t="s">
        <v>231</v>
      </c>
      <c r="D285" s="13" t="n">
        <v>0.770833333333333</v>
      </c>
      <c r="E285" s="14" t="s">
        <v>679</v>
      </c>
      <c r="F285" s="14" t="s">
        <v>680</v>
      </c>
      <c r="H285" s="1" t="n">
        <v>31.3</v>
      </c>
      <c r="I285" s="1" t="n">
        <v>33.1</v>
      </c>
      <c r="J285" s="1" t="n">
        <v>35.5</v>
      </c>
      <c r="K285" s="1" t="n">
        <v>64.5</v>
      </c>
      <c r="L285" s="1" t="n">
        <v>68.7</v>
      </c>
      <c r="M285" s="1" t="n">
        <v>66.9</v>
      </c>
      <c r="N285" s="1" t="n">
        <v>23</v>
      </c>
      <c r="O285" s="1" t="n">
        <v>49.8</v>
      </c>
      <c r="P285" s="1" t="n">
        <v>27.2</v>
      </c>
      <c r="Q285" s="1" t="n">
        <v>60.3</v>
      </c>
      <c r="R285" s="1" t="n">
        <v>62.6</v>
      </c>
      <c r="S285" s="1" t="n">
        <v>34.2</v>
      </c>
      <c r="T285" s="1" t="n">
        <v>65.8</v>
      </c>
      <c r="U285" s="1" t="n">
        <v>70.5</v>
      </c>
      <c r="V285" s="1" t="n">
        <v>42.9</v>
      </c>
      <c r="W285" s="1" t="n">
        <v>57.1</v>
      </c>
    </row>
    <row r="286" customFormat="false" ht="16.4" hidden="true" customHeight="false" outlineLevel="0" collapsed="false">
      <c r="B286" s="1" t="s">
        <v>151</v>
      </c>
      <c r="C286" s="1" t="s">
        <v>231</v>
      </c>
      <c r="D286" s="13" t="n">
        <v>0.770833333333333</v>
      </c>
      <c r="E286" s="14" t="s">
        <v>681</v>
      </c>
      <c r="F286" s="14" t="s">
        <v>682</v>
      </c>
      <c r="H286" s="1" t="n">
        <v>35.8</v>
      </c>
      <c r="I286" s="1" t="n">
        <v>28.6</v>
      </c>
      <c r="J286" s="1" t="n">
        <v>35.7</v>
      </c>
      <c r="K286" s="1" t="n">
        <v>64.3</v>
      </c>
      <c r="L286" s="1" t="n">
        <v>64.2</v>
      </c>
      <c r="M286" s="1" t="n">
        <v>71.4</v>
      </c>
      <c r="N286" s="14" t="s">
        <v>533</v>
      </c>
      <c r="O286" s="14" t="s">
        <v>533</v>
      </c>
      <c r="P286" s="14" t="s">
        <v>533</v>
      </c>
      <c r="Q286" s="1" t="s">
        <v>533</v>
      </c>
      <c r="R286" s="1" t="n">
        <v>77.2</v>
      </c>
      <c r="S286" s="1" t="n">
        <v>51.8</v>
      </c>
      <c r="T286" s="1" t="n">
        <v>48.2</v>
      </c>
      <c r="U286" s="1" t="n">
        <v>53.8</v>
      </c>
      <c r="V286" s="1" t="n">
        <v>57.1</v>
      </c>
      <c r="W286" s="1" t="n">
        <v>42.9</v>
      </c>
    </row>
    <row r="287" customFormat="false" ht="16.4" hidden="true" customHeight="false" outlineLevel="0" collapsed="false">
      <c r="B287" s="1" t="s">
        <v>172</v>
      </c>
      <c r="C287" s="1" t="s">
        <v>231</v>
      </c>
      <c r="D287" s="13" t="n">
        <v>0.791666666666667</v>
      </c>
      <c r="E287" s="14" t="s">
        <v>683</v>
      </c>
      <c r="F287" s="14" t="s">
        <v>684</v>
      </c>
      <c r="H287" s="1" t="n">
        <v>56.4</v>
      </c>
      <c r="I287" s="1" t="n">
        <v>30.8</v>
      </c>
      <c r="J287" s="1" t="n">
        <v>12.8</v>
      </c>
      <c r="K287" s="1" t="n">
        <v>87.2</v>
      </c>
      <c r="L287" s="1" t="n">
        <v>43.6</v>
      </c>
      <c r="M287" s="1" t="n">
        <v>69.2</v>
      </c>
      <c r="N287" s="1" t="n">
        <v>31.6</v>
      </c>
      <c r="O287" s="1" t="n">
        <v>56.9</v>
      </c>
      <c r="P287" s="1" t="n">
        <v>11.6</v>
      </c>
      <c r="Q287" s="1" t="n">
        <v>48.5</v>
      </c>
      <c r="R287" s="1" t="n">
        <v>53.5</v>
      </c>
      <c r="S287" s="1" t="n">
        <v>25.8</v>
      </c>
      <c r="T287" s="1" t="n">
        <v>74.2</v>
      </c>
      <c r="U287" s="1" t="n">
        <v>80.7</v>
      </c>
      <c r="V287" s="1" t="n">
        <v>28</v>
      </c>
      <c r="W287" s="1" t="n">
        <v>72</v>
      </c>
      <c r="Z287" s="1" t="s">
        <v>48</v>
      </c>
    </row>
    <row r="288" customFormat="false" ht="16.4" hidden="true" customHeight="false" outlineLevel="0" collapsed="false">
      <c r="B288" s="1" t="s">
        <v>219</v>
      </c>
      <c r="C288" s="1" t="s">
        <v>231</v>
      </c>
      <c r="D288" s="13" t="n">
        <v>0.791666666666667</v>
      </c>
      <c r="E288" s="14" t="s">
        <v>685</v>
      </c>
      <c r="F288" s="14" t="s">
        <v>686</v>
      </c>
      <c r="H288" s="1" t="n">
        <v>34.2</v>
      </c>
      <c r="I288" s="1" t="n">
        <v>25.5</v>
      </c>
      <c r="J288" s="1" t="n">
        <v>40.3</v>
      </c>
      <c r="K288" s="1" t="n">
        <v>59.7</v>
      </c>
      <c r="L288" s="1" t="n">
        <v>65.8</v>
      </c>
      <c r="M288" s="1" t="n">
        <v>74.5</v>
      </c>
      <c r="N288" s="1" t="n">
        <v>30.9</v>
      </c>
      <c r="O288" s="1" t="n">
        <v>37.6</v>
      </c>
      <c r="P288" s="1" t="n">
        <v>31.5</v>
      </c>
      <c r="Q288" s="1" t="n">
        <v>79.1</v>
      </c>
      <c r="R288" s="1" t="n">
        <v>92.4</v>
      </c>
      <c r="S288" s="1" t="n">
        <v>78</v>
      </c>
      <c r="T288" s="1" t="n">
        <v>22</v>
      </c>
      <c r="U288" s="1" t="n">
        <v>26.7</v>
      </c>
      <c r="V288" s="1" t="n">
        <v>77.3</v>
      </c>
      <c r="W288" s="1" t="n">
        <v>22.7</v>
      </c>
    </row>
    <row r="289" customFormat="false" ht="16.4" hidden="true" customHeight="false" outlineLevel="0" collapsed="false">
      <c r="B289" s="1" t="s">
        <v>164</v>
      </c>
      <c r="C289" s="1" t="s">
        <v>231</v>
      </c>
      <c r="D289" s="13" t="n">
        <v>0.8125</v>
      </c>
      <c r="E289" s="14" t="s">
        <v>687</v>
      </c>
      <c r="F289" s="14" t="s">
        <v>688</v>
      </c>
      <c r="H289" s="1" t="n">
        <v>50.1</v>
      </c>
      <c r="I289" s="1" t="n">
        <v>28.8</v>
      </c>
      <c r="J289" s="1" t="n">
        <v>21.1</v>
      </c>
      <c r="K289" s="1" t="n">
        <v>78.9</v>
      </c>
      <c r="L289" s="1" t="n">
        <v>49.9</v>
      </c>
      <c r="M289" s="1" t="n">
        <v>71.2</v>
      </c>
      <c r="N289" s="1" t="n">
        <v>39.1</v>
      </c>
      <c r="O289" s="1" t="n">
        <v>41.8</v>
      </c>
      <c r="P289" s="1" t="n">
        <v>19.1</v>
      </c>
      <c r="Q289" s="1" t="n">
        <v>70.6</v>
      </c>
      <c r="R289" s="1" t="n">
        <v>68.9</v>
      </c>
      <c r="S289" s="1" t="n">
        <v>41.2</v>
      </c>
      <c r="T289" s="1" t="n">
        <v>58.8</v>
      </c>
      <c r="U289" s="1" t="n">
        <v>65</v>
      </c>
      <c r="V289" s="1" t="n">
        <v>45.8</v>
      </c>
      <c r="W289" s="1" t="n">
        <v>54.2</v>
      </c>
      <c r="Z289" s="1" t="s">
        <v>20</v>
      </c>
      <c r="AC289" s="1" t="n">
        <v>48</v>
      </c>
    </row>
    <row r="290" customFormat="false" ht="16.15" hidden="true" customHeight="false" outlineLevel="0" collapsed="false">
      <c r="B290" s="1" t="s">
        <v>670</v>
      </c>
      <c r="C290" s="1" t="s">
        <v>231</v>
      </c>
      <c r="D290" s="13" t="n">
        <v>0.833333333333333</v>
      </c>
      <c r="E290" s="14" t="s">
        <v>689</v>
      </c>
      <c r="F290" s="14" t="s">
        <v>690</v>
      </c>
      <c r="H290" s="1" t="n">
        <v>40.1</v>
      </c>
      <c r="I290" s="1" t="n">
        <v>31</v>
      </c>
      <c r="J290" s="1" t="n">
        <v>28.9</v>
      </c>
      <c r="K290" s="1" t="n">
        <v>71.1</v>
      </c>
      <c r="L290" s="1" t="n">
        <v>59.9</v>
      </c>
      <c r="M290" s="1" t="n">
        <v>69</v>
      </c>
      <c r="N290" s="1" t="n">
        <v>27.5</v>
      </c>
      <c r="O290" s="1" t="n">
        <v>50.6</v>
      </c>
      <c r="P290" s="1" t="n">
        <v>21.9</v>
      </c>
      <c r="Q290" s="1" t="n">
        <v>58.9</v>
      </c>
      <c r="R290" s="1" t="n">
        <v>67.3</v>
      </c>
      <c r="S290" s="1" t="n">
        <v>39.4</v>
      </c>
      <c r="T290" s="1" t="n">
        <v>60.6</v>
      </c>
      <c r="U290" s="1" t="n">
        <v>65.8</v>
      </c>
      <c r="V290" s="1" t="n">
        <v>46.8</v>
      </c>
      <c r="W290" s="1" t="n">
        <v>53.2</v>
      </c>
      <c r="Z290" s="1" t="s">
        <v>36</v>
      </c>
      <c r="AC290" s="1" t="n">
        <v>56</v>
      </c>
      <c r="AF290" s="1" t="n">
        <v>49</v>
      </c>
    </row>
    <row r="291" customFormat="false" ht="16.4" hidden="true" customHeight="false" outlineLevel="0" collapsed="false">
      <c r="B291" s="1" t="s">
        <v>32</v>
      </c>
      <c r="C291" s="1" t="s">
        <v>231</v>
      </c>
      <c r="D291" s="13" t="n">
        <v>0.833333333333333</v>
      </c>
      <c r="E291" s="14" t="s">
        <v>691</v>
      </c>
      <c r="F291" s="14" t="s">
        <v>692</v>
      </c>
      <c r="H291" s="1" t="n">
        <v>52.6</v>
      </c>
      <c r="I291" s="1" t="n">
        <v>24.8</v>
      </c>
      <c r="J291" s="1" t="n">
        <v>22.6</v>
      </c>
      <c r="K291" s="1" t="n">
        <v>77.4</v>
      </c>
      <c r="L291" s="1" t="n">
        <v>47.4</v>
      </c>
      <c r="M291" s="1" t="n">
        <v>75.2</v>
      </c>
      <c r="N291" s="1" t="n">
        <v>39.6</v>
      </c>
      <c r="O291" s="1" t="n">
        <v>38.1</v>
      </c>
      <c r="P291" s="1" t="n">
        <v>22.3</v>
      </c>
      <c r="Q291" s="1" t="n">
        <v>76.9</v>
      </c>
      <c r="R291" s="1" t="n">
        <v>85.7</v>
      </c>
      <c r="S291" s="1" t="n">
        <v>65.1</v>
      </c>
      <c r="T291" s="1" t="n">
        <v>34.9</v>
      </c>
      <c r="U291" s="1" t="n">
        <v>41.3</v>
      </c>
      <c r="V291" s="1" t="n">
        <v>64.7</v>
      </c>
      <c r="W291" s="1" t="n">
        <v>35.3</v>
      </c>
      <c r="Z291" s="1" t="s">
        <v>48</v>
      </c>
    </row>
    <row r="292" customFormat="false" ht="16.4" hidden="true" customHeight="false" outlineLevel="0" collapsed="false">
      <c r="B292" s="1" t="s">
        <v>32</v>
      </c>
      <c r="C292" s="1" t="s">
        <v>231</v>
      </c>
      <c r="D292" s="13" t="n">
        <v>0.833333333333333</v>
      </c>
      <c r="E292" s="14" t="s">
        <v>693</v>
      </c>
      <c r="F292" s="14" t="s">
        <v>694</v>
      </c>
      <c r="H292" s="1" t="n">
        <v>41.3</v>
      </c>
      <c r="I292" s="1" t="n">
        <v>30.7</v>
      </c>
      <c r="J292" s="1" t="n">
        <v>28</v>
      </c>
      <c r="K292" s="1" t="n">
        <v>72</v>
      </c>
      <c r="L292" s="1" t="n">
        <v>58.7</v>
      </c>
      <c r="M292" s="1" t="n">
        <v>69.3</v>
      </c>
      <c r="N292" s="1" t="n">
        <v>21.3</v>
      </c>
      <c r="O292" s="1" t="n">
        <v>49.3</v>
      </c>
      <c r="P292" s="1" t="n">
        <v>29.4</v>
      </c>
      <c r="Q292" s="1" t="n">
        <v>60.9</v>
      </c>
      <c r="R292" s="1" t="n">
        <v>67.9</v>
      </c>
      <c r="S292" s="1" t="n">
        <v>40</v>
      </c>
      <c r="T292" s="1" t="n">
        <v>60</v>
      </c>
      <c r="U292" s="1" t="n">
        <v>65.3</v>
      </c>
      <c r="V292" s="1" t="n">
        <v>47.2</v>
      </c>
      <c r="W292" s="1" t="n">
        <v>52.8</v>
      </c>
      <c r="Z292" s="1" t="s">
        <v>36</v>
      </c>
      <c r="AC292" s="1" t="n">
        <v>43</v>
      </c>
      <c r="AF292" s="1" t="n">
        <v>43</v>
      </c>
    </row>
    <row r="293" customFormat="false" ht="16.4" hidden="true" customHeight="false" outlineLevel="0" collapsed="false">
      <c r="B293" s="1" t="s">
        <v>32</v>
      </c>
      <c r="C293" s="1" t="s">
        <v>231</v>
      </c>
      <c r="D293" s="13" t="n">
        <v>0.833333333333333</v>
      </c>
      <c r="E293" s="14" t="s">
        <v>35</v>
      </c>
      <c r="F293" s="14" t="s">
        <v>695</v>
      </c>
      <c r="H293" s="1" t="n">
        <v>47.6</v>
      </c>
      <c r="I293" s="1" t="n">
        <v>26.9</v>
      </c>
      <c r="J293" s="1" t="n">
        <v>25.5</v>
      </c>
      <c r="K293" s="1" t="n">
        <v>74.5</v>
      </c>
      <c r="L293" s="1" t="n">
        <v>52.4</v>
      </c>
      <c r="M293" s="1" t="n">
        <v>73.1</v>
      </c>
      <c r="N293" s="1" t="n">
        <v>32.7</v>
      </c>
      <c r="O293" s="1" t="n">
        <v>47</v>
      </c>
      <c r="P293" s="1" t="n">
        <v>20.3</v>
      </c>
      <c r="Q293" s="1" t="n">
        <v>63.7</v>
      </c>
      <c r="R293" s="1" t="n">
        <v>78.9</v>
      </c>
      <c r="S293" s="1" t="n">
        <v>54.2</v>
      </c>
      <c r="T293" s="1" t="n">
        <v>45.8</v>
      </c>
      <c r="U293" s="1" t="n">
        <v>51.9</v>
      </c>
      <c r="V293" s="1" t="n">
        <v>57.4</v>
      </c>
      <c r="W293" s="1" t="n">
        <v>42.6</v>
      </c>
      <c r="Z293" s="1" t="s">
        <v>19</v>
      </c>
      <c r="AB293" s="1" t="n">
        <v>54</v>
      </c>
    </row>
    <row r="294" customFormat="false" ht="16.4" hidden="true" customHeight="false" outlineLevel="0" collapsed="false">
      <c r="B294" s="1" t="s">
        <v>192</v>
      </c>
      <c r="C294" s="1" t="s">
        <v>231</v>
      </c>
      <c r="D294" s="13" t="n">
        <v>0.833333333333333</v>
      </c>
      <c r="E294" s="14" t="s">
        <v>696</v>
      </c>
      <c r="F294" s="14" t="s">
        <v>697</v>
      </c>
      <c r="H294" s="1" t="n">
        <v>54.3</v>
      </c>
      <c r="I294" s="1" t="n">
        <v>24.6</v>
      </c>
      <c r="J294" s="1" t="n">
        <v>21.1</v>
      </c>
      <c r="K294" s="1" t="n">
        <v>78.9</v>
      </c>
      <c r="L294" s="1" t="n">
        <v>45.7</v>
      </c>
      <c r="M294" s="1" t="n">
        <v>75.4</v>
      </c>
      <c r="N294" s="1" t="n">
        <v>50.5</v>
      </c>
      <c r="O294" s="1" t="n">
        <v>34.7</v>
      </c>
      <c r="P294" s="1" t="n">
        <v>14.8</v>
      </c>
      <c r="Q294" s="1" t="n">
        <v>78.5</v>
      </c>
      <c r="R294" s="1" t="n">
        <v>84.7</v>
      </c>
      <c r="S294" s="1" t="n">
        <v>63.4</v>
      </c>
      <c r="T294" s="1" t="n">
        <v>36.6</v>
      </c>
      <c r="U294" s="1" t="n">
        <v>43.3</v>
      </c>
      <c r="V294" s="1" t="n">
        <v>62.6</v>
      </c>
      <c r="W294" s="1" t="n">
        <v>37.4</v>
      </c>
    </row>
    <row r="295" customFormat="false" ht="16.4" hidden="true" customHeight="false" outlineLevel="0" collapsed="false">
      <c r="B295" s="1" t="s">
        <v>192</v>
      </c>
      <c r="C295" s="1" t="s">
        <v>231</v>
      </c>
      <c r="D295" s="13" t="n">
        <v>0.833333333333333</v>
      </c>
      <c r="E295" s="14" t="s">
        <v>698</v>
      </c>
      <c r="F295" s="14" t="s">
        <v>699</v>
      </c>
      <c r="H295" s="1" t="n">
        <v>45.6</v>
      </c>
      <c r="I295" s="1" t="n">
        <v>25.1</v>
      </c>
      <c r="J295" s="1" t="n">
        <v>29.3</v>
      </c>
      <c r="K295" s="1" t="n">
        <v>70.7</v>
      </c>
      <c r="L295" s="1" t="n">
        <v>54.4</v>
      </c>
      <c r="M295" s="1" t="n">
        <v>74.9</v>
      </c>
      <c r="N295" s="1" t="n">
        <v>39.5</v>
      </c>
      <c r="O295" s="1" t="n">
        <v>34.7</v>
      </c>
      <c r="P295" s="1" t="n">
        <v>25.8</v>
      </c>
      <c r="Q295" s="1" t="n">
        <v>82.8</v>
      </c>
      <c r="R295" s="1" t="n">
        <v>89.6</v>
      </c>
      <c r="S295" s="1" t="n">
        <v>72.1</v>
      </c>
      <c r="T295" s="1" t="n">
        <v>27.9</v>
      </c>
      <c r="U295" s="1" t="n">
        <v>33.3</v>
      </c>
      <c r="V295" s="1" t="n">
        <v>72.1</v>
      </c>
      <c r="W295" s="1" t="n">
        <v>27.9</v>
      </c>
    </row>
    <row r="296" customFormat="false" ht="16.4" hidden="true" customHeight="false" outlineLevel="0" collapsed="false">
      <c r="B296" s="1" t="s">
        <v>109</v>
      </c>
      <c r="C296" s="1" t="s">
        <v>231</v>
      </c>
      <c r="D296" s="13" t="n">
        <v>0.833333333333333</v>
      </c>
      <c r="E296" s="14" t="s">
        <v>700</v>
      </c>
      <c r="F296" s="14" t="s">
        <v>701</v>
      </c>
      <c r="H296" s="1" t="n">
        <v>58.7</v>
      </c>
      <c r="I296" s="1" t="n">
        <v>24</v>
      </c>
      <c r="J296" s="1" t="n">
        <v>17.2</v>
      </c>
      <c r="K296" s="1" t="n">
        <v>82.8</v>
      </c>
      <c r="L296" s="1" t="n">
        <v>41.3</v>
      </c>
      <c r="M296" s="1" t="n">
        <v>76</v>
      </c>
      <c r="N296" s="1" t="n">
        <v>42.1</v>
      </c>
      <c r="O296" s="1" t="n">
        <v>39</v>
      </c>
      <c r="P296" s="1" t="n">
        <v>18.9</v>
      </c>
      <c r="Q296" s="1" t="n">
        <v>74.4</v>
      </c>
      <c r="R296" s="1" t="n">
        <v>82.1</v>
      </c>
      <c r="S296" s="1" t="n">
        <v>59.2</v>
      </c>
      <c r="T296" s="1" t="n">
        <v>40.8</v>
      </c>
      <c r="U296" s="1" t="n">
        <v>48.3</v>
      </c>
      <c r="V296" s="1" t="n">
        <v>57.1</v>
      </c>
      <c r="W296" s="1" t="n">
        <v>42.9</v>
      </c>
    </row>
    <row r="297" customFormat="false" ht="16.4" hidden="true" customHeight="false" outlineLevel="0" collapsed="false">
      <c r="B297" s="1" t="s">
        <v>214</v>
      </c>
      <c r="C297" s="1" t="s">
        <v>231</v>
      </c>
      <c r="D297" s="13" t="n">
        <v>0.833333333333333</v>
      </c>
      <c r="E297" s="14" t="s">
        <v>577</v>
      </c>
      <c r="F297" s="14" t="s">
        <v>702</v>
      </c>
      <c r="H297" s="1" t="n">
        <v>48.5</v>
      </c>
      <c r="I297" s="1" t="n">
        <v>27.9</v>
      </c>
      <c r="J297" s="1" t="n">
        <v>23.6</v>
      </c>
      <c r="K297" s="1" t="n">
        <v>76.4</v>
      </c>
      <c r="L297" s="1" t="n">
        <v>51.5</v>
      </c>
      <c r="M297" s="1" t="n">
        <v>72.1</v>
      </c>
      <c r="N297" s="1" t="n">
        <v>35.2</v>
      </c>
      <c r="O297" s="1" t="n">
        <v>44.7</v>
      </c>
      <c r="P297" s="1" t="n">
        <v>20.1</v>
      </c>
      <c r="Q297" s="1" t="n">
        <v>66.9</v>
      </c>
      <c r="R297" s="1" t="n">
        <v>74</v>
      </c>
      <c r="S297" s="1" t="n">
        <v>47.6</v>
      </c>
      <c r="T297" s="1" t="n">
        <v>52.4</v>
      </c>
      <c r="U297" s="1" t="n">
        <v>58.6</v>
      </c>
      <c r="V297" s="1" t="n">
        <v>51.7</v>
      </c>
      <c r="W297" s="1" t="n">
        <v>48.3</v>
      </c>
      <c r="Z297" s="1" t="s">
        <v>36</v>
      </c>
      <c r="AC297" s="1" t="n">
        <v>50</v>
      </c>
      <c r="AF297" s="1" t="n">
        <v>44</v>
      </c>
    </row>
    <row r="298" customFormat="false" ht="16.15" hidden="true" customHeight="false" outlineLevel="0" collapsed="false">
      <c r="B298" s="1" t="s">
        <v>214</v>
      </c>
      <c r="C298" s="1" t="s">
        <v>231</v>
      </c>
      <c r="D298" s="13" t="n">
        <v>0.833333333333333</v>
      </c>
      <c r="E298" s="14" t="s">
        <v>703</v>
      </c>
      <c r="F298" s="14" t="s">
        <v>704</v>
      </c>
      <c r="H298" s="1" t="n">
        <v>35.2</v>
      </c>
      <c r="I298" s="1" t="n">
        <v>28.6</v>
      </c>
      <c r="J298" s="1" t="n">
        <v>36.2</v>
      </c>
      <c r="K298" s="1" t="n">
        <v>63.8</v>
      </c>
      <c r="L298" s="1" t="n">
        <v>64.8</v>
      </c>
      <c r="M298" s="1" t="n">
        <v>71.4</v>
      </c>
      <c r="N298" s="1" t="n">
        <v>34.3</v>
      </c>
      <c r="O298" s="1" t="n">
        <v>43.4</v>
      </c>
      <c r="P298" s="1" t="n">
        <v>22.3</v>
      </c>
      <c r="Q298" s="1" t="n">
        <v>69.3</v>
      </c>
      <c r="R298" s="1" t="n">
        <v>77.3</v>
      </c>
      <c r="S298" s="1" t="n">
        <v>51.9</v>
      </c>
      <c r="T298" s="1" t="n">
        <v>48.1</v>
      </c>
      <c r="U298" s="1" t="n">
        <v>53.6</v>
      </c>
      <c r="V298" s="1" t="n">
        <v>57.2</v>
      </c>
      <c r="W298" s="1" t="n">
        <v>42.8</v>
      </c>
      <c r="Z298" s="1" t="s">
        <v>36</v>
      </c>
      <c r="AC298" s="1" t="n">
        <v>46</v>
      </c>
      <c r="AF298" s="1" t="n">
        <v>41</v>
      </c>
    </row>
    <row r="299" customFormat="false" ht="16.4" hidden="true" customHeight="false" outlineLevel="0" collapsed="false">
      <c r="B299" s="1" t="s">
        <v>222</v>
      </c>
      <c r="C299" s="1" t="s">
        <v>231</v>
      </c>
      <c r="D299" s="13" t="n">
        <v>0.84375</v>
      </c>
      <c r="E299" s="14" t="s">
        <v>705</v>
      </c>
      <c r="F299" s="14" t="s">
        <v>706</v>
      </c>
      <c r="H299" s="1" t="n">
        <v>39.6</v>
      </c>
      <c r="I299" s="1" t="n">
        <v>30.2</v>
      </c>
      <c r="J299" s="1" t="n">
        <v>30.2</v>
      </c>
      <c r="K299" s="1" t="n">
        <v>69.8</v>
      </c>
      <c r="L299" s="1" t="n">
        <v>60.4</v>
      </c>
      <c r="M299" s="1" t="n">
        <v>69.8</v>
      </c>
      <c r="N299" s="1" t="n">
        <v>33.6</v>
      </c>
      <c r="O299" s="1" t="n">
        <v>43.9</v>
      </c>
      <c r="P299" s="1" t="n">
        <v>22.5</v>
      </c>
      <c r="Q299" s="1" t="n">
        <v>68.5</v>
      </c>
      <c r="R299" s="1" t="n">
        <v>70.6</v>
      </c>
      <c r="S299" s="1" t="n">
        <v>43.2</v>
      </c>
      <c r="T299" s="1" t="n">
        <v>56.8</v>
      </c>
      <c r="U299" s="1" t="n">
        <v>62.2</v>
      </c>
      <c r="V299" s="1" t="n">
        <v>50.1</v>
      </c>
      <c r="W299" s="1" t="n">
        <v>49.9</v>
      </c>
    </row>
    <row r="300" customFormat="false" ht="16.4" hidden="true" customHeight="false" outlineLevel="0" collapsed="false">
      <c r="B300" s="1" t="s">
        <v>667</v>
      </c>
      <c r="C300" s="1" t="s">
        <v>231</v>
      </c>
      <c r="D300" s="13" t="n">
        <v>0.854166666666667</v>
      </c>
      <c r="E300" s="14" t="s">
        <v>707</v>
      </c>
      <c r="F300" s="14" t="s">
        <v>708</v>
      </c>
      <c r="H300" s="1" t="n">
        <v>40.9</v>
      </c>
      <c r="I300" s="1" t="n">
        <v>29</v>
      </c>
      <c r="J300" s="1" t="n">
        <v>30.1</v>
      </c>
      <c r="K300" s="1" t="n">
        <v>69.9</v>
      </c>
      <c r="L300" s="1" t="n">
        <v>59.1</v>
      </c>
      <c r="M300" s="1" t="n">
        <v>71</v>
      </c>
      <c r="N300" s="1" t="n">
        <v>30.5</v>
      </c>
      <c r="O300" s="1" t="n">
        <v>46.2</v>
      </c>
      <c r="P300" s="1" t="n">
        <v>23.3</v>
      </c>
      <c r="Q300" s="1" t="n">
        <v>65.4</v>
      </c>
      <c r="R300" s="1" t="n">
        <v>74.3</v>
      </c>
      <c r="S300" s="1" t="n">
        <v>47.9</v>
      </c>
      <c r="T300" s="1" t="n">
        <v>52.1</v>
      </c>
      <c r="U300" s="1" t="n">
        <v>57.7</v>
      </c>
      <c r="V300" s="1" t="n">
        <v>53.7</v>
      </c>
      <c r="W300" s="1" t="n">
        <v>46.3</v>
      </c>
      <c r="Z300" s="1" t="s">
        <v>54</v>
      </c>
    </row>
    <row r="301" customFormat="false" ht="16.15" hidden="true" customHeight="false" outlineLevel="0" collapsed="false">
      <c r="B301" s="1" t="s">
        <v>654</v>
      </c>
      <c r="C301" s="1" t="s">
        <v>231</v>
      </c>
      <c r="D301" s="13" t="n">
        <v>0.854166666666667</v>
      </c>
      <c r="E301" s="14" t="s">
        <v>709</v>
      </c>
      <c r="F301" s="14" t="s">
        <v>710</v>
      </c>
      <c r="H301" s="1" t="n">
        <v>37.4</v>
      </c>
      <c r="I301" s="1" t="n">
        <v>27.2</v>
      </c>
      <c r="J301" s="1" t="n">
        <v>35.4</v>
      </c>
      <c r="K301" s="1" t="n">
        <v>64.6</v>
      </c>
      <c r="L301" s="1" t="n">
        <v>62.6</v>
      </c>
      <c r="M301" s="1" t="n">
        <v>72.8</v>
      </c>
      <c r="N301" s="1" t="n">
        <v>28.9</v>
      </c>
      <c r="O301" s="1" t="n">
        <v>42.7</v>
      </c>
      <c r="P301" s="1" t="n">
        <v>28.5</v>
      </c>
      <c r="Q301" s="1" t="n">
        <v>71.1</v>
      </c>
      <c r="R301" s="1" t="n">
        <v>81.9</v>
      </c>
      <c r="S301" s="1" t="n">
        <v>58.8</v>
      </c>
      <c r="T301" s="1" t="n">
        <v>41.2</v>
      </c>
      <c r="U301" s="1" t="n">
        <v>46.8</v>
      </c>
      <c r="V301" s="1" t="n">
        <v>62.5</v>
      </c>
      <c r="W301" s="1" t="n">
        <v>37.5</v>
      </c>
      <c r="Z301" s="1" t="s">
        <v>36</v>
      </c>
      <c r="AC301" s="1" t="n">
        <v>40</v>
      </c>
      <c r="AF301" s="1" t="n">
        <v>35</v>
      </c>
    </row>
    <row r="302" customFormat="false" ht="16.4" hidden="true" customHeight="false" outlineLevel="0" collapsed="false">
      <c r="B302" s="1" t="s">
        <v>654</v>
      </c>
      <c r="C302" s="1" t="s">
        <v>231</v>
      </c>
      <c r="D302" s="13" t="n">
        <v>0.854166666666667</v>
      </c>
      <c r="E302" s="14" t="s">
        <v>711</v>
      </c>
      <c r="F302" s="14" t="s">
        <v>712</v>
      </c>
      <c r="H302" s="1" t="n">
        <v>40</v>
      </c>
      <c r="I302" s="1" t="n">
        <v>27.6</v>
      </c>
      <c r="J302" s="1" t="n">
        <v>32.5</v>
      </c>
      <c r="K302" s="1" t="n">
        <v>67.5</v>
      </c>
      <c r="L302" s="1" t="n">
        <v>60</v>
      </c>
      <c r="M302" s="1" t="n">
        <v>72.4</v>
      </c>
      <c r="N302" s="1" t="n">
        <v>42.2</v>
      </c>
      <c r="O302" s="1" t="n">
        <v>37.1</v>
      </c>
      <c r="P302" s="1" t="n">
        <v>20.7</v>
      </c>
      <c r="Q302" s="1" t="n">
        <v>77.8</v>
      </c>
      <c r="R302" s="1" t="n">
        <v>79.9</v>
      </c>
      <c r="S302" s="1" t="n">
        <v>55.7</v>
      </c>
      <c r="T302" s="1" t="n">
        <v>44.3</v>
      </c>
      <c r="U302" s="1" t="n">
        <v>49.9</v>
      </c>
      <c r="V302" s="1" t="n">
        <v>60</v>
      </c>
      <c r="W302" s="1" t="n">
        <v>40</v>
      </c>
      <c r="Z302" s="1" t="s">
        <v>54</v>
      </c>
    </row>
    <row r="303" customFormat="false" ht="16.15" hidden="true" customHeight="false" outlineLevel="0" collapsed="false">
      <c r="B303" s="1" t="s">
        <v>654</v>
      </c>
      <c r="C303" s="1" t="s">
        <v>231</v>
      </c>
      <c r="D303" s="13" t="n">
        <v>0.854166666666667</v>
      </c>
      <c r="E303" s="14" t="s">
        <v>713</v>
      </c>
      <c r="F303" s="14" t="s">
        <v>714</v>
      </c>
      <c r="H303" s="1" t="n">
        <v>32.5</v>
      </c>
      <c r="I303" s="1" t="n">
        <v>28.3</v>
      </c>
      <c r="J303" s="1" t="n">
        <v>39.2</v>
      </c>
      <c r="K303" s="1" t="n">
        <v>60.8</v>
      </c>
      <c r="L303" s="1" t="n">
        <v>67.5</v>
      </c>
      <c r="M303" s="1" t="n">
        <v>71.7</v>
      </c>
      <c r="N303" s="1" t="n">
        <v>23.4</v>
      </c>
      <c r="O303" s="1" t="n">
        <v>46</v>
      </c>
      <c r="P303" s="1" t="n">
        <v>30.6</v>
      </c>
      <c r="Q303" s="1" t="n">
        <v>65.8</v>
      </c>
      <c r="R303" s="1" t="n">
        <v>78.4</v>
      </c>
      <c r="S303" s="1" t="n">
        <v>53.6</v>
      </c>
      <c r="T303" s="1" t="n">
        <v>46.4</v>
      </c>
      <c r="U303" s="1" t="n">
        <v>52.1</v>
      </c>
      <c r="V303" s="1" t="n">
        <v>58.4</v>
      </c>
      <c r="W303" s="1" t="n">
        <v>41.6</v>
      </c>
      <c r="Z303" s="1" t="s">
        <v>36</v>
      </c>
      <c r="AC303" s="1" t="n">
        <v>43</v>
      </c>
      <c r="AF303" s="1" t="n">
        <v>41</v>
      </c>
    </row>
    <row r="304" customFormat="false" ht="16.4" hidden="true" customHeight="false" outlineLevel="0" collapsed="false">
      <c r="B304" s="1" t="s">
        <v>654</v>
      </c>
      <c r="C304" s="1" t="s">
        <v>231</v>
      </c>
      <c r="D304" s="13" t="n">
        <v>0.854166666666667</v>
      </c>
      <c r="E304" s="14" t="s">
        <v>715</v>
      </c>
      <c r="F304" s="14" t="s">
        <v>716</v>
      </c>
      <c r="H304" s="1" t="n">
        <v>53.4</v>
      </c>
      <c r="I304" s="1" t="n">
        <v>24.3</v>
      </c>
      <c r="J304" s="1" t="n">
        <v>22.3</v>
      </c>
      <c r="K304" s="1" t="n">
        <v>77.7</v>
      </c>
      <c r="L304" s="1" t="n">
        <v>46.6</v>
      </c>
      <c r="M304" s="1" t="n">
        <v>75.7</v>
      </c>
      <c r="N304" s="1" t="n">
        <v>44.1</v>
      </c>
      <c r="O304" s="1" t="n">
        <v>34.1</v>
      </c>
      <c r="P304" s="1" t="n">
        <v>21.8</v>
      </c>
      <c r="Q304" s="1" t="n">
        <v>82.5</v>
      </c>
      <c r="R304" s="1" t="n">
        <v>90.4</v>
      </c>
      <c r="S304" s="1" t="n">
        <v>73.9</v>
      </c>
      <c r="T304" s="1" t="n">
        <v>26.1</v>
      </c>
      <c r="U304" s="1" t="n">
        <v>32</v>
      </c>
      <c r="V304" s="1" t="n">
        <v>71.5</v>
      </c>
      <c r="W304" s="1" t="n">
        <v>28.5</v>
      </c>
      <c r="Z304" s="1" t="s">
        <v>48</v>
      </c>
    </row>
    <row r="305" customFormat="false" ht="16.4" hidden="true" customHeight="false" outlineLevel="0" collapsed="false">
      <c r="B305" s="1" t="s">
        <v>654</v>
      </c>
      <c r="C305" s="1" t="s">
        <v>231</v>
      </c>
      <c r="D305" s="13" t="n">
        <v>0.854166666666667</v>
      </c>
      <c r="E305" s="14" t="s">
        <v>717</v>
      </c>
      <c r="F305" s="14" t="s">
        <v>718</v>
      </c>
      <c r="H305" s="1" t="n">
        <v>41.9</v>
      </c>
      <c r="I305" s="1" t="n">
        <v>26</v>
      </c>
      <c r="J305" s="1" t="n">
        <v>32.1</v>
      </c>
      <c r="K305" s="1" t="n">
        <v>67.9</v>
      </c>
      <c r="L305" s="1" t="n">
        <v>58.1</v>
      </c>
      <c r="M305" s="1" t="n">
        <v>74</v>
      </c>
      <c r="N305" s="1" t="n">
        <v>44</v>
      </c>
      <c r="O305" s="1" t="n">
        <v>36.2</v>
      </c>
      <c r="P305" s="1" t="n">
        <v>19.8</v>
      </c>
      <c r="Q305" s="1" t="n">
        <v>78.8</v>
      </c>
      <c r="R305" s="1" t="n">
        <v>86</v>
      </c>
      <c r="S305" s="1" t="n">
        <v>65.5</v>
      </c>
      <c r="T305" s="1" t="n">
        <v>34.5</v>
      </c>
      <c r="U305" s="1" t="n">
        <v>40.1</v>
      </c>
      <c r="V305" s="1" t="n">
        <v>67.4</v>
      </c>
      <c r="W305" s="1" t="n">
        <v>32.6</v>
      </c>
      <c r="Z305" s="1" t="s">
        <v>48</v>
      </c>
    </row>
    <row r="306" customFormat="false" ht="16.4" hidden="true" customHeight="false" outlineLevel="0" collapsed="false">
      <c r="B306" s="1" t="s">
        <v>654</v>
      </c>
      <c r="C306" s="1" t="s">
        <v>231</v>
      </c>
      <c r="D306" s="13" t="n">
        <v>0.854166666666667</v>
      </c>
      <c r="E306" s="14" t="s">
        <v>719</v>
      </c>
      <c r="F306" s="14" t="s">
        <v>720</v>
      </c>
      <c r="H306" s="1" t="n">
        <v>39.6</v>
      </c>
      <c r="I306" s="1" t="n">
        <v>26.9</v>
      </c>
      <c r="J306" s="1" t="n">
        <v>33.5</v>
      </c>
      <c r="K306" s="1" t="n">
        <v>66.5</v>
      </c>
      <c r="L306" s="1" t="n">
        <v>60.4</v>
      </c>
      <c r="M306" s="1" t="n">
        <v>73.1</v>
      </c>
      <c r="N306" s="1" t="n">
        <v>24</v>
      </c>
      <c r="O306" s="1" t="n">
        <v>41.1</v>
      </c>
      <c r="P306" s="1" t="n">
        <v>34.8</v>
      </c>
      <c r="Q306" s="1" t="n">
        <v>73.2</v>
      </c>
      <c r="R306" s="1" t="n">
        <v>82.6</v>
      </c>
      <c r="S306" s="1" t="n">
        <v>59.9</v>
      </c>
      <c r="T306" s="1" t="n">
        <v>40.1</v>
      </c>
      <c r="U306" s="1" t="n">
        <v>45.7</v>
      </c>
      <c r="V306" s="1" t="n">
        <v>63.3</v>
      </c>
      <c r="W306" s="1" t="n">
        <v>36.7</v>
      </c>
      <c r="Z306" s="1" t="s">
        <v>48</v>
      </c>
    </row>
    <row r="307" customFormat="false" ht="16.4" hidden="true" customHeight="false" outlineLevel="0" collapsed="false">
      <c r="B307" s="1" t="s">
        <v>184</v>
      </c>
      <c r="C307" s="1" t="s">
        <v>231</v>
      </c>
      <c r="D307" s="13" t="n">
        <v>0.875</v>
      </c>
      <c r="E307" s="14" t="s">
        <v>721</v>
      </c>
      <c r="F307" s="14" t="s">
        <v>722</v>
      </c>
      <c r="H307" s="1" t="n">
        <v>46.1</v>
      </c>
      <c r="I307" s="1" t="n">
        <v>28.8</v>
      </c>
      <c r="J307" s="1" t="n">
        <v>25</v>
      </c>
      <c r="K307" s="1" t="n">
        <v>75</v>
      </c>
      <c r="L307" s="1" t="n">
        <v>53.9</v>
      </c>
      <c r="M307" s="1" t="n">
        <v>71.2</v>
      </c>
      <c r="N307" s="1" t="n">
        <v>33.8</v>
      </c>
      <c r="O307" s="1" t="n">
        <v>44.1</v>
      </c>
      <c r="P307" s="1" t="n">
        <v>22.1</v>
      </c>
      <c r="Q307" s="1" t="n">
        <v>68.2</v>
      </c>
      <c r="R307" s="1" t="n">
        <v>72</v>
      </c>
      <c r="S307" s="1" t="n">
        <v>45</v>
      </c>
      <c r="T307" s="1" t="n">
        <v>55</v>
      </c>
      <c r="U307" s="1" t="n">
        <v>60.8</v>
      </c>
      <c r="V307" s="1" t="n">
        <v>50.3</v>
      </c>
      <c r="W307" s="1" t="n">
        <v>49.7</v>
      </c>
    </row>
    <row r="308" customFormat="false" ht="16.4" hidden="true" customHeight="false" outlineLevel="0" collapsed="false">
      <c r="B308" s="1" t="s">
        <v>519</v>
      </c>
      <c r="C308" s="1" t="s">
        <v>231</v>
      </c>
      <c r="D308" s="13" t="n">
        <v>0.875</v>
      </c>
      <c r="E308" s="14" t="s">
        <v>723</v>
      </c>
      <c r="F308" s="14" t="s">
        <v>724</v>
      </c>
      <c r="H308" s="1" t="n">
        <v>44.8</v>
      </c>
      <c r="I308" s="1" t="n">
        <v>28</v>
      </c>
      <c r="J308" s="1" t="n">
        <v>27.2</v>
      </c>
      <c r="K308" s="1" t="n">
        <v>72.8</v>
      </c>
      <c r="L308" s="1" t="n">
        <v>55.2</v>
      </c>
      <c r="M308" s="1" t="n">
        <v>72</v>
      </c>
      <c r="N308" s="1" t="n">
        <v>35.6</v>
      </c>
      <c r="O308" s="1" t="n">
        <v>41.5</v>
      </c>
      <c r="P308" s="1" t="n">
        <v>22.9</v>
      </c>
      <c r="Q308" s="1" t="n">
        <v>72.2</v>
      </c>
      <c r="R308" s="1" t="n">
        <v>76.1</v>
      </c>
      <c r="S308" s="1" t="n">
        <v>50.3</v>
      </c>
      <c r="T308" s="1" t="n">
        <v>49.7</v>
      </c>
      <c r="U308" s="1" t="n">
        <v>55.6</v>
      </c>
      <c r="V308" s="1" t="n">
        <v>54.9</v>
      </c>
      <c r="W308" s="1" t="n">
        <v>45.1</v>
      </c>
      <c r="Z308" s="1" t="s">
        <v>48</v>
      </c>
    </row>
    <row r="309" customFormat="false" ht="16.15" hidden="true" customHeight="false" outlineLevel="0" collapsed="false">
      <c r="B309" s="1" t="s">
        <v>167</v>
      </c>
      <c r="C309" s="1" t="s">
        <v>231</v>
      </c>
      <c r="D309" s="13" t="n">
        <v>0.875</v>
      </c>
      <c r="E309" s="14" t="s">
        <v>725</v>
      </c>
      <c r="F309" s="14" t="s">
        <v>726</v>
      </c>
      <c r="H309" s="1" t="n">
        <v>22.6</v>
      </c>
      <c r="I309" s="1" t="n">
        <v>35.8</v>
      </c>
      <c r="J309" s="1" t="n">
        <v>41.6</v>
      </c>
      <c r="K309" s="1" t="n">
        <v>58.4</v>
      </c>
      <c r="L309" s="1" t="n">
        <v>77.4</v>
      </c>
      <c r="M309" s="1" t="n">
        <v>64.2</v>
      </c>
      <c r="N309" s="1" t="n">
        <v>17.8</v>
      </c>
      <c r="O309" s="1" t="n">
        <v>53.3</v>
      </c>
      <c r="P309" s="1" t="n">
        <v>28.9</v>
      </c>
      <c r="Q309" s="1" t="n">
        <v>54.8</v>
      </c>
      <c r="R309" s="1" t="n">
        <v>54</v>
      </c>
      <c r="S309" s="1" t="n">
        <v>26</v>
      </c>
      <c r="T309" s="1" t="n">
        <v>74</v>
      </c>
      <c r="U309" s="1" t="n">
        <v>78.4</v>
      </c>
      <c r="V309" s="1" t="n">
        <v>34.3</v>
      </c>
      <c r="W309" s="1" t="n">
        <v>65.7</v>
      </c>
      <c r="Z309" s="1" t="s">
        <v>36</v>
      </c>
      <c r="AC309" s="1" t="n">
        <v>55</v>
      </c>
      <c r="AF309" s="1" t="n">
        <v>50</v>
      </c>
    </row>
    <row r="310" customFormat="false" ht="16.4" hidden="true" customHeight="false" outlineLevel="0" collapsed="false">
      <c r="B310" s="1" t="s">
        <v>32</v>
      </c>
      <c r="C310" s="1" t="s">
        <v>231</v>
      </c>
      <c r="D310" s="13" t="n">
        <v>0.875</v>
      </c>
      <c r="E310" s="14" t="s">
        <v>727</v>
      </c>
      <c r="F310" s="14" t="s">
        <v>728</v>
      </c>
      <c r="H310" s="1" t="n">
        <v>39.3</v>
      </c>
      <c r="I310" s="1" t="n">
        <v>28.1</v>
      </c>
      <c r="J310" s="1" t="n">
        <v>32.6</v>
      </c>
      <c r="K310" s="1" t="n">
        <v>67.4</v>
      </c>
      <c r="L310" s="1" t="n">
        <v>60.7</v>
      </c>
      <c r="M310" s="1" t="n">
        <v>71.9</v>
      </c>
      <c r="N310" s="1" t="n">
        <v>33.7</v>
      </c>
      <c r="O310" s="1" t="n">
        <v>43.5</v>
      </c>
      <c r="P310" s="1" t="n">
        <v>22.7</v>
      </c>
      <c r="Q310" s="1" t="n">
        <v>69.1</v>
      </c>
      <c r="R310" s="1" t="n">
        <v>78.2</v>
      </c>
      <c r="S310" s="1" t="n">
        <v>53.2</v>
      </c>
      <c r="T310" s="1" t="n">
        <v>46.8</v>
      </c>
      <c r="U310" s="1" t="n">
        <v>52.4</v>
      </c>
      <c r="V310" s="1" t="n">
        <v>58.1</v>
      </c>
      <c r="W310" s="1" t="n">
        <v>41.9</v>
      </c>
      <c r="Z310" s="1" t="s">
        <v>19</v>
      </c>
      <c r="AB310" s="1" t="n">
        <v>52</v>
      </c>
    </row>
    <row r="311" customFormat="false" ht="16.4" hidden="true" customHeight="false" outlineLevel="0" collapsed="false">
      <c r="B311" s="1" t="s">
        <v>32</v>
      </c>
      <c r="C311" s="1" t="s">
        <v>231</v>
      </c>
      <c r="D311" s="13" t="n">
        <v>0.875</v>
      </c>
      <c r="E311" s="14" t="s">
        <v>729</v>
      </c>
      <c r="F311" s="14" t="s">
        <v>730</v>
      </c>
      <c r="H311" s="1" t="n">
        <v>41.8</v>
      </c>
      <c r="I311" s="1" t="n">
        <v>27.8</v>
      </c>
      <c r="J311" s="1" t="n">
        <v>30.4</v>
      </c>
      <c r="K311" s="1" t="n">
        <v>69.6</v>
      </c>
      <c r="L311" s="1" t="n">
        <v>58.2</v>
      </c>
      <c r="M311" s="1" t="n">
        <v>72.2</v>
      </c>
      <c r="N311" s="1" t="n">
        <v>31</v>
      </c>
      <c r="O311" s="1" t="n">
        <v>45.7</v>
      </c>
      <c r="P311" s="1" t="n">
        <v>23.3</v>
      </c>
      <c r="Q311" s="1" t="n">
        <v>66.1</v>
      </c>
      <c r="R311" s="1" t="n">
        <v>78.4</v>
      </c>
      <c r="S311" s="1" t="n">
        <v>53.6</v>
      </c>
      <c r="T311" s="1" t="n">
        <v>46.4</v>
      </c>
      <c r="U311" s="1" t="n">
        <v>52.2</v>
      </c>
      <c r="V311" s="1" t="n">
        <v>58.1</v>
      </c>
      <c r="W311" s="1" t="n">
        <v>41.9</v>
      </c>
      <c r="Z311" s="1" t="s">
        <v>20</v>
      </c>
      <c r="AC311" s="1" t="n">
        <v>46</v>
      </c>
    </row>
    <row r="312" customFormat="false" ht="16.4" hidden="true" customHeight="false" outlineLevel="0" collapsed="false">
      <c r="B312" s="1" t="s">
        <v>731</v>
      </c>
      <c r="C312" s="1" t="s">
        <v>231</v>
      </c>
      <c r="D312" s="13" t="n">
        <v>0.875</v>
      </c>
      <c r="E312" s="14" t="s">
        <v>732</v>
      </c>
      <c r="F312" s="14" t="s">
        <v>733</v>
      </c>
      <c r="H312" s="1" t="n">
        <v>70.3</v>
      </c>
      <c r="I312" s="1" t="n">
        <v>21.4</v>
      </c>
      <c r="J312" s="1" t="n">
        <v>8.2</v>
      </c>
      <c r="K312" s="1" t="n">
        <v>91.8</v>
      </c>
      <c r="L312" s="1" t="n">
        <v>29.7</v>
      </c>
      <c r="M312" s="1" t="n">
        <v>78.6</v>
      </c>
      <c r="N312" s="1" t="n">
        <v>48.8</v>
      </c>
      <c r="O312" s="1" t="n">
        <v>46.7</v>
      </c>
      <c r="P312" s="1" t="n">
        <v>4.5</v>
      </c>
      <c r="Q312" s="1" t="n">
        <v>56.7</v>
      </c>
      <c r="R312" s="1" t="n">
        <v>72.8</v>
      </c>
      <c r="S312" s="1" t="n">
        <v>46.5</v>
      </c>
      <c r="T312" s="1" t="n">
        <v>53.5</v>
      </c>
      <c r="U312" s="1" t="n">
        <v>64.5</v>
      </c>
      <c r="V312" s="1" t="n">
        <v>36.9</v>
      </c>
      <c r="W312" s="1" t="n">
        <v>63.1</v>
      </c>
    </row>
    <row r="313" customFormat="false" ht="16.4" hidden="true" customHeight="false" outlineLevel="0" collapsed="false">
      <c r="B313" s="1" t="s">
        <v>670</v>
      </c>
      <c r="C313" s="1" t="s">
        <v>231</v>
      </c>
      <c r="D313" s="13" t="n">
        <v>0.888888888888889</v>
      </c>
      <c r="E313" s="14" t="s">
        <v>734</v>
      </c>
      <c r="F313" s="14" t="s">
        <v>735</v>
      </c>
      <c r="H313" s="1" t="n">
        <v>36.7</v>
      </c>
      <c r="I313" s="1" t="n">
        <v>28.7</v>
      </c>
      <c r="J313" s="1" t="n">
        <v>34.5</v>
      </c>
      <c r="K313" s="1" t="n">
        <v>65.5</v>
      </c>
      <c r="L313" s="1" t="n">
        <v>63.3</v>
      </c>
      <c r="M313" s="1" t="n">
        <v>71.3</v>
      </c>
      <c r="N313" s="1" t="n">
        <v>26</v>
      </c>
      <c r="O313" s="1" t="n">
        <v>46.3</v>
      </c>
      <c r="P313" s="1" t="n">
        <v>27.7</v>
      </c>
      <c r="Q313" s="1" t="n">
        <v>65.5</v>
      </c>
      <c r="R313" s="1" t="n">
        <v>76.5</v>
      </c>
      <c r="S313" s="1" t="n">
        <v>50.8</v>
      </c>
      <c r="T313" s="1" t="n">
        <v>49.2</v>
      </c>
      <c r="U313" s="1" t="n">
        <v>54.7</v>
      </c>
      <c r="V313" s="1" t="n">
        <v>56.4</v>
      </c>
      <c r="W313" s="1" t="n">
        <v>43.6</v>
      </c>
      <c r="Z313" s="1" t="s">
        <v>133</v>
      </c>
      <c r="AB313" s="1" t="n">
        <v>46</v>
      </c>
      <c r="AE313" s="1" t="n">
        <v>51</v>
      </c>
    </row>
    <row r="314" customFormat="false" ht="16.15" hidden="true" customHeight="false" outlineLevel="0" collapsed="false">
      <c r="B314" s="1" t="s">
        <v>172</v>
      </c>
      <c r="C314" s="1" t="s">
        <v>231</v>
      </c>
      <c r="D314" s="13" t="n">
        <v>0.895833333333333</v>
      </c>
      <c r="E314" s="14" t="s">
        <v>736</v>
      </c>
      <c r="F314" s="14" t="s">
        <v>737</v>
      </c>
      <c r="H314" s="1" t="n">
        <v>32.5</v>
      </c>
      <c r="I314" s="1" t="n">
        <v>34.8</v>
      </c>
      <c r="J314" s="1" t="n">
        <v>32.7</v>
      </c>
      <c r="K314" s="1" t="n">
        <v>67.3</v>
      </c>
      <c r="L314" s="1" t="n">
        <v>67.5</v>
      </c>
      <c r="M314" s="1" t="n">
        <v>65.2</v>
      </c>
      <c r="N314" s="1" t="n">
        <v>25</v>
      </c>
      <c r="O314" s="1" t="n">
        <v>57.3</v>
      </c>
      <c r="P314" s="1" t="n">
        <v>17.7</v>
      </c>
      <c r="Q314" s="1" t="n">
        <v>49.3</v>
      </c>
      <c r="R314" s="1" t="n">
        <v>57.4</v>
      </c>
      <c r="S314" s="1" t="n">
        <v>29.1</v>
      </c>
      <c r="T314" s="1" t="n">
        <v>70.9</v>
      </c>
      <c r="U314" s="1" t="n">
        <v>75.1</v>
      </c>
      <c r="V314" s="1" t="n">
        <v>38.5</v>
      </c>
      <c r="W314" s="1" t="n">
        <v>61.5</v>
      </c>
      <c r="Z314" s="1" t="s">
        <v>317</v>
      </c>
      <c r="AF314" s="1" t="n">
        <v>58</v>
      </c>
    </row>
    <row r="315" customFormat="false" ht="16.4" hidden="true" customHeight="false" outlineLevel="0" collapsed="false">
      <c r="B315" s="1" t="s">
        <v>172</v>
      </c>
      <c r="C315" s="1" t="s">
        <v>231</v>
      </c>
      <c r="D315" s="13" t="n">
        <v>0.895833333333333</v>
      </c>
      <c r="E315" s="14" t="s">
        <v>738</v>
      </c>
      <c r="F315" s="14" t="s">
        <v>739</v>
      </c>
      <c r="H315" s="1" t="n">
        <v>48.2</v>
      </c>
      <c r="I315" s="1" t="n">
        <v>30.5</v>
      </c>
      <c r="J315" s="1" t="n">
        <v>21.4</v>
      </c>
      <c r="K315" s="1" t="n">
        <v>78.6</v>
      </c>
      <c r="L315" s="1" t="n">
        <v>51.8</v>
      </c>
      <c r="M315" s="1" t="n">
        <v>69.5</v>
      </c>
      <c r="N315" s="1" t="n">
        <v>38.9</v>
      </c>
      <c r="O315" s="1" t="n">
        <v>52.2</v>
      </c>
      <c r="P315" s="1" t="n">
        <v>8.9</v>
      </c>
      <c r="Q315" s="1" t="n">
        <v>53.1</v>
      </c>
      <c r="R315" s="1" t="n">
        <v>64.1</v>
      </c>
      <c r="S315" s="1" t="n">
        <v>35.9</v>
      </c>
      <c r="T315" s="1" t="n">
        <v>64.1</v>
      </c>
      <c r="U315" s="1" t="n">
        <v>69.8</v>
      </c>
      <c r="V315" s="1" t="n">
        <v>41.8</v>
      </c>
      <c r="W315" s="1" t="n">
        <v>58.2</v>
      </c>
      <c r="Z315" s="1" t="s">
        <v>317</v>
      </c>
      <c r="AF315" s="1" t="n">
        <v>57</v>
      </c>
    </row>
    <row r="316" customFormat="false" ht="16.4" hidden="true" customHeight="false" outlineLevel="0" collapsed="false">
      <c r="B316" s="1" t="s">
        <v>654</v>
      </c>
      <c r="C316" s="1" t="s">
        <v>231</v>
      </c>
      <c r="D316" s="13" t="n">
        <v>0.895833333333333</v>
      </c>
      <c r="E316" s="14" t="s">
        <v>740</v>
      </c>
      <c r="F316" s="14" t="s">
        <v>741</v>
      </c>
      <c r="H316" s="1" t="n">
        <v>45</v>
      </c>
      <c r="I316" s="1" t="n">
        <v>26.5</v>
      </c>
      <c r="J316" s="1" t="n">
        <v>28.6</v>
      </c>
      <c r="K316" s="1" t="n">
        <v>71.4</v>
      </c>
      <c r="L316" s="1" t="n">
        <v>55</v>
      </c>
      <c r="M316" s="1" t="n">
        <v>73.5</v>
      </c>
      <c r="N316" s="1" t="n">
        <v>37.4</v>
      </c>
      <c r="O316" s="1" t="n">
        <v>39.4</v>
      </c>
      <c r="P316" s="1" t="n">
        <v>23.1</v>
      </c>
      <c r="Q316" s="1" t="n">
        <v>75.2</v>
      </c>
      <c r="R316" s="1" t="n">
        <v>82.3</v>
      </c>
      <c r="S316" s="1" t="n">
        <v>59.5</v>
      </c>
      <c r="T316" s="1" t="n">
        <v>40.5</v>
      </c>
      <c r="U316" s="1" t="n">
        <v>46.4</v>
      </c>
      <c r="V316" s="1" t="n">
        <v>62.2</v>
      </c>
      <c r="W316" s="1" t="n">
        <v>37.8</v>
      </c>
      <c r="Z316" s="1" t="s">
        <v>22</v>
      </c>
      <c r="AE316" s="1" t="n">
        <v>63</v>
      </c>
    </row>
    <row r="317" customFormat="false" ht="16.4" hidden="true" customHeight="false" outlineLevel="0" collapsed="false">
      <c r="B317" s="1" t="s">
        <v>654</v>
      </c>
      <c r="C317" s="1" t="s">
        <v>231</v>
      </c>
      <c r="D317" s="13" t="n">
        <v>0.895833333333333</v>
      </c>
      <c r="E317" s="14" t="s">
        <v>742</v>
      </c>
      <c r="F317" s="14" t="s">
        <v>743</v>
      </c>
      <c r="H317" s="1" t="n">
        <v>53.7</v>
      </c>
      <c r="I317" s="1" t="n">
        <v>24.5</v>
      </c>
      <c r="J317" s="1" t="n">
        <v>21.8</v>
      </c>
      <c r="K317" s="1" t="n">
        <v>78.2</v>
      </c>
      <c r="L317" s="1" t="n">
        <v>46.3</v>
      </c>
      <c r="M317" s="1" t="n">
        <v>75.5</v>
      </c>
      <c r="N317" s="1" t="n">
        <v>42.1</v>
      </c>
      <c r="O317" s="1" t="n">
        <v>36.7</v>
      </c>
      <c r="P317" s="1" t="n">
        <v>21.2</v>
      </c>
      <c r="Q317" s="1" t="n">
        <v>78.5</v>
      </c>
      <c r="R317" s="1" t="n">
        <v>86.1</v>
      </c>
      <c r="S317" s="1" t="n">
        <v>65.9</v>
      </c>
      <c r="T317" s="1" t="n">
        <v>34.1</v>
      </c>
      <c r="U317" s="1" t="n">
        <v>40.6</v>
      </c>
      <c r="V317" s="1" t="n">
        <v>64.9</v>
      </c>
      <c r="W317" s="1" t="n">
        <v>35.1</v>
      </c>
      <c r="Z317" s="1" t="s">
        <v>317</v>
      </c>
      <c r="AF317" s="1" t="n">
        <v>34</v>
      </c>
    </row>
    <row r="318" customFormat="false" ht="16.4" hidden="true" customHeight="false" outlineLevel="0" collapsed="false">
      <c r="B318" s="1" t="s">
        <v>654</v>
      </c>
      <c r="C318" s="1" t="s">
        <v>231</v>
      </c>
      <c r="D318" s="13" t="n">
        <v>0.895833333333333</v>
      </c>
      <c r="E318" s="14" t="s">
        <v>744</v>
      </c>
      <c r="F318" s="14" t="s">
        <v>745</v>
      </c>
      <c r="H318" s="1" t="n">
        <v>55.5</v>
      </c>
      <c r="I318" s="1" t="n">
        <v>24</v>
      </c>
      <c r="J318" s="1" t="n">
        <v>20.5</v>
      </c>
      <c r="K318" s="1" t="n">
        <v>79.5</v>
      </c>
      <c r="L318" s="1" t="n">
        <v>44.5</v>
      </c>
      <c r="M318" s="1" t="n">
        <v>76</v>
      </c>
      <c r="N318" s="1" t="n">
        <v>43.1</v>
      </c>
      <c r="O318" s="1" t="n">
        <v>35.1</v>
      </c>
      <c r="P318" s="1" t="n">
        <v>21.8</v>
      </c>
      <c r="Q318" s="1" t="n">
        <v>81.1</v>
      </c>
      <c r="R318" s="1" t="n">
        <v>89.3</v>
      </c>
      <c r="S318" s="1" t="n">
        <v>71.7</v>
      </c>
      <c r="T318" s="1" t="n">
        <v>28.3</v>
      </c>
      <c r="U318" s="1" t="n">
        <v>34.6</v>
      </c>
      <c r="V318" s="1" t="n">
        <v>69</v>
      </c>
      <c r="W318" s="1" t="n">
        <v>31</v>
      </c>
      <c r="Z318" s="1" t="s">
        <v>133</v>
      </c>
      <c r="AB318" s="1" t="n">
        <v>66</v>
      </c>
      <c r="AE318" s="1" t="n">
        <v>65</v>
      </c>
    </row>
    <row r="319" customFormat="false" ht="16.4" hidden="true" customHeight="false" outlineLevel="0" collapsed="false">
      <c r="B319" s="1" t="s">
        <v>654</v>
      </c>
      <c r="C319" s="1" t="s">
        <v>231</v>
      </c>
      <c r="D319" s="13" t="n">
        <v>0.895833333333333</v>
      </c>
      <c r="E319" s="14" t="s">
        <v>746</v>
      </c>
      <c r="F319" s="14" t="s">
        <v>747</v>
      </c>
      <c r="H319" s="1" t="n">
        <v>18.2</v>
      </c>
      <c r="I319" s="1" t="n">
        <v>25.9</v>
      </c>
      <c r="J319" s="1" t="n">
        <v>55.8</v>
      </c>
      <c r="K319" s="1" t="n">
        <v>44.2</v>
      </c>
      <c r="L319" s="1" t="n">
        <v>81.8</v>
      </c>
      <c r="M319" s="1" t="n">
        <v>74.1</v>
      </c>
      <c r="N319" s="1" t="n">
        <v>17.1</v>
      </c>
      <c r="O319" s="1" t="n">
        <v>37.3</v>
      </c>
      <c r="P319" s="1" t="n">
        <v>45.6</v>
      </c>
      <c r="Q319" s="1" t="n">
        <v>77.1</v>
      </c>
      <c r="R319" s="1" t="n">
        <v>81.8</v>
      </c>
      <c r="S319" s="1" t="n">
        <v>58.7</v>
      </c>
      <c r="T319" s="1" t="n">
        <v>41.3</v>
      </c>
      <c r="U319" s="1" t="n">
        <v>48.5</v>
      </c>
      <c r="V319" s="1" t="n">
        <v>57.7</v>
      </c>
      <c r="W319" s="1" t="n">
        <v>42.3</v>
      </c>
      <c r="Z319" s="1" t="s">
        <v>48</v>
      </c>
    </row>
    <row r="320" customFormat="false" ht="16.4" hidden="true" customHeight="false" outlineLevel="0" collapsed="false">
      <c r="B320" s="1" t="s">
        <v>32</v>
      </c>
      <c r="C320" s="1" t="s">
        <v>231</v>
      </c>
      <c r="D320" s="13" t="n">
        <v>0.895833333333333</v>
      </c>
      <c r="E320" s="14" t="s">
        <v>748</v>
      </c>
      <c r="F320" s="14" t="s">
        <v>749</v>
      </c>
      <c r="H320" s="1" t="n">
        <v>42.5</v>
      </c>
      <c r="I320" s="1" t="n">
        <v>29.3</v>
      </c>
      <c r="J320" s="1" t="n">
        <v>28.2</v>
      </c>
      <c r="K320" s="1" t="n">
        <v>71.8</v>
      </c>
      <c r="L320" s="1" t="n">
        <v>57.5</v>
      </c>
      <c r="M320" s="1" t="n">
        <v>70.7</v>
      </c>
      <c r="N320" s="1" t="n">
        <v>29.4</v>
      </c>
      <c r="O320" s="1" t="n">
        <v>51.8</v>
      </c>
      <c r="P320" s="1" t="n">
        <v>18.7</v>
      </c>
      <c r="Q320" s="1" t="n">
        <v>56.7</v>
      </c>
      <c r="R320" s="1" t="n">
        <v>72.6</v>
      </c>
      <c r="S320" s="1" t="n">
        <v>45.7</v>
      </c>
      <c r="T320" s="1" t="n">
        <v>54.3</v>
      </c>
      <c r="U320" s="1" t="n">
        <v>59.9</v>
      </c>
      <c r="V320" s="1" t="n">
        <v>51.6</v>
      </c>
      <c r="W320" s="1" t="n">
        <v>48.4</v>
      </c>
      <c r="Z320" s="1" t="s">
        <v>133</v>
      </c>
      <c r="AB320" s="1" t="n">
        <v>44</v>
      </c>
      <c r="AE320" s="1" t="n">
        <v>51</v>
      </c>
    </row>
    <row r="321" customFormat="false" ht="16.4" hidden="true" customHeight="false" outlineLevel="0" collapsed="false">
      <c r="B321" s="1" t="s">
        <v>161</v>
      </c>
      <c r="C321" s="1" t="s">
        <v>231</v>
      </c>
      <c r="D321" s="13" t="n">
        <v>0.895833333333333</v>
      </c>
      <c r="E321" s="14" t="s">
        <v>750</v>
      </c>
      <c r="F321" s="14" t="s">
        <v>751</v>
      </c>
      <c r="H321" s="1" t="n">
        <v>52.5</v>
      </c>
      <c r="I321" s="1" t="n">
        <v>28.6</v>
      </c>
      <c r="J321" s="1" t="n">
        <v>19</v>
      </c>
      <c r="K321" s="1" t="n">
        <v>81</v>
      </c>
      <c r="L321" s="1" t="n">
        <v>47.5</v>
      </c>
      <c r="M321" s="1" t="n">
        <v>71.4</v>
      </c>
      <c r="N321" s="1" t="n">
        <v>33</v>
      </c>
      <c r="O321" s="1" t="n">
        <v>50.6</v>
      </c>
      <c r="P321" s="1" t="n">
        <v>16.4</v>
      </c>
      <c r="Q321" s="1" t="n">
        <v>57.8</v>
      </c>
      <c r="R321" s="1" t="n">
        <v>67.4</v>
      </c>
      <c r="S321" s="1" t="n">
        <v>39.5</v>
      </c>
      <c r="T321" s="1" t="n">
        <v>60.5</v>
      </c>
      <c r="U321" s="1" t="n">
        <v>67</v>
      </c>
      <c r="V321" s="1" t="n">
        <v>43.3</v>
      </c>
      <c r="W321" s="1" t="n">
        <v>56.7</v>
      </c>
    </row>
    <row r="322" customFormat="false" ht="16.4" hidden="true" customHeight="false" outlineLevel="0" collapsed="false">
      <c r="B322" s="1" t="s">
        <v>175</v>
      </c>
      <c r="C322" s="1" t="s">
        <v>231</v>
      </c>
      <c r="D322" s="13" t="n">
        <v>0.916666666666667</v>
      </c>
      <c r="E322" s="14" t="s">
        <v>752</v>
      </c>
      <c r="F322" s="14" t="s">
        <v>753</v>
      </c>
      <c r="H322" s="1" t="n">
        <v>33.2</v>
      </c>
      <c r="I322" s="1" t="n">
        <v>33.9</v>
      </c>
      <c r="J322" s="1" t="n">
        <v>32.9</v>
      </c>
      <c r="K322" s="1" t="n">
        <v>67.1</v>
      </c>
      <c r="L322" s="1" t="n">
        <v>66.8</v>
      </c>
      <c r="M322" s="1" t="n">
        <v>66.1</v>
      </c>
      <c r="N322" s="1" t="n">
        <v>29.9</v>
      </c>
      <c r="O322" s="1" t="n">
        <v>46.8</v>
      </c>
      <c r="P322" s="1" t="n">
        <v>23.3</v>
      </c>
      <c r="Q322" s="1" t="n">
        <v>64.5</v>
      </c>
      <c r="R322" s="1" t="n">
        <v>60</v>
      </c>
      <c r="S322" s="1" t="n">
        <v>31.6</v>
      </c>
      <c r="T322" s="1" t="n">
        <v>68.4</v>
      </c>
      <c r="U322" s="1" t="n">
        <v>72.9</v>
      </c>
      <c r="V322" s="1" t="n">
        <v>40.7</v>
      </c>
      <c r="W322" s="1" t="n">
        <v>59.3</v>
      </c>
    </row>
    <row r="323" customFormat="false" ht="16.4" hidden="true" customHeight="false" outlineLevel="0" collapsed="false">
      <c r="B323" s="1" t="s">
        <v>32</v>
      </c>
      <c r="C323" s="1" t="s">
        <v>231</v>
      </c>
      <c r="D323" s="13" t="n">
        <v>0.916666666666667</v>
      </c>
      <c r="E323" s="14" t="s">
        <v>754</v>
      </c>
      <c r="F323" s="14" t="s">
        <v>755</v>
      </c>
      <c r="H323" s="1" t="n">
        <v>52.8</v>
      </c>
      <c r="I323" s="1" t="n">
        <v>26.1</v>
      </c>
      <c r="J323" s="1" t="n">
        <v>21.1</v>
      </c>
      <c r="K323" s="1" t="n">
        <v>78.9</v>
      </c>
      <c r="L323" s="1" t="n">
        <v>47.2</v>
      </c>
      <c r="M323" s="1" t="n">
        <v>73.9</v>
      </c>
      <c r="N323" s="1" t="n">
        <v>45.2</v>
      </c>
      <c r="O323" s="1" t="n">
        <v>39.5</v>
      </c>
      <c r="P323" s="1" t="n">
        <v>15.3</v>
      </c>
      <c r="Q323" s="1" t="n">
        <v>72.2</v>
      </c>
      <c r="R323" s="1" t="n">
        <v>78.1</v>
      </c>
      <c r="S323" s="1" t="n">
        <v>53.2</v>
      </c>
      <c r="T323" s="1" t="n">
        <v>46.8</v>
      </c>
      <c r="U323" s="1" t="n">
        <v>53.6</v>
      </c>
      <c r="V323" s="1" t="n">
        <v>54.9</v>
      </c>
      <c r="W323" s="1" t="n">
        <v>45.1</v>
      </c>
      <c r="Z323" s="1" t="s">
        <v>36</v>
      </c>
      <c r="AC323" s="1" t="n">
        <v>40</v>
      </c>
      <c r="AF323" s="1" t="n">
        <v>41</v>
      </c>
    </row>
    <row r="324" customFormat="false" ht="16.4" hidden="true" customHeight="false" outlineLevel="0" collapsed="false">
      <c r="B324" s="1" t="s">
        <v>228</v>
      </c>
      <c r="C324" s="1" t="s">
        <v>231</v>
      </c>
      <c r="D324" s="13" t="n">
        <v>0.916666666666667</v>
      </c>
      <c r="E324" s="14" t="s">
        <v>756</v>
      </c>
      <c r="F324" s="14" t="s">
        <v>757</v>
      </c>
      <c r="H324" s="1" t="n">
        <v>28.5</v>
      </c>
      <c r="I324" s="1" t="n">
        <v>32.2</v>
      </c>
      <c r="J324" s="1" t="n">
        <v>39.3</v>
      </c>
      <c r="K324" s="1" t="n">
        <v>60.7</v>
      </c>
      <c r="L324" s="1" t="n">
        <v>71.5</v>
      </c>
      <c r="M324" s="1" t="n">
        <v>67.8</v>
      </c>
      <c r="N324" s="1" t="n">
        <v>17.7</v>
      </c>
      <c r="O324" s="1" t="n">
        <v>39.3</v>
      </c>
      <c r="P324" s="1" t="n">
        <v>43</v>
      </c>
      <c r="Q324" s="1" t="n">
        <v>74.4</v>
      </c>
      <c r="R324" s="1" t="n">
        <v>65.6</v>
      </c>
      <c r="S324" s="1" t="n">
        <v>37.4</v>
      </c>
      <c r="T324" s="1" t="n">
        <v>62.6</v>
      </c>
      <c r="U324" s="1" t="n">
        <v>67.6</v>
      </c>
      <c r="V324" s="1" t="n">
        <v>45.2</v>
      </c>
      <c r="W324" s="1" t="n">
        <v>54.8</v>
      </c>
      <c r="Z324" s="1" t="s">
        <v>36</v>
      </c>
      <c r="AC324" s="1" t="n">
        <v>61</v>
      </c>
      <c r="AF324" s="1" t="n">
        <v>52</v>
      </c>
    </row>
    <row r="325" customFormat="false" ht="16.4" hidden="true" customHeight="false" outlineLevel="0" collapsed="false">
      <c r="B325" s="1" t="s">
        <v>219</v>
      </c>
      <c r="C325" s="1" t="s">
        <v>231</v>
      </c>
      <c r="D325" s="13" t="n">
        <v>0.916666666666667</v>
      </c>
      <c r="E325" s="14" t="s">
        <v>758</v>
      </c>
      <c r="F325" s="14" t="s">
        <v>759</v>
      </c>
      <c r="H325" s="1" t="n">
        <v>55.7</v>
      </c>
      <c r="I325" s="1" t="n">
        <v>24</v>
      </c>
      <c r="J325" s="1" t="n">
        <v>20.3</v>
      </c>
      <c r="K325" s="1" t="n">
        <v>79.7</v>
      </c>
      <c r="L325" s="1" t="n">
        <v>44.3</v>
      </c>
      <c r="M325" s="1" t="n">
        <v>76</v>
      </c>
      <c r="N325" s="1" t="n">
        <v>44.1</v>
      </c>
      <c r="O325" s="1" t="n">
        <v>36.6</v>
      </c>
      <c r="P325" s="1" t="n">
        <v>19.3</v>
      </c>
      <c r="Q325" s="1" t="n">
        <v>78.1</v>
      </c>
      <c r="R325" s="1" t="n">
        <v>88.4</v>
      </c>
      <c r="S325" s="1" t="n">
        <v>70</v>
      </c>
      <c r="T325" s="1" t="n">
        <v>30</v>
      </c>
      <c r="U325" s="1" t="n">
        <v>36.5</v>
      </c>
      <c r="V325" s="1" t="n">
        <v>67.5</v>
      </c>
      <c r="W325" s="1" t="n">
        <v>32.5</v>
      </c>
    </row>
    <row r="326" customFormat="false" ht="16.4" hidden="true" customHeight="false" outlineLevel="0" collapsed="false">
      <c r="B326" s="1" t="s">
        <v>731</v>
      </c>
      <c r="C326" s="1" t="s">
        <v>231</v>
      </c>
      <c r="D326" s="13" t="n">
        <v>0.916666666666667</v>
      </c>
      <c r="E326" s="14" t="s">
        <v>760</v>
      </c>
      <c r="F326" s="14" t="s">
        <v>761</v>
      </c>
      <c r="H326" s="1" t="n">
        <v>44.2</v>
      </c>
      <c r="I326" s="1" t="n">
        <v>27.4</v>
      </c>
      <c r="J326" s="1" t="n">
        <v>28.4</v>
      </c>
      <c r="K326" s="1" t="n">
        <v>71.6</v>
      </c>
      <c r="L326" s="1" t="n">
        <v>55.8</v>
      </c>
      <c r="M326" s="1" t="n">
        <v>72.6</v>
      </c>
      <c r="N326" s="1" t="n">
        <v>36.6</v>
      </c>
      <c r="O326" s="1" t="n">
        <v>42.8</v>
      </c>
      <c r="P326" s="1" t="n">
        <v>20.6</v>
      </c>
      <c r="Q326" s="1" t="n">
        <v>69.7</v>
      </c>
      <c r="R326" s="1" t="n">
        <v>79</v>
      </c>
      <c r="S326" s="1" t="n">
        <v>54.4</v>
      </c>
      <c r="T326" s="1" t="n">
        <v>45.6</v>
      </c>
      <c r="U326" s="1" t="n">
        <v>51.5</v>
      </c>
      <c r="V326" s="1" t="n">
        <v>58.4</v>
      </c>
      <c r="W326" s="1" t="n">
        <v>41.6</v>
      </c>
    </row>
    <row r="327" customFormat="false" ht="16.4" hidden="true" customHeight="false" outlineLevel="0" collapsed="false">
      <c r="B327" s="1" t="s">
        <v>214</v>
      </c>
      <c r="C327" s="1" t="s">
        <v>231</v>
      </c>
      <c r="D327" s="13" t="n">
        <v>0.920138888888889</v>
      </c>
      <c r="E327" s="14" t="s">
        <v>762</v>
      </c>
      <c r="F327" s="14" t="s">
        <v>763</v>
      </c>
      <c r="H327" s="1" t="n">
        <v>59.6</v>
      </c>
      <c r="I327" s="1" t="n">
        <v>24.1</v>
      </c>
      <c r="J327" s="1" t="n">
        <v>16.3</v>
      </c>
      <c r="K327" s="1" t="n">
        <v>83.7</v>
      </c>
      <c r="L327" s="1" t="n">
        <v>40.4</v>
      </c>
      <c r="M327" s="1" t="n">
        <v>75.9</v>
      </c>
      <c r="N327" s="1" t="n">
        <v>36</v>
      </c>
      <c r="O327" s="1" t="n">
        <v>40.3</v>
      </c>
      <c r="P327" s="1" t="n">
        <v>23.7</v>
      </c>
      <c r="Q327" s="1" t="n">
        <v>74.1</v>
      </c>
      <c r="R327" s="1" t="n">
        <v>80.1</v>
      </c>
      <c r="S327" s="1" t="n">
        <v>56.2</v>
      </c>
      <c r="T327" s="1" t="n">
        <v>43.8</v>
      </c>
      <c r="U327" s="1" t="n">
        <v>51.7</v>
      </c>
      <c r="V327" s="1" t="n">
        <v>54.1</v>
      </c>
      <c r="W327" s="1" t="n">
        <v>45.9</v>
      </c>
      <c r="Z327" s="1" t="s">
        <v>20</v>
      </c>
      <c r="AC327" s="1" t="n">
        <v>42</v>
      </c>
    </row>
    <row r="328" customFormat="false" ht="16.4" hidden="true" customHeight="false" outlineLevel="0" collapsed="false">
      <c r="B328" s="1" t="s">
        <v>667</v>
      </c>
      <c r="C328" s="1" t="s">
        <v>231</v>
      </c>
      <c r="D328" s="13" t="n">
        <v>0.9375</v>
      </c>
      <c r="E328" s="14" t="s">
        <v>764</v>
      </c>
      <c r="F328" s="14" t="s">
        <v>765</v>
      </c>
      <c r="H328" s="1" t="n">
        <v>19.8</v>
      </c>
      <c r="I328" s="1" t="n">
        <v>30.4</v>
      </c>
      <c r="J328" s="1" t="n">
        <v>49.8</v>
      </c>
      <c r="K328" s="1" t="n">
        <v>50.2</v>
      </c>
      <c r="L328" s="1" t="n">
        <v>80.2</v>
      </c>
      <c r="M328" s="1" t="n">
        <v>69.6</v>
      </c>
      <c r="N328" s="1" t="n">
        <v>22.2</v>
      </c>
      <c r="O328" s="1" t="n">
        <v>48.1</v>
      </c>
      <c r="P328" s="1" t="n">
        <v>29.7</v>
      </c>
      <c r="Q328" s="1" t="n">
        <v>62.7</v>
      </c>
      <c r="R328" s="1" t="n">
        <v>67.8</v>
      </c>
      <c r="S328" s="1" t="n">
        <v>40</v>
      </c>
      <c r="T328" s="1" t="n">
        <v>60</v>
      </c>
      <c r="U328" s="1" t="n">
        <v>66.2</v>
      </c>
      <c r="V328" s="1" t="n">
        <v>44.5</v>
      </c>
      <c r="W328" s="1" t="n">
        <v>55.5</v>
      </c>
      <c r="Z328" s="1" t="s">
        <v>54</v>
      </c>
    </row>
    <row r="329" customFormat="false" ht="16.4" hidden="true" customHeight="false" outlineLevel="0" collapsed="false">
      <c r="B329" s="1" t="s">
        <v>654</v>
      </c>
      <c r="C329" s="1" t="s">
        <v>231</v>
      </c>
      <c r="D329" s="13" t="n">
        <v>0.9375</v>
      </c>
      <c r="E329" s="14" t="s">
        <v>766</v>
      </c>
      <c r="F329" s="14" t="s">
        <v>767</v>
      </c>
      <c r="H329" s="1" t="n">
        <v>45.2</v>
      </c>
      <c r="I329" s="1" t="n">
        <v>26.8</v>
      </c>
      <c r="J329" s="1" t="n">
        <v>28</v>
      </c>
      <c r="K329" s="1" t="n">
        <v>72</v>
      </c>
      <c r="L329" s="1" t="n">
        <v>54.8</v>
      </c>
      <c r="M329" s="1" t="n">
        <v>73.2</v>
      </c>
      <c r="N329" s="1" t="n">
        <v>29.7</v>
      </c>
      <c r="O329" s="1" t="n">
        <v>40.8</v>
      </c>
      <c r="P329" s="1" t="n">
        <v>29.4</v>
      </c>
      <c r="Q329" s="1" t="n">
        <v>74</v>
      </c>
      <c r="R329" s="1" t="n">
        <v>80.8</v>
      </c>
      <c r="S329" s="1" t="n">
        <v>57.1</v>
      </c>
      <c r="T329" s="1" t="n">
        <v>42.9</v>
      </c>
      <c r="U329" s="1" t="n">
        <v>48.8</v>
      </c>
      <c r="V329" s="1" t="n">
        <v>60.3</v>
      </c>
      <c r="W329" s="1" t="n">
        <v>39.7</v>
      </c>
      <c r="Z329" s="1" t="s">
        <v>48</v>
      </c>
    </row>
    <row r="330" customFormat="false" ht="16.15" hidden="true" customHeight="false" outlineLevel="0" collapsed="false">
      <c r="B330" s="1" t="s">
        <v>32</v>
      </c>
      <c r="C330" s="1" t="s">
        <v>231</v>
      </c>
      <c r="D330" s="13" t="n">
        <v>0.9375</v>
      </c>
      <c r="E330" s="14" t="s">
        <v>34</v>
      </c>
      <c r="F330" s="14" t="s">
        <v>768</v>
      </c>
      <c r="H330" s="1" t="n">
        <v>48.3</v>
      </c>
      <c r="I330" s="1" t="n">
        <v>28.4</v>
      </c>
      <c r="J330" s="1" t="n">
        <v>23.2</v>
      </c>
      <c r="K330" s="1" t="n">
        <v>76.8</v>
      </c>
      <c r="L330" s="1" t="n">
        <v>51.7</v>
      </c>
      <c r="M330" s="1" t="n">
        <v>71.6</v>
      </c>
      <c r="N330" s="1" t="n">
        <v>32.9</v>
      </c>
      <c r="O330" s="1" t="n">
        <v>47.1</v>
      </c>
      <c r="P330" s="1" t="n">
        <v>20</v>
      </c>
      <c r="Q330" s="1" t="n">
        <v>63.4</v>
      </c>
      <c r="R330" s="1" t="n">
        <v>71.9</v>
      </c>
      <c r="S330" s="1" t="n">
        <v>44.9</v>
      </c>
      <c r="T330" s="1" t="n">
        <v>55.1</v>
      </c>
      <c r="U330" s="1" t="n">
        <v>61.2</v>
      </c>
      <c r="V330" s="1" t="n">
        <v>49.6</v>
      </c>
      <c r="W330" s="1" t="n">
        <v>50.4</v>
      </c>
      <c r="Z330" s="1" t="s">
        <v>36</v>
      </c>
      <c r="AC330" s="1" t="n">
        <v>47</v>
      </c>
      <c r="AF330" s="1" t="n">
        <v>42</v>
      </c>
    </row>
    <row r="331" customFormat="false" ht="16.4" hidden="true" customHeight="false" outlineLevel="0" collapsed="false">
      <c r="B331" s="1" t="s">
        <v>222</v>
      </c>
      <c r="C331" s="1" t="s">
        <v>231</v>
      </c>
      <c r="D331" s="13" t="n">
        <v>0.9375</v>
      </c>
      <c r="E331" s="14" t="s">
        <v>769</v>
      </c>
      <c r="F331" s="14" t="s">
        <v>770</v>
      </c>
      <c r="H331" s="1" t="n">
        <v>34.9</v>
      </c>
      <c r="I331" s="1" t="n">
        <v>27</v>
      </c>
      <c r="J331" s="1" t="n">
        <v>38.1</v>
      </c>
      <c r="K331" s="1" t="n">
        <v>61.9</v>
      </c>
      <c r="L331" s="1" t="n">
        <v>65.1</v>
      </c>
      <c r="M331" s="1" t="n">
        <v>73</v>
      </c>
      <c r="N331" s="1" t="n">
        <v>33.7</v>
      </c>
      <c r="O331" s="1" t="n">
        <v>39.1</v>
      </c>
      <c r="P331" s="1" t="n">
        <v>27.2</v>
      </c>
      <c r="Q331" s="1" t="n">
        <v>76.4</v>
      </c>
      <c r="R331" s="1" t="n">
        <v>82.9</v>
      </c>
      <c r="S331" s="1" t="n">
        <v>60.3</v>
      </c>
      <c r="T331" s="1" t="n">
        <v>39.7</v>
      </c>
      <c r="U331" s="1" t="n">
        <v>45.3</v>
      </c>
      <c r="V331" s="1" t="n">
        <v>63.7</v>
      </c>
      <c r="W331" s="1" t="n">
        <v>36.3</v>
      </c>
    </row>
    <row r="332" customFormat="false" ht="16.4" hidden="true" customHeight="false" outlineLevel="0" collapsed="false">
      <c r="B332" s="1" t="s">
        <v>225</v>
      </c>
      <c r="C332" s="1" t="s">
        <v>231</v>
      </c>
      <c r="D332" s="13" t="n">
        <v>0.958333333333333</v>
      </c>
      <c r="E332" s="14" t="s">
        <v>771</v>
      </c>
      <c r="F332" s="14" t="s">
        <v>772</v>
      </c>
      <c r="H332" s="1" t="n">
        <v>18.8</v>
      </c>
      <c r="I332" s="1" t="n">
        <v>33.2</v>
      </c>
      <c r="J332" s="1" t="n">
        <v>48</v>
      </c>
      <c r="K332" s="1" t="n">
        <v>52</v>
      </c>
      <c r="L332" s="1" t="n">
        <v>81.2</v>
      </c>
      <c r="M332" s="1" t="n">
        <v>66.8</v>
      </c>
      <c r="N332" s="1" t="n">
        <v>22.6</v>
      </c>
      <c r="O332" s="1" t="n">
        <v>58.1</v>
      </c>
      <c r="P332" s="1" t="n">
        <v>19.3</v>
      </c>
      <c r="Q332" s="1" t="n">
        <v>48.4</v>
      </c>
      <c r="R332" s="1" t="n">
        <v>59.2</v>
      </c>
      <c r="S332" s="1" t="n">
        <v>30.9</v>
      </c>
      <c r="T332" s="1" t="n">
        <v>69.1</v>
      </c>
      <c r="U332" s="1" t="n">
        <v>74.7</v>
      </c>
      <c r="V332" s="1" t="n">
        <v>36.8</v>
      </c>
      <c r="W332" s="1" t="n">
        <v>63.2</v>
      </c>
      <c r="Z332" s="1" t="s">
        <v>36</v>
      </c>
      <c r="AC332" s="1" t="n">
        <v>47</v>
      </c>
      <c r="AF332" s="1" t="n">
        <v>46</v>
      </c>
    </row>
    <row r="333" customFormat="false" ht="16.4" hidden="true" customHeight="false" outlineLevel="0" collapsed="false">
      <c r="B333" s="1" t="s">
        <v>32</v>
      </c>
      <c r="C333" s="1" t="s">
        <v>231</v>
      </c>
      <c r="D333" s="13" t="n">
        <v>0.958333333333333</v>
      </c>
      <c r="E333" s="14" t="s">
        <v>773</v>
      </c>
      <c r="F333" s="14" t="s">
        <v>774</v>
      </c>
      <c r="H333" s="1" t="n">
        <v>29.6</v>
      </c>
      <c r="I333" s="1" t="n">
        <v>30.3</v>
      </c>
      <c r="J333" s="1" t="n">
        <v>40.1</v>
      </c>
      <c r="K333" s="1" t="n">
        <v>59.9</v>
      </c>
      <c r="L333" s="1" t="n">
        <v>70.4</v>
      </c>
      <c r="M333" s="1" t="n">
        <v>69.7</v>
      </c>
      <c r="N333" s="1" t="n">
        <v>29.3</v>
      </c>
      <c r="O333" s="1" t="n">
        <v>46.9</v>
      </c>
      <c r="P333" s="1" t="n">
        <v>23.8</v>
      </c>
      <c r="Q333" s="1" t="n">
        <v>64.3</v>
      </c>
      <c r="R333" s="1" t="n">
        <v>71.6</v>
      </c>
      <c r="S333" s="1" t="n">
        <v>44.4</v>
      </c>
      <c r="T333" s="1" t="n">
        <v>55.6</v>
      </c>
      <c r="U333" s="1" t="n">
        <v>61</v>
      </c>
      <c r="V333" s="1" t="n">
        <v>50.9</v>
      </c>
      <c r="W333" s="1" t="n">
        <v>49.1</v>
      </c>
      <c r="Z333" s="1" t="s">
        <v>20</v>
      </c>
      <c r="AC333" s="1" t="n">
        <v>53</v>
      </c>
    </row>
    <row r="334" customFormat="false" ht="16.4" hidden="true" customHeight="false" outlineLevel="0" collapsed="false">
      <c r="B334" s="1" t="s">
        <v>654</v>
      </c>
      <c r="C334" s="1" t="s">
        <v>231</v>
      </c>
      <c r="D334" s="13" t="n">
        <v>0.979166666666667</v>
      </c>
      <c r="E334" s="14" t="s">
        <v>775</v>
      </c>
      <c r="F334" s="14" t="s">
        <v>776</v>
      </c>
      <c r="H334" s="1" t="n">
        <v>51.3</v>
      </c>
      <c r="I334" s="1" t="n">
        <v>25</v>
      </c>
      <c r="J334" s="1" t="n">
        <v>23.7</v>
      </c>
      <c r="K334" s="1" t="n">
        <v>76.3</v>
      </c>
      <c r="L334" s="1" t="n">
        <v>48.7</v>
      </c>
      <c r="M334" s="1" t="n">
        <v>75</v>
      </c>
      <c r="N334" s="1" t="n">
        <v>34.2</v>
      </c>
      <c r="O334" s="1" t="n">
        <v>37.8</v>
      </c>
      <c r="P334" s="1" t="n">
        <v>27.9</v>
      </c>
      <c r="Q334" s="1" t="n">
        <v>78.5</v>
      </c>
      <c r="R334" s="1" t="n">
        <v>85.5</v>
      </c>
      <c r="S334" s="1" t="n">
        <v>64.7</v>
      </c>
      <c r="T334" s="1" t="n">
        <v>35.3</v>
      </c>
      <c r="U334" s="1" t="n">
        <v>41.5</v>
      </c>
      <c r="V334" s="1" t="n">
        <v>64.8</v>
      </c>
      <c r="W334" s="1" t="n">
        <v>35.2</v>
      </c>
      <c r="Z334" s="1" t="s">
        <v>22</v>
      </c>
      <c r="AE334" s="1" t="n">
        <v>63</v>
      </c>
    </row>
    <row r="335" customFormat="false" ht="16.4" hidden="true" customHeight="false" outlineLevel="0" collapsed="false">
      <c r="B335" s="1" t="s">
        <v>654</v>
      </c>
      <c r="C335" s="1" t="s">
        <v>231</v>
      </c>
      <c r="D335" s="13" t="n">
        <v>0.979166666666667</v>
      </c>
      <c r="E335" s="14" t="s">
        <v>777</v>
      </c>
      <c r="F335" s="14" t="s">
        <v>778</v>
      </c>
      <c r="H335" s="1" t="n">
        <v>48.1</v>
      </c>
      <c r="I335" s="1" t="n">
        <v>26.4</v>
      </c>
      <c r="J335" s="1" t="n">
        <v>25.5</v>
      </c>
      <c r="K335" s="1" t="n">
        <v>74.5</v>
      </c>
      <c r="L335" s="1" t="n">
        <v>51.9</v>
      </c>
      <c r="M335" s="1" t="n">
        <v>73.6</v>
      </c>
      <c r="N335" s="1" t="n">
        <v>37.8</v>
      </c>
      <c r="O335" s="1" t="n">
        <v>38.2</v>
      </c>
      <c r="P335" s="1" t="n">
        <v>24</v>
      </c>
      <c r="Q335" s="1" t="n">
        <v>77.2</v>
      </c>
      <c r="R335" s="1" t="n">
        <v>80.8</v>
      </c>
      <c r="S335" s="1" t="n">
        <v>57.2</v>
      </c>
      <c r="T335" s="1" t="n">
        <v>42.8</v>
      </c>
      <c r="U335" s="1" t="n">
        <v>49</v>
      </c>
      <c r="V335" s="1" t="n">
        <v>59.7</v>
      </c>
      <c r="W335" s="1" t="n">
        <v>40.3</v>
      </c>
      <c r="Z335" s="1" t="s">
        <v>317</v>
      </c>
      <c r="AF335" s="1" t="n">
        <v>35</v>
      </c>
    </row>
    <row r="336" customFormat="false" ht="16.4" hidden="true" customHeight="false" outlineLevel="0" collapsed="false">
      <c r="B336" s="1" t="s">
        <v>32</v>
      </c>
      <c r="C336" s="1" t="s">
        <v>231</v>
      </c>
      <c r="D336" s="13" t="n">
        <v>0.979166666666667</v>
      </c>
      <c r="E336" s="14" t="s">
        <v>779</v>
      </c>
      <c r="F336" s="14" t="s">
        <v>780</v>
      </c>
      <c r="H336" s="1" t="n">
        <v>35.6</v>
      </c>
      <c r="I336" s="1" t="n">
        <v>27.7</v>
      </c>
      <c r="J336" s="1" t="n">
        <v>36.7</v>
      </c>
      <c r="K336" s="1" t="n">
        <v>63.3</v>
      </c>
      <c r="L336" s="1" t="n">
        <v>64.4</v>
      </c>
      <c r="M336" s="1" t="n">
        <v>72.3</v>
      </c>
      <c r="N336" s="1" t="n">
        <v>25.5</v>
      </c>
      <c r="O336" s="1" t="n">
        <v>42.8</v>
      </c>
      <c r="P336" s="1" t="n">
        <v>31.7</v>
      </c>
      <c r="Q336" s="1" t="n">
        <v>70.9</v>
      </c>
      <c r="R336" s="1" t="n">
        <v>80.2</v>
      </c>
      <c r="S336" s="1" t="n">
        <v>56.2</v>
      </c>
      <c r="T336" s="1" t="n">
        <v>43.8</v>
      </c>
      <c r="U336" s="1" t="n">
        <v>49.4</v>
      </c>
      <c r="V336" s="1" t="n">
        <v>60.5</v>
      </c>
      <c r="W336" s="1" t="n">
        <v>39.5</v>
      </c>
      <c r="Z336" s="1" t="s">
        <v>133</v>
      </c>
      <c r="AB336" s="1" t="n">
        <v>53</v>
      </c>
      <c r="AE336" s="1" t="n">
        <v>59</v>
      </c>
    </row>
    <row r="337" customFormat="false" ht="16.15" hidden="true" customHeight="false" outlineLevel="0" collapsed="false">
      <c r="B337" s="1" t="s">
        <v>32</v>
      </c>
      <c r="C337" s="1" t="s">
        <v>231</v>
      </c>
      <c r="D337" s="13" t="n">
        <v>0.979166666666667</v>
      </c>
      <c r="E337" s="14" t="s">
        <v>781</v>
      </c>
      <c r="F337" s="14" t="s">
        <v>782</v>
      </c>
      <c r="H337" s="1" t="n">
        <v>42.9</v>
      </c>
      <c r="I337" s="1" t="n">
        <v>29.1</v>
      </c>
      <c r="J337" s="1" t="n">
        <v>28</v>
      </c>
      <c r="K337" s="1" t="n">
        <v>72</v>
      </c>
      <c r="L337" s="1" t="n">
        <v>57.1</v>
      </c>
      <c r="M337" s="1" t="n">
        <v>70.9</v>
      </c>
      <c r="N337" s="1" t="n">
        <v>24.7</v>
      </c>
      <c r="O337" s="1" t="n">
        <v>52.2</v>
      </c>
      <c r="P337" s="1" t="n">
        <v>23.1</v>
      </c>
      <c r="Q337" s="1" t="n">
        <v>56.7</v>
      </c>
      <c r="R337" s="1" t="n">
        <v>73</v>
      </c>
      <c r="S337" s="1" t="n">
        <v>46.2</v>
      </c>
      <c r="T337" s="1" t="n">
        <v>53.8</v>
      </c>
      <c r="U337" s="1" t="n">
        <v>59.4</v>
      </c>
      <c r="V337" s="1" t="n">
        <v>52</v>
      </c>
      <c r="W337" s="1" t="n">
        <v>48</v>
      </c>
      <c r="Z337" s="1" t="s">
        <v>36</v>
      </c>
      <c r="AC337" s="1" t="n">
        <v>48</v>
      </c>
      <c r="AF337" s="1" t="n">
        <v>42</v>
      </c>
    </row>
    <row r="338" customFormat="false" ht="16.15" hidden="true" customHeight="false" outlineLevel="0" collapsed="false">
      <c r="B338" s="1" t="s">
        <v>214</v>
      </c>
      <c r="C338" s="1" t="s">
        <v>783</v>
      </c>
      <c r="D338" s="13" t="n">
        <v>0.00694444444444444</v>
      </c>
      <c r="E338" s="1" t="s">
        <v>784</v>
      </c>
      <c r="F338" s="1" t="s">
        <v>785</v>
      </c>
      <c r="G338" s="1"/>
      <c r="H338" s="2" t="s">
        <v>786</v>
      </c>
      <c r="I338" s="1" t="n">
        <v>27.6</v>
      </c>
      <c r="J338" s="1" t="n">
        <v>38.7</v>
      </c>
      <c r="K338" s="1" t="n">
        <v>61.3</v>
      </c>
      <c r="L338" s="1" t="n">
        <v>66.3</v>
      </c>
      <c r="M338" s="1" t="n">
        <v>72.4</v>
      </c>
      <c r="N338" s="1" t="n">
        <v>32.8</v>
      </c>
      <c r="O338" s="1" t="n">
        <v>42</v>
      </c>
      <c r="P338" s="1" t="n">
        <v>25.1</v>
      </c>
      <c r="Q338" s="1" t="n">
        <v>71.7</v>
      </c>
      <c r="R338" s="1" t="n">
        <v>80.7</v>
      </c>
      <c r="S338" s="1" t="n">
        <v>57</v>
      </c>
      <c r="T338" s="1" t="n">
        <v>43</v>
      </c>
      <c r="U338" s="1" t="n">
        <v>48.6</v>
      </c>
      <c r="V338" s="1" t="n">
        <v>61.1</v>
      </c>
      <c r="W338" s="1" t="n">
        <v>38.9</v>
      </c>
      <c r="Z338" s="1" t="s">
        <v>22</v>
      </c>
      <c r="AE338" s="1" t="n">
        <v>58</v>
      </c>
      <c r="AH338" s="1"/>
      <c r="AI338" s="3"/>
    </row>
    <row r="339" customFormat="false" ht="16.15" hidden="true" customHeight="false" outlineLevel="0" collapsed="false">
      <c r="B339" s="1" t="s">
        <v>787</v>
      </c>
      <c r="C339" s="1" t="s">
        <v>783</v>
      </c>
      <c r="D339" s="13" t="n">
        <v>0.0833333333333333</v>
      </c>
      <c r="E339" s="1" t="s">
        <v>788</v>
      </c>
      <c r="F339" s="1" t="s">
        <v>789</v>
      </c>
      <c r="G339" s="1"/>
      <c r="H339" s="2" t="s">
        <v>790</v>
      </c>
      <c r="I339" s="1" t="n">
        <v>23.8</v>
      </c>
      <c r="J339" s="1" t="n">
        <v>15.7</v>
      </c>
      <c r="K339" s="1" t="n">
        <v>84.3</v>
      </c>
      <c r="L339" s="1" t="n">
        <v>39.5</v>
      </c>
      <c r="M339" s="1" t="n">
        <v>76.2</v>
      </c>
      <c r="N339" s="1" t="n">
        <v>45.6</v>
      </c>
      <c r="O339" s="1" t="n">
        <v>39.9</v>
      </c>
      <c r="P339" s="1" t="n">
        <v>14.5</v>
      </c>
      <c r="Q339" s="1" t="n">
        <v>71.3</v>
      </c>
      <c r="R339" s="1" t="n">
        <v>80.4</v>
      </c>
      <c r="S339" s="1" t="n">
        <v>56.7</v>
      </c>
      <c r="T339" s="1" t="n">
        <v>43.3</v>
      </c>
      <c r="U339" s="1" t="n">
        <v>51.3</v>
      </c>
      <c r="V339" s="1" t="n">
        <v>54</v>
      </c>
      <c r="W339" s="1" t="n">
        <v>46</v>
      </c>
      <c r="Z339" s="1" t="s">
        <v>54</v>
      </c>
      <c r="AH339" s="1"/>
      <c r="AI339" s="3"/>
    </row>
    <row r="340" customFormat="false" ht="16.15" hidden="true" customHeight="false" outlineLevel="0" collapsed="false">
      <c r="B340" s="1" t="s">
        <v>787</v>
      </c>
      <c r="C340" s="1" t="s">
        <v>783</v>
      </c>
      <c r="D340" s="13" t="n">
        <v>0.0833333333333333</v>
      </c>
      <c r="E340" s="1" t="s">
        <v>791</v>
      </c>
      <c r="F340" s="1" t="s">
        <v>792</v>
      </c>
      <c r="G340" s="1"/>
      <c r="H340" s="2" t="s">
        <v>793</v>
      </c>
      <c r="I340" s="1" t="n">
        <v>26.2</v>
      </c>
      <c r="J340" s="1" t="n">
        <v>31.5</v>
      </c>
      <c r="K340" s="1" t="n">
        <v>68.5</v>
      </c>
      <c r="L340" s="1" t="n">
        <v>57.7</v>
      </c>
      <c r="M340" s="1" t="n">
        <v>73.8</v>
      </c>
      <c r="N340" s="1" t="n">
        <v>39.2</v>
      </c>
      <c r="O340" s="1" t="n">
        <v>37.4</v>
      </c>
      <c r="P340" s="1" t="n">
        <v>23.3</v>
      </c>
      <c r="Q340" s="1" t="n">
        <v>78.1</v>
      </c>
      <c r="R340" s="1" t="n">
        <v>84.7</v>
      </c>
      <c r="S340" s="1" t="n">
        <v>63.2</v>
      </c>
      <c r="T340" s="1" t="n">
        <v>36.8</v>
      </c>
      <c r="U340" s="1" t="n">
        <v>42.4</v>
      </c>
      <c r="V340" s="1" t="n">
        <v>65.6</v>
      </c>
      <c r="W340" s="1" t="n">
        <v>34.4</v>
      </c>
      <c r="Z340" s="1" t="s">
        <v>54</v>
      </c>
      <c r="AH340" s="1"/>
      <c r="AI340" s="3"/>
    </row>
    <row r="341" customFormat="false" ht="16.15" hidden="true" customHeight="false" outlineLevel="0" collapsed="false">
      <c r="B341" s="1" t="s">
        <v>787</v>
      </c>
      <c r="C341" s="1" t="s">
        <v>783</v>
      </c>
      <c r="D341" s="13" t="n">
        <v>0.0833333333333333</v>
      </c>
      <c r="E341" s="1" t="s">
        <v>794</v>
      </c>
      <c r="F341" s="1" t="s">
        <v>795</v>
      </c>
      <c r="G341" s="1"/>
      <c r="H341" s="2" t="s">
        <v>796</v>
      </c>
      <c r="I341" s="1" t="n">
        <v>26.8</v>
      </c>
      <c r="J341" s="1" t="n">
        <v>18.1</v>
      </c>
      <c r="K341" s="1" t="n">
        <v>81.9</v>
      </c>
      <c r="L341" s="1" t="n">
        <v>44.9</v>
      </c>
      <c r="M341" s="1" t="n">
        <v>73.2</v>
      </c>
      <c r="N341" s="1" t="n">
        <v>36.7</v>
      </c>
      <c r="O341" s="1" t="n">
        <v>43.9</v>
      </c>
      <c r="P341" s="1" t="n">
        <v>19.4</v>
      </c>
      <c r="Q341" s="1" t="n">
        <v>67.7</v>
      </c>
      <c r="R341" s="1" t="n">
        <v>72.2</v>
      </c>
      <c r="S341" s="1" t="n">
        <v>45.4</v>
      </c>
      <c r="T341" s="1" t="n">
        <v>54.6</v>
      </c>
      <c r="U341" s="1" t="n">
        <v>61.7</v>
      </c>
      <c r="V341" s="1" t="n">
        <v>47.2</v>
      </c>
      <c r="W341" s="1" t="n">
        <v>52.8</v>
      </c>
      <c r="Z341" s="1" t="s">
        <v>54</v>
      </c>
      <c r="AH341" s="1"/>
      <c r="AI341" s="3"/>
    </row>
    <row r="342" customFormat="false" ht="16.15" hidden="true" customHeight="false" outlineLevel="0" collapsed="false">
      <c r="B342" s="1" t="s">
        <v>787</v>
      </c>
      <c r="C342" s="1" t="s">
        <v>783</v>
      </c>
      <c r="D342" s="13" t="n">
        <v>0.0833333333333333</v>
      </c>
      <c r="E342" s="1" t="s">
        <v>797</v>
      </c>
      <c r="F342" s="1" t="s">
        <v>798</v>
      </c>
      <c r="G342" s="1"/>
      <c r="H342" s="2" t="s">
        <v>799</v>
      </c>
      <c r="I342" s="1" t="n">
        <v>25.7</v>
      </c>
      <c r="J342" s="1" t="n">
        <v>22.8</v>
      </c>
      <c r="K342" s="1" t="n">
        <v>77.2</v>
      </c>
      <c r="L342" s="1" t="n">
        <v>48.5</v>
      </c>
      <c r="M342" s="1" t="n">
        <v>74.3</v>
      </c>
      <c r="N342" s="1" t="n">
        <v>44.8</v>
      </c>
      <c r="O342" s="1" t="n">
        <v>38.8</v>
      </c>
      <c r="P342" s="1" t="n">
        <v>16.5</v>
      </c>
      <c r="Q342" s="1" t="n">
        <v>73.8</v>
      </c>
      <c r="R342" s="1" t="n">
        <v>81.2</v>
      </c>
      <c r="S342" s="1" t="n">
        <v>57.8</v>
      </c>
      <c r="T342" s="1" t="n">
        <v>42.2</v>
      </c>
      <c r="U342" s="1" t="n">
        <v>48.7</v>
      </c>
      <c r="V342" s="1" t="n">
        <v>59.1</v>
      </c>
      <c r="W342" s="1" t="n">
        <v>40.9</v>
      </c>
      <c r="Z342" s="1" t="s">
        <v>54</v>
      </c>
      <c r="AH342" s="1"/>
      <c r="AI342" s="3"/>
    </row>
    <row r="343" customFormat="false" ht="16.15" hidden="true" customHeight="false" outlineLevel="0" collapsed="false">
      <c r="B343" s="1" t="s">
        <v>787</v>
      </c>
      <c r="C343" s="1" t="s">
        <v>783</v>
      </c>
      <c r="D343" s="13" t="n">
        <v>0.0833333333333333</v>
      </c>
      <c r="E343" s="1" t="s">
        <v>800</v>
      </c>
      <c r="F343" s="1" t="s">
        <v>801</v>
      </c>
      <c r="G343" s="1"/>
      <c r="H343" s="2" t="s">
        <v>802</v>
      </c>
      <c r="I343" s="1" t="n">
        <v>26</v>
      </c>
      <c r="J343" s="1" t="n">
        <v>24.1</v>
      </c>
      <c r="K343" s="1" t="n">
        <v>75.9</v>
      </c>
      <c r="L343" s="1" t="n">
        <v>50.1</v>
      </c>
      <c r="M343" s="1" t="n">
        <v>74</v>
      </c>
      <c r="N343" s="1" t="n">
        <v>46</v>
      </c>
      <c r="O343" s="1" t="n">
        <v>38.6</v>
      </c>
      <c r="P343" s="1" t="n">
        <v>15.5</v>
      </c>
      <c r="Q343" s="1" t="n">
        <v>73.6</v>
      </c>
      <c r="R343" s="1" t="n">
        <v>81.5</v>
      </c>
      <c r="S343" s="1" t="n">
        <v>58.2</v>
      </c>
      <c r="T343" s="1" t="n">
        <v>41.8</v>
      </c>
      <c r="U343" s="1" t="n">
        <v>48.1</v>
      </c>
      <c r="V343" s="1" t="n">
        <v>60</v>
      </c>
      <c r="W343" s="1" t="n">
        <v>40</v>
      </c>
      <c r="Z343" s="1" t="s">
        <v>54</v>
      </c>
      <c r="AH343" s="1"/>
      <c r="AI343" s="3"/>
    </row>
    <row r="344" customFormat="false" ht="16.15" hidden="true" customHeight="false" outlineLevel="0" collapsed="false">
      <c r="B344" s="1" t="s">
        <v>787</v>
      </c>
      <c r="C344" s="1" t="s">
        <v>783</v>
      </c>
      <c r="D344" s="13" t="n">
        <v>0.0833333333333333</v>
      </c>
      <c r="E344" s="1" t="s">
        <v>803</v>
      </c>
      <c r="F344" s="1" t="s">
        <v>804</v>
      </c>
      <c r="G344" s="1"/>
      <c r="H344" s="2" t="s">
        <v>805</v>
      </c>
      <c r="I344" s="1" t="n">
        <v>27.7</v>
      </c>
      <c r="J344" s="1" t="n">
        <v>37.4</v>
      </c>
      <c r="K344" s="1" t="n">
        <v>62.6</v>
      </c>
      <c r="L344" s="1" t="n">
        <v>65.1</v>
      </c>
      <c r="M344" s="1" t="n">
        <v>72.3</v>
      </c>
      <c r="N344" s="1" t="n">
        <v>32.9</v>
      </c>
      <c r="O344" s="1" t="n">
        <v>40.3</v>
      </c>
      <c r="P344" s="1" t="n">
        <v>26.7</v>
      </c>
      <c r="Q344" s="1" t="n">
        <v>74.6</v>
      </c>
      <c r="R344" s="1" t="n">
        <v>80.3</v>
      </c>
      <c r="S344" s="1" t="n">
        <v>56.3</v>
      </c>
      <c r="T344" s="1" t="n">
        <v>43.7</v>
      </c>
      <c r="U344" s="1" t="n">
        <v>49.4</v>
      </c>
      <c r="V344" s="1" t="n">
        <v>60.6</v>
      </c>
      <c r="W344" s="1" t="n">
        <v>39.4</v>
      </c>
      <c r="Z344" s="1" t="s">
        <v>54</v>
      </c>
      <c r="AH344" s="1"/>
      <c r="AI344" s="3"/>
    </row>
    <row r="345" customFormat="false" ht="16.15" hidden="true" customHeight="false" outlineLevel="0" collapsed="false">
      <c r="B345" s="1" t="s">
        <v>787</v>
      </c>
      <c r="C345" s="1" t="s">
        <v>783</v>
      </c>
      <c r="D345" s="13" t="n">
        <v>0.0833333333333333</v>
      </c>
      <c r="E345" s="1" t="s">
        <v>806</v>
      </c>
      <c r="F345" s="1" t="s">
        <v>807</v>
      </c>
      <c r="G345" s="1"/>
      <c r="H345" s="2" t="s">
        <v>808</v>
      </c>
      <c r="I345" s="1" t="n">
        <v>25.1</v>
      </c>
      <c r="J345" s="1" t="n">
        <v>14.1</v>
      </c>
      <c r="K345" s="1" t="n">
        <v>85.9</v>
      </c>
      <c r="L345" s="1" t="n">
        <v>39.2</v>
      </c>
      <c r="M345" s="1" t="n">
        <v>74.9</v>
      </c>
      <c r="N345" s="1" t="n">
        <v>39.7</v>
      </c>
      <c r="O345" s="1" t="n">
        <v>45</v>
      </c>
      <c r="P345" s="1" t="n">
        <v>15.3</v>
      </c>
      <c r="Q345" s="1" t="n">
        <v>64.8</v>
      </c>
      <c r="R345" s="1" t="n">
        <v>72.2</v>
      </c>
      <c r="S345" s="1" t="n">
        <v>45.5</v>
      </c>
      <c r="T345" s="1" t="n">
        <v>54.5</v>
      </c>
      <c r="U345" s="1" t="n">
        <v>62.8</v>
      </c>
      <c r="V345" s="1" t="n">
        <v>44</v>
      </c>
      <c r="W345" s="1" t="n">
        <v>56</v>
      </c>
      <c r="Z345" s="1" t="s">
        <v>54</v>
      </c>
      <c r="AH345" s="1"/>
      <c r="AI345" s="3"/>
    </row>
    <row r="346" customFormat="false" ht="16.15" hidden="true" customHeight="false" outlineLevel="0" collapsed="false">
      <c r="B346" s="1" t="s">
        <v>787</v>
      </c>
      <c r="C346" s="1" t="s">
        <v>783</v>
      </c>
      <c r="D346" s="13" t="n">
        <v>0.0833333333333333</v>
      </c>
      <c r="E346" s="1" t="s">
        <v>809</v>
      </c>
      <c r="F346" s="1" t="s">
        <v>810</v>
      </c>
      <c r="G346" s="1"/>
      <c r="H346" s="2" t="s">
        <v>811</v>
      </c>
      <c r="I346" s="1" t="n">
        <v>29.8</v>
      </c>
      <c r="J346" s="1" t="n">
        <v>29.6</v>
      </c>
      <c r="K346" s="1" t="n">
        <v>70.4</v>
      </c>
      <c r="L346" s="1" t="n">
        <v>59.4</v>
      </c>
      <c r="M346" s="1" t="n">
        <v>70.2</v>
      </c>
      <c r="N346" s="1" t="n">
        <v>32</v>
      </c>
      <c r="O346" s="1" t="n">
        <v>43.1</v>
      </c>
      <c r="P346" s="1" t="n">
        <v>25</v>
      </c>
      <c r="Q346" s="1" t="n">
        <v>70.2</v>
      </c>
      <c r="R346" s="1" t="n">
        <v>71.4</v>
      </c>
      <c r="S346" s="1" t="n">
        <v>44.2</v>
      </c>
      <c r="T346" s="1" t="n">
        <v>55.8</v>
      </c>
      <c r="U346" s="1" t="n">
        <v>61.3</v>
      </c>
      <c r="V346" s="1" t="n">
        <v>50.7</v>
      </c>
      <c r="W346" s="1" t="n">
        <v>49.3</v>
      </c>
      <c r="Z346" s="1" t="s">
        <v>54</v>
      </c>
      <c r="AH346" s="1"/>
      <c r="AI346" s="3"/>
    </row>
    <row r="347" customFormat="false" ht="16.15" hidden="true" customHeight="false" outlineLevel="0" collapsed="false">
      <c r="B347" s="1" t="s">
        <v>55</v>
      </c>
      <c r="C347" s="1" t="s">
        <v>783</v>
      </c>
      <c r="D347" s="13" t="n">
        <v>0.0833333333333333</v>
      </c>
      <c r="E347" s="1" t="s">
        <v>58</v>
      </c>
      <c r="F347" s="1" t="s">
        <v>59</v>
      </c>
      <c r="G347" s="1"/>
      <c r="H347" s="2" t="s">
        <v>812</v>
      </c>
      <c r="I347" s="1" t="n">
        <v>27.8</v>
      </c>
      <c r="J347" s="1" t="n">
        <v>54</v>
      </c>
      <c r="K347" s="1" t="n">
        <v>46</v>
      </c>
      <c r="L347" s="1" t="n">
        <v>81.8</v>
      </c>
      <c r="M347" s="1" t="n">
        <v>72.2</v>
      </c>
      <c r="N347" s="1" t="n">
        <v>24</v>
      </c>
      <c r="O347" s="1" t="n">
        <v>47.3</v>
      </c>
      <c r="P347" s="1" t="n">
        <v>28.7</v>
      </c>
      <c r="Q347" s="1" t="n">
        <v>64</v>
      </c>
      <c r="R347" s="1" t="n">
        <v>75.1</v>
      </c>
      <c r="S347" s="1" t="n">
        <v>49.1</v>
      </c>
      <c r="T347" s="1" t="n">
        <v>50.9</v>
      </c>
      <c r="U347" s="1" t="n">
        <v>58</v>
      </c>
      <c r="V347" s="1" t="n">
        <v>50.4</v>
      </c>
      <c r="W347" s="1" t="n">
        <v>49.6</v>
      </c>
      <c r="Z347" s="1" t="s">
        <v>54</v>
      </c>
      <c r="AH347" s="1"/>
      <c r="AI347" s="3"/>
    </row>
    <row r="348" customFormat="false" ht="16.15" hidden="true" customHeight="false" outlineLevel="0" collapsed="false">
      <c r="B348" s="1" t="s">
        <v>258</v>
      </c>
      <c r="C348" s="1" t="s">
        <v>783</v>
      </c>
      <c r="D348" s="13" t="n">
        <v>0.125</v>
      </c>
      <c r="E348" s="1" t="s">
        <v>813</v>
      </c>
      <c r="F348" s="1" t="s">
        <v>814</v>
      </c>
      <c r="G348" s="1"/>
      <c r="H348" s="2" t="s">
        <v>815</v>
      </c>
      <c r="I348" s="1" t="n">
        <v>25.9</v>
      </c>
      <c r="J348" s="1" t="n">
        <v>29.5</v>
      </c>
      <c r="K348" s="1" t="n">
        <v>70.5</v>
      </c>
      <c r="L348" s="1" t="n">
        <v>55.4</v>
      </c>
      <c r="M348" s="1" t="n">
        <v>74.1</v>
      </c>
      <c r="N348" s="1" t="n">
        <v>42.1</v>
      </c>
      <c r="O348" s="1" t="n">
        <v>35.8</v>
      </c>
      <c r="P348" s="1" t="n">
        <v>22.2</v>
      </c>
      <c r="Q348" s="1" t="n">
        <v>80.2</v>
      </c>
      <c r="R348" s="1" t="n">
        <v>85.1</v>
      </c>
      <c r="S348" s="1" t="n">
        <v>64</v>
      </c>
      <c r="T348" s="1" t="n">
        <v>36</v>
      </c>
      <c r="U348" s="1" t="n">
        <v>41.7</v>
      </c>
      <c r="V348" s="1" t="n">
        <v>65.9</v>
      </c>
      <c r="W348" s="1" t="n">
        <v>34.1</v>
      </c>
      <c r="Z348" s="1" t="s">
        <v>54</v>
      </c>
      <c r="AH348" s="1"/>
      <c r="AI348" s="3"/>
    </row>
    <row r="349" customFormat="false" ht="16.15" hidden="true" customHeight="false" outlineLevel="0" collapsed="false">
      <c r="B349" s="1" t="s">
        <v>261</v>
      </c>
      <c r="C349" s="1" t="s">
        <v>783</v>
      </c>
      <c r="D349" s="13" t="n">
        <v>0.166666666666667</v>
      </c>
      <c r="E349" s="1" t="s">
        <v>816</v>
      </c>
      <c r="F349" s="1" t="s">
        <v>817</v>
      </c>
      <c r="G349" s="1"/>
      <c r="H349" s="2" t="s">
        <v>818</v>
      </c>
      <c r="I349" s="1" t="n">
        <v>24.5</v>
      </c>
      <c r="J349" s="1" t="n">
        <v>23.4</v>
      </c>
      <c r="K349" s="1" t="n">
        <v>76.6</v>
      </c>
      <c r="L349" s="1" t="n">
        <v>47.9</v>
      </c>
      <c r="M349" s="1" t="n">
        <v>75.5</v>
      </c>
      <c r="N349" s="1" t="n">
        <v>49</v>
      </c>
      <c r="O349" s="1" t="n">
        <v>33.4</v>
      </c>
      <c r="P349" s="1" t="n">
        <v>17.5</v>
      </c>
      <c r="Q349" s="1" t="n">
        <v>81.7</v>
      </c>
      <c r="R349" s="1" t="n">
        <v>88.6</v>
      </c>
      <c r="S349" s="1" t="n">
        <v>70.4</v>
      </c>
      <c r="T349" s="1" t="n">
        <v>29.6</v>
      </c>
      <c r="U349" s="1" t="n">
        <v>35.6</v>
      </c>
      <c r="V349" s="1" t="n">
        <v>69.1</v>
      </c>
      <c r="W349" s="1" t="n">
        <v>30.9</v>
      </c>
      <c r="Z349" s="1" t="s">
        <v>54</v>
      </c>
      <c r="AH349" s="1"/>
      <c r="AI349" s="3"/>
    </row>
    <row r="350" customFormat="false" ht="16.15" hidden="true" customHeight="false" outlineLevel="0" collapsed="false">
      <c r="B350" s="1" t="s">
        <v>81</v>
      </c>
      <c r="C350" s="1" t="s">
        <v>783</v>
      </c>
      <c r="D350" s="13" t="n">
        <v>0.229166666666667</v>
      </c>
      <c r="E350" s="1" t="s">
        <v>819</v>
      </c>
      <c r="F350" s="1" t="s">
        <v>820</v>
      </c>
      <c r="G350" s="1"/>
      <c r="H350" s="2" t="s">
        <v>821</v>
      </c>
      <c r="I350" s="1" t="n">
        <v>24</v>
      </c>
      <c r="J350" s="1" t="n">
        <v>18.7</v>
      </c>
      <c r="K350" s="1" t="n">
        <v>81.3</v>
      </c>
      <c r="L350" s="1" t="n">
        <v>42.8</v>
      </c>
      <c r="M350" s="1" t="n">
        <v>76</v>
      </c>
      <c r="N350" s="1" t="n">
        <v>41.2</v>
      </c>
      <c r="O350" s="1" t="n">
        <v>40.6</v>
      </c>
      <c r="P350" s="1" t="n">
        <v>18.2</v>
      </c>
      <c r="Q350" s="1" t="n">
        <v>72</v>
      </c>
      <c r="R350" s="1" t="n">
        <v>84.8</v>
      </c>
      <c r="S350" s="1" t="n">
        <v>63.6</v>
      </c>
      <c r="T350" s="1" t="n">
        <v>36.4</v>
      </c>
      <c r="U350" s="1" t="n">
        <v>43.5</v>
      </c>
      <c r="V350" s="1" t="n">
        <v>61.5</v>
      </c>
      <c r="W350" s="1" t="n">
        <v>38.5</v>
      </c>
      <c r="Z350" s="1" t="s">
        <v>54</v>
      </c>
      <c r="AH350" s="1"/>
      <c r="AI350" s="3"/>
    </row>
    <row r="351" customFormat="false" ht="16.15" hidden="true" customHeight="false" outlineLevel="0" collapsed="false">
      <c r="B351" s="1" t="s">
        <v>81</v>
      </c>
      <c r="C351" s="1" t="s">
        <v>783</v>
      </c>
      <c r="D351" s="13" t="n">
        <v>0.229166666666667</v>
      </c>
      <c r="E351" s="1" t="s">
        <v>822</v>
      </c>
      <c r="F351" s="1" t="s">
        <v>823</v>
      </c>
      <c r="G351" s="1"/>
      <c r="H351" s="2" t="s">
        <v>824</v>
      </c>
      <c r="I351" s="1" t="n">
        <v>25.3</v>
      </c>
      <c r="J351" s="1" t="n">
        <v>29.5</v>
      </c>
      <c r="K351" s="1" t="n">
        <v>70.5</v>
      </c>
      <c r="L351" s="1" t="n">
        <v>54.8</v>
      </c>
      <c r="M351" s="1" t="n">
        <v>74.7</v>
      </c>
      <c r="N351" s="1" t="n">
        <v>20</v>
      </c>
      <c r="O351" s="1" t="n">
        <v>43.5</v>
      </c>
      <c r="P351" s="1" t="n">
        <v>36.6</v>
      </c>
      <c r="Q351" s="1" t="n">
        <v>69.1</v>
      </c>
      <c r="R351" s="1" t="n">
        <v>88.2</v>
      </c>
      <c r="S351" s="1" t="n">
        <v>69.6</v>
      </c>
      <c r="T351" s="1" t="n">
        <v>30.4</v>
      </c>
      <c r="U351" s="1" t="n">
        <v>35.9</v>
      </c>
      <c r="V351" s="1" t="n">
        <v>70.2</v>
      </c>
      <c r="W351" s="1" t="n">
        <v>29.8</v>
      </c>
      <c r="Z351" s="1" t="s">
        <v>54</v>
      </c>
      <c r="AH351" s="1"/>
      <c r="AI351" s="3"/>
    </row>
    <row r="352" customFormat="false" ht="16.15" hidden="true" customHeight="false" outlineLevel="0" collapsed="false">
      <c r="B352" s="1" t="s">
        <v>55</v>
      </c>
      <c r="C352" s="1" t="s">
        <v>783</v>
      </c>
      <c r="D352" s="13" t="n">
        <v>0.25</v>
      </c>
      <c r="E352" s="1" t="s">
        <v>60</v>
      </c>
      <c r="F352" s="1" t="s">
        <v>61</v>
      </c>
      <c r="G352" s="1"/>
      <c r="H352" s="2" t="s">
        <v>825</v>
      </c>
      <c r="I352" s="1" t="n">
        <v>26.8</v>
      </c>
      <c r="J352" s="1" t="n">
        <v>32.3</v>
      </c>
      <c r="K352" s="1" t="n">
        <v>67.7</v>
      </c>
      <c r="L352" s="1" t="n">
        <v>59.1</v>
      </c>
      <c r="M352" s="1" t="n">
        <v>73.2</v>
      </c>
      <c r="N352" s="1" t="n">
        <v>21</v>
      </c>
      <c r="O352" s="1" t="n">
        <v>45</v>
      </c>
      <c r="P352" s="1" t="n">
        <v>34</v>
      </c>
      <c r="Q352" s="1" t="n">
        <v>67.1</v>
      </c>
      <c r="R352" s="1" t="n">
        <v>82.5</v>
      </c>
      <c r="S352" s="1" t="n">
        <v>59.7</v>
      </c>
      <c r="T352" s="1" t="n">
        <v>40.3</v>
      </c>
      <c r="U352" s="1" t="n">
        <v>45.9</v>
      </c>
      <c r="V352" s="1" t="n">
        <v>63</v>
      </c>
      <c r="W352" s="1" t="n">
        <v>37</v>
      </c>
      <c r="Z352" s="1" t="s">
        <v>54</v>
      </c>
      <c r="AH352" s="1"/>
      <c r="AI352" s="3"/>
    </row>
    <row r="353" customFormat="false" ht="16.15" hidden="true" customHeight="false" outlineLevel="0" collapsed="false">
      <c r="B353" s="1" t="s">
        <v>277</v>
      </c>
      <c r="C353" s="1" t="s">
        <v>783</v>
      </c>
      <c r="D353" s="13" t="n">
        <v>0.291666666666667</v>
      </c>
      <c r="E353" s="1" t="s">
        <v>826</v>
      </c>
      <c r="F353" s="1" t="s">
        <v>827</v>
      </c>
      <c r="G353" s="1"/>
      <c r="H353" s="2" t="s">
        <v>828</v>
      </c>
      <c r="I353" s="1" t="n">
        <v>24</v>
      </c>
      <c r="J353" s="1" t="n">
        <v>19.2</v>
      </c>
      <c r="K353" s="1" t="n">
        <v>80.8</v>
      </c>
      <c r="L353" s="1" t="n">
        <v>43.2</v>
      </c>
      <c r="M353" s="1" t="n">
        <v>76</v>
      </c>
      <c r="N353" s="1" t="n">
        <v>45.1</v>
      </c>
      <c r="O353" s="1" t="n">
        <v>33.8</v>
      </c>
      <c r="P353" s="1" t="n">
        <v>21.1</v>
      </c>
      <c r="Q353" s="1" t="n">
        <v>82.7</v>
      </c>
      <c r="R353" s="1" t="n">
        <v>91.6</v>
      </c>
      <c r="S353" s="1" t="n">
        <v>76.4</v>
      </c>
      <c r="T353" s="1" t="n">
        <v>23.6</v>
      </c>
      <c r="U353" s="1" t="n">
        <v>29.7</v>
      </c>
      <c r="V353" s="1" t="n">
        <v>72.2</v>
      </c>
      <c r="W353" s="1" t="n">
        <v>27.8</v>
      </c>
      <c r="Z353" s="1" t="s">
        <v>54</v>
      </c>
      <c r="AH353" s="1"/>
      <c r="AI353" s="3"/>
    </row>
    <row r="354" customFormat="false" ht="16.15" hidden="true" customHeight="false" outlineLevel="0" collapsed="false">
      <c r="B354" s="1" t="s">
        <v>284</v>
      </c>
      <c r="C354" s="1" t="s">
        <v>783</v>
      </c>
      <c r="D354" s="13" t="n">
        <v>0.3125</v>
      </c>
      <c r="E354" s="1" t="s">
        <v>829</v>
      </c>
      <c r="F354" s="1" t="s">
        <v>830</v>
      </c>
      <c r="G354" s="1"/>
      <c r="H354" s="2" t="s">
        <v>831</v>
      </c>
      <c r="I354" s="1" t="n">
        <v>29.9</v>
      </c>
      <c r="J354" s="1" t="n">
        <v>21</v>
      </c>
      <c r="K354" s="1" t="n">
        <v>79</v>
      </c>
      <c r="L354" s="1" t="n">
        <v>50.9</v>
      </c>
      <c r="M354" s="1" t="n">
        <v>70.1</v>
      </c>
      <c r="N354" s="1" t="n">
        <v>36.1</v>
      </c>
      <c r="O354" s="1" t="n">
        <v>45.8</v>
      </c>
      <c r="P354" s="1" t="n">
        <v>18.1</v>
      </c>
      <c r="Q354" s="1" t="n">
        <v>64.7</v>
      </c>
      <c r="R354" s="1" t="n">
        <v>65.3</v>
      </c>
      <c r="S354" s="1" t="n">
        <v>37.2</v>
      </c>
      <c r="T354" s="1" t="n">
        <v>62.8</v>
      </c>
      <c r="U354" s="1" t="n">
        <v>68.7</v>
      </c>
      <c r="V354" s="1" t="n">
        <v>42.6</v>
      </c>
      <c r="W354" s="1" t="n">
        <v>57.4</v>
      </c>
      <c r="Z354" s="1" t="s">
        <v>48</v>
      </c>
      <c r="AH354" s="1"/>
      <c r="AI354" s="3"/>
    </row>
    <row r="355" customFormat="false" ht="16.15" hidden="true" customHeight="false" outlineLevel="0" collapsed="false">
      <c r="B355" s="1" t="s">
        <v>284</v>
      </c>
      <c r="C355" s="1" t="s">
        <v>783</v>
      </c>
      <c r="D355" s="13" t="n">
        <v>0.3125</v>
      </c>
      <c r="E355" s="1" t="s">
        <v>832</v>
      </c>
      <c r="F355" s="1" t="s">
        <v>833</v>
      </c>
      <c r="G355" s="1"/>
      <c r="H355" s="2" t="s">
        <v>834</v>
      </c>
      <c r="I355" s="1" t="n">
        <v>27.6</v>
      </c>
      <c r="J355" s="1" t="n">
        <v>57.9</v>
      </c>
      <c r="K355" s="1" t="n">
        <v>42.1</v>
      </c>
      <c r="L355" s="1" t="n">
        <v>85.5</v>
      </c>
      <c r="M355" s="1" t="n">
        <v>72.4</v>
      </c>
      <c r="N355" s="1" t="n">
        <v>13.4</v>
      </c>
      <c r="O355" s="1" t="n">
        <v>48</v>
      </c>
      <c r="P355" s="1" t="n">
        <v>38.7</v>
      </c>
      <c r="Q355" s="1" t="n">
        <v>60.8</v>
      </c>
      <c r="R355" s="1" t="n">
        <v>72.2</v>
      </c>
      <c r="S355" s="1" t="n">
        <v>45.4</v>
      </c>
      <c r="T355" s="1" t="n">
        <v>54.6</v>
      </c>
      <c r="U355" s="1" t="n">
        <v>62.5</v>
      </c>
      <c r="V355" s="1" t="n">
        <v>44.9</v>
      </c>
      <c r="W355" s="1" t="n">
        <v>55.1</v>
      </c>
      <c r="Z355" s="1" t="s">
        <v>36</v>
      </c>
      <c r="AC355" s="1" t="n">
        <v>49</v>
      </c>
      <c r="AF355" s="1" t="n">
        <v>52</v>
      </c>
      <c r="AH355" s="1"/>
      <c r="AI355" s="3"/>
    </row>
    <row r="356" customFormat="false" ht="16.15" hidden="true" customHeight="false" outlineLevel="0" collapsed="false">
      <c r="B356" s="1" t="s">
        <v>284</v>
      </c>
      <c r="C356" s="1" t="s">
        <v>783</v>
      </c>
      <c r="D356" s="13" t="n">
        <v>0.3125</v>
      </c>
      <c r="E356" s="1" t="s">
        <v>835</v>
      </c>
      <c r="F356" s="1" t="s">
        <v>836</v>
      </c>
      <c r="G356" s="1"/>
      <c r="H356" s="2" t="s">
        <v>837</v>
      </c>
      <c r="I356" s="1" t="n">
        <v>30.7</v>
      </c>
      <c r="J356" s="1" t="n">
        <v>28.2</v>
      </c>
      <c r="K356" s="1" t="n">
        <v>71.8</v>
      </c>
      <c r="L356" s="1" t="n">
        <v>58.9</v>
      </c>
      <c r="M356" s="1" t="n">
        <v>69.3</v>
      </c>
      <c r="N356" s="1" t="n">
        <v>34.2</v>
      </c>
      <c r="O356" s="1" t="n">
        <v>45.4</v>
      </c>
      <c r="P356" s="1" t="n">
        <v>20.4</v>
      </c>
      <c r="Q356" s="1" t="n">
        <v>66</v>
      </c>
      <c r="R356" s="1" t="n">
        <v>68.2</v>
      </c>
      <c r="S356" s="1" t="n">
        <v>40.3</v>
      </c>
      <c r="T356" s="1" t="n">
        <v>59.7</v>
      </c>
      <c r="U356" s="1" t="n">
        <v>65</v>
      </c>
      <c r="V356" s="1" t="n">
        <v>47.5</v>
      </c>
      <c r="W356" s="1" t="n">
        <v>52.5</v>
      </c>
      <c r="Z356" s="1" t="s">
        <v>36</v>
      </c>
      <c r="AC356" s="1" t="n">
        <v>56</v>
      </c>
      <c r="AF356" s="1" t="n">
        <v>48</v>
      </c>
      <c r="AH356" s="1"/>
      <c r="AI356" s="3"/>
    </row>
    <row r="357" customFormat="false" ht="16.15" hidden="true" customHeight="false" outlineLevel="0" collapsed="false">
      <c r="B357" s="1" t="s">
        <v>284</v>
      </c>
      <c r="C357" s="1" t="s">
        <v>783</v>
      </c>
      <c r="D357" s="13" t="n">
        <v>0.3125</v>
      </c>
      <c r="E357" s="1" t="s">
        <v>838</v>
      </c>
      <c r="F357" s="1" t="s">
        <v>839</v>
      </c>
      <c r="G357" s="1"/>
      <c r="H357" s="2" t="s">
        <v>840</v>
      </c>
      <c r="I357" s="1" t="n">
        <v>24.4</v>
      </c>
      <c r="J357" s="1" t="n">
        <v>19.1</v>
      </c>
      <c r="K357" s="1" t="n">
        <v>80.9</v>
      </c>
      <c r="L357" s="1" t="n">
        <v>43.5</v>
      </c>
      <c r="M357" s="1" t="n">
        <v>75.6</v>
      </c>
      <c r="N357" s="1" t="n">
        <v>38.2</v>
      </c>
      <c r="O357" s="1" t="n">
        <v>42.6</v>
      </c>
      <c r="P357" s="1" t="n">
        <v>19.2</v>
      </c>
      <c r="Q357" s="1" t="n">
        <v>69.5</v>
      </c>
      <c r="R357" s="1" t="n">
        <v>83.2</v>
      </c>
      <c r="S357" s="1" t="n">
        <v>60.9</v>
      </c>
      <c r="T357" s="1" t="n">
        <v>39.1</v>
      </c>
      <c r="U357" s="1" t="n">
        <v>46.2</v>
      </c>
      <c r="V357" s="1" t="n">
        <v>59.7</v>
      </c>
      <c r="W357" s="1" t="n">
        <v>40.3</v>
      </c>
      <c r="Z357" s="1" t="s">
        <v>133</v>
      </c>
      <c r="AB357" s="1" t="n">
        <v>47</v>
      </c>
      <c r="AE357" s="1" t="n">
        <v>54</v>
      </c>
      <c r="AH357" s="1"/>
      <c r="AI357" s="3"/>
    </row>
    <row r="358" customFormat="false" ht="16.15" hidden="true" customHeight="false" outlineLevel="0" collapsed="false">
      <c r="B358" s="1" t="s">
        <v>37</v>
      </c>
      <c r="C358" s="1" t="s">
        <v>783</v>
      </c>
      <c r="D358" s="13" t="n">
        <v>0.3125</v>
      </c>
      <c r="E358" s="1" t="s">
        <v>841</v>
      </c>
      <c r="F358" s="1" t="s">
        <v>842</v>
      </c>
      <c r="G358" s="1"/>
      <c r="H358" s="2" t="s">
        <v>843</v>
      </c>
      <c r="I358" s="1" t="n">
        <v>28.7</v>
      </c>
      <c r="J358" s="1" t="n">
        <v>38.3</v>
      </c>
      <c r="K358" s="1" t="n">
        <v>61.7</v>
      </c>
      <c r="L358" s="1" t="n">
        <v>66.9</v>
      </c>
      <c r="M358" s="1" t="n">
        <v>71.3</v>
      </c>
      <c r="N358" s="1" t="n">
        <v>23.9</v>
      </c>
      <c r="O358" s="1" t="n">
        <v>50.7</v>
      </c>
      <c r="P358" s="1" t="n">
        <v>25.3</v>
      </c>
      <c r="Q358" s="1" t="n">
        <v>58.8</v>
      </c>
      <c r="R358" s="1" t="n">
        <v>77.1</v>
      </c>
      <c r="S358" s="1" t="n">
        <v>51.7</v>
      </c>
      <c r="T358" s="1" t="n">
        <v>48.3</v>
      </c>
      <c r="U358" s="1" t="n">
        <v>53.9</v>
      </c>
      <c r="V358" s="1" t="n">
        <v>56.9</v>
      </c>
      <c r="W358" s="1" t="n">
        <v>43.1</v>
      </c>
      <c r="Z358" s="1" t="s">
        <v>133</v>
      </c>
      <c r="AB358" s="1" t="n">
        <v>48</v>
      </c>
      <c r="AE358" s="1" t="n">
        <v>54</v>
      </c>
      <c r="AH358" s="1"/>
      <c r="AI358" s="3"/>
    </row>
    <row r="359" customFormat="false" ht="16.15" hidden="true" customHeight="false" outlineLevel="0" collapsed="false">
      <c r="B359" s="1" t="s">
        <v>37</v>
      </c>
      <c r="C359" s="1" t="s">
        <v>783</v>
      </c>
      <c r="D359" s="13" t="n">
        <v>0.3125</v>
      </c>
      <c r="E359" s="1" t="s">
        <v>844</v>
      </c>
      <c r="F359" s="1" t="s">
        <v>845</v>
      </c>
      <c r="G359" s="1"/>
      <c r="H359" s="2" t="s">
        <v>846</v>
      </c>
      <c r="I359" s="1" t="n">
        <v>25.3</v>
      </c>
      <c r="J359" s="1" t="n">
        <v>24.1</v>
      </c>
      <c r="K359" s="1" t="n">
        <v>75.9</v>
      </c>
      <c r="L359" s="1" t="n">
        <v>49.5</v>
      </c>
      <c r="M359" s="1" t="n">
        <v>74.7</v>
      </c>
      <c r="N359" s="1" t="n">
        <v>37.6</v>
      </c>
      <c r="O359" s="1" t="n">
        <v>40</v>
      </c>
      <c r="P359" s="1" t="n">
        <v>22.4</v>
      </c>
      <c r="Q359" s="1" t="n">
        <v>74.1</v>
      </c>
      <c r="R359" s="1" t="n">
        <v>84.1</v>
      </c>
      <c r="S359" s="1" t="n">
        <v>62.4</v>
      </c>
      <c r="T359" s="1" t="n">
        <v>37.6</v>
      </c>
      <c r="U359" s="1" t="n">
        <v>43.9</v>
      </c>
      <c r="V359" s="1" t="n">
        <v>63.2</v>
      </c>
      <c r="W359" s="1" t="n">
        <v>36.8</v>
      </c>
      <c r="Z359" s="1" t="s">
        <v>19</v>
      </c>
      <c r="AB359" s="1" t="n">
        <v>61</v>
      </c>
      <c r="AH359" s="1"/>
      <c r="AI359" s="3"/>
    </row>
    <row r="360" customFormat="false" ht="16.15" hidden="true" customHeight="false" outlineLevel="0" collapsed="false">
      <c r="B360" s="1" t="s">
        <v>62</v>
      </c>
      <c r="C360" s="1" t="s">
        <v>783</v>
      </c>
      <c r="D360" s="13" t="n">
        <v>0.333333333333333</v>
      </c>
      <c r="E360" s="1" t="s">
        <v>847</v>
      </c>
      <c r="F360" s="1" t="s">
        <v>848</v>
      </c>
      <c r="G360" s="1"/>
      <c r="H360" s="2" t="s">
        <v>849</v>
      </c>
      <c r="I360" s="1" t="n">
        <v>29.9</v>
      </c>
      <c r="J360" s="1" t="n">
        <v>38.2</v>
      </c>
      <c r="K360" s="1" t="n">
        <v>61.8</v>
      </c>
      <c r="L360" s="1" t="n">
        <v>68.1</v>
      </c>
      <c r="M360" s="1" t="n">
        <v>70.1</v>
      </c>
      <c r="N360" s="1" t="n">
        <v>31</v>
      </c>
      <c r="O360" s="1" t="n">
        <v>44.8</v>
      </c>
      <c r="P360" s="1" t="n">
        <v>24.2</v>
      </c>
      <c r="Q360" s="1" t="n">
        <v>67.5</v>
      </c>
      <c r="R360" s="1" t="n">
        <v>72.9</v>
      </c>
      <c r="S360" s="1" t="n">
        <v>46</v>
      </c>
      <c r="T360" s="1" t="n">
        <v>54</v>
      </c>
      <c r="U360" s="1" t="n">
        <v>59.4</v>
      </c>
      <c r="V360" s="1" t="n">
        <v>52.5</v>
      </c>
      <c r="W360" s="1" t="n">
        <v>47.5</v>
      </c>
      <c r="Z360" s="1" t="s">
        <v>54</v>
      </c>
      <c r="AH360" s="1"/>
      <c r="AI360" s="3"/>
    </row>
    <row r="361" customFormat="false" ht="16.15" hidden="true" customHeight="false" outlineLevel="0" collapsed="false">
      <c r="B361" s="1" t="s">
        <v>306</v>
      </c>
      <c r="C361" s="1" t="s">
        <v>783</v>
      </c>
      <c r="D361" s="13" t="n">
        <v>0.333333333333333</v>
      </c>
      <c r="E361" s="1" t="s">
        <v>850</v>
      </c>
      <c r="F361" s="1" t="s">
        <v>851</v>
      </c>
      <c r="G361" s="1"/>
      <c r="H361" s="2" t="s">
        <v>852</v>
      </c>
      <c r="I361" s="1" t="n">
        <v>30.7</v>
      </c>
      <c r="J361" s="1" t="n">
        <v>37.1</v>
      </c>
      <c r="K361" s="1" t="n">
        <v>62.9</v>
      </c>
      <c r="L361" s="1" t="n">
        <v>67.8</v>
      </c>
      <c r="M361" s="1" t="n">
        <v>69.3</v>
      </c>
      <c r="N361" s="1" t="n">
        <v>27.1</v>
      </c>
      <c r="O361" s="1" t="n">
        <v>41.6</v>
      </c>
      <c r="P361" s="1" t="n">
        <v>31.3</v>
      </c>
      <c r="Q361" s="1" t="n">
        <v>72.7</v>
      </c>
      <c r="R361" s="1" t="n">
        <v>70.3</v>
      </c>
      <c r="S361" s="1" t="n">
        <v>42.8</v>
      </c>
      <c r="T361" s="1" t="n">
        <v>57.2</v>
      </c>
      <c r="U361" s="1" t="n">
        <v>62.5</v>
      </c>
      <c r="V361" s="1" t="n">
        <v>50</v>
      </c>
      <c r="W361" s="1" t="n">
        <v>50</v>
      </c>
      <c r="Z361" s="1" t="s">
        <v>20</v>
      </c>
      <c r="AC361" s="1" t="n">
        <v>55</v>
      </c>
      <c r="AH361" s="1"/>
      <c r="AI361" s="3"/>
    </row>
    <row r="362" customFormat="false" ht="16.15" hidden="true" customHeight="false" outlineLevel="0" collapsed="false">
      <c r="B362" s="1" t="s">
        <v>306</v>
      </c>
      <c r="C362" s="1" t="s">
        <v>783</v>
      </c>
      <c r="D362" s="13" t="n">
        <v>0.333333333333333</v>
      </c>
      <c r="E362" s="1" t="s">
        <v>853</v>
      </c>
      <c r="F362" s="1" t="s">
        <v>854</v>
      </c>
      <c r="G362" s="1"/>
      <c r="H362" s="2" t="s">
        <v>855</v>
      </c>
      <c r="I362" s="1" t="n">
        <v>24.4</v>
      </c>
      <c r="J362" s="1" t="n">
        <v>17</v>
      </c>
      <c r="K362" s="1" t="n">
        <v>83</v>
      </c>
      <c r="L362" s="1" t="n">
        <v>41.4</v>
      </c>
      <c r="M362" s="1" t="n">
        <v>75.6</v>
      </c>
      <c r="N362" s="1" t="n">
        <v>48.7</v>
      </c>
      <c r="O362" s="1" t="n">
        <v>36.7</v>
      </c>
      <c r="P362" s="1" t="n">
        <v>14.6</v>
      </c>
      <c r="Q362" s="1" t="n">
        <v>75.6</v>
      </c>
      <c r="R362" s="1" t="n">
        <v>80.2</v>
      </c>
      <c r="S362" s="1" t="n">
        <v>56.3</v>
      </c>
      <c r="T362" s="1" t="n">
        <v>43.7</v>
      </c>
      <c r="U362" s="1" t="n">
        <v>51.3</v>
      </c>
      <c r="V362" s="1" t="n">
        <v>54.8</v>
      </c>
      <c r="W362" s="1" t="n">
        <v>45.2</v>
      </c>
      <c r="Z362" s="1" t="s">
        <v>19</v>
      </c>
      <c r="AB362" s="1" t="n">
        <v>51</v>
      </c>
      <c r="AH362" s="1"/>
      <c r="AI362" s="3"/>
    </row>
    <row r="363" customFormat="false" ht="16.15" hidden="true" customHeight="false" outlineLevel="0" collapsed="false">
      <c r="B363" s="1" t="s">
        <v>309</v>
      </c>
      <c r="C363" s="1" t="s">
        <v>783</v>
      </c>
      <c r="D363" s="13" t="n">
        <v>0.333333333333333</v>
      </c>
      <c r="E363" s="1" t="s">
        <v>856</v>
      </c>
      <c r="F363" s="1" t="s">
        <v>857</v>
      </c>
      <c r="G363" s="1"/>
      <c r="H363" s="2" t="s">
        <v>858</v>
      </c>
      <c r="I363" s="1" t="n">
        <v>27.1</v>
      </c>
      <c r="J363" s="1" t="n">
        <v>43</v>
      </c>
      <c r="K363" s="1" t="n">
        <v>57</v>
      </c>
      <c r="L363" s="1" t="n">
        <v>70.1</v>
      </c>
      <c r="M363" s="1" t="n">
        <v>72.9</v>
      </c>
      <c r="N363" s="1" t="n">
        <v>20.9</v>
      </c>
      <c r="O363" s="1" t="n">
        <v>39.9</v>
      </c>
      <c r="P363" s="1" t="n">
        <v>39.2</v>
      </c>
      <c r="Q363" s="1" t="n">
        <v>74.5</v>
      </c>
      <c r="R363" s="1" t="n">
        <v>82.4</v>
      </c>
      <c r="S363" s="1" t="n">
        <v>59.6</v>
      </c>
      <c r="T363" s="1" t="n">
        <v>40.4</v>
      </c>
      <c r="U363" s="1" t="n">
        <v>46.2</v>
      </c>
      <c r="V363" s="1" t="n">
        <v>62.6</v>
      </c>
      <c r="W363" s="1" t="n">
        <v>37.4</v>
      </c>
      <c r="Z363" s="1" t="s">
        <v>54</v>
      </c>
      <c r="AH363" s="1"/>
      <c r="AI363" s="3"/>
    </row>
    <row r="364" customFormat="false" ht="16.15" hidden="true" customHeight="false" outlineLevel="0" collapsed="false">
      <c r="B364" s="1" t="s">
        <v>309</v>
      </c>
      <c r="C364" s="1" t="s">
        <v>783</v>
      </c>
      <c r="D364" s="13" t="n">
        <v>0.333333333333333</v>
      </c>
      <c r="E364" s="1" t="s">
        <v>859</v>
      </c>
      <c r="F364" s="1" t="s">
        <v>860</v>
      </c>
      <c r="G364" s="1"/>
      <c r="H364" s="2" t="s">
        <v>861</v>
      </c>
      <c r="I364" s="1" t="n">
        <v>30.9</v>
      </c>
      <c r="J364" s="1" t="n">
        <v>35.3</v>
      </c>
      <c r="K364" s="1" t="n">
        <v>64.7</v>
      </c>
      <c r="L364" s="1" t="n">
        <v>66.1</v>
      </c>
      <c r="M364" s="1" t="n">
        <v>69.1</v>
      </c>
      <c r="N364" s="1" t="n">
        <v>50.3</v>
      </c>
      <c r="O364" s="1" t="n">
        <v>49.7</v>
      </c>
      <c r="P364" s="1" t="n">
        <v>0</v>
      </c>
      <c r="Q364" s="1" t="n">
        <v>50.3</v>
      </c>
      <c r="R364" s="1" t="n">
        <v>69.6</v>
      </c>
      <c r="S364" s="1" t="n">
        <v>41.9</v>
      </c>
      <c r="T364" s="1" t="n">
        <v>58.1</v>
      </c>
      <c r="U364" s="1" t="n">
        <v>63.2</v>
      </c>
      <c r="V364" s="1" t="n">
        <v>49.4</v>
      </c>
      <c r="W364" s="1" t="n">
        <v>50.6</v>
      </c>
      <c r="Z364" s="1" t="s">
        <v>54</v>
      </c>
      <c r="AH364" s="1"/>
      <c r="AI364" s="3"/>
    </row>
    <row r="365" customFormat="false" ht="16.15" hidden="true" customHeight="false" outlineLevel="0" collapsed="false">
      <c r="B365" s="1" t="s">
        <v>318</v>
      </c>
      <c r="C365" s="1" t="s">
        <v>783</v>
      </c>
      <c r="D365" s="13" t="n">
        <v>0.333333333333333</v>
      </c>
      <c r="E365" s="1" t="s">
        <v>862</v>
      </c>
      <c r="F365" s="1" t="s">
        <v>863</v>
      </c>
      <c r="G365" s="1"/>
      <c r="H365" s="2" t="s">
        <v>864</v>
      </c>
      <c r="I365" s="1" t="n">
        <v>27.4</v>
      </c>
      <c r="J365" s="1" t="n">
        <v>41.3</v>
      </c>
      <c r="K365" s="1" t="n">
        <v>58.7</v>
      </c>
      <c r="L365" s="1" t="n">
        <v>68.6</v>
      </c>
      <c r="M365" s="1" t="n">
        <v>72.6</v>
      </c>
      <c r="N365" s="1" t="n">
        <v>18.7</v>
      </c>
      <c r="O365" s="1" t="n">
        <v>44.3</v>
      </c>
      <c r="P365" s="1" t="n">
        <v>37</v>
      </c>
      <c r="Q365" s="1" t="n">
        <v>67.5</v>
      </c>
      <c r="R365" s="1" t="n">
        <v>81.5</v>
      </c>
      <c r="S365" s="1" t="n">
        <v>58.1</v>
      </c>
      <c r="T365" s="1" t="n">
        <v>41.9</v>
      </c>
      <c r="U365" s="1" t="n">
        <v>47.6</v>
      </c>
      <c r="V365" s="1" t="n">
        <v>61.7</v>
      </c>
      <c r="W365" s="1" t="n">
        <v>38.3</v>
      </c>
      <c r="Z365" s="1" t="s">
        <v>54</v>
      </c>
      <c r="AH365" s="1"/>
      <c r="AI365" s="3"/>
    </row>
    <row r="366" customFormat="false" ht="16.15" hidden="true" customHeight="false" outlineLevel="0" collapsed="false">
      <c r="B366" s="1" t="s">
        <v>318</v>
      </c>
      <c r="C366" s="1" t="s">
        <v>783</v>
      </c>
      <c r="D366" s="13" t="n">
        <v>0.333333333333333</v>
      </c>
      <c r="E366" s="1" t="s">
        <v>865</v>
      </c>
      <c r="F366" s="1" t="s">
        <v>866</v>
      </c>
      <c r="G366" s="1"/>
      <c r="H366" s="2" t="s">
        <v>867</v>
      </c>
      <c r="I366" s="1" t="n">
        <v>24.4</v>
      </c>
      <c r="J366" s="1" t="n">
        <v>19.6</v>
      </c>
      <c r="K366" s="1" t="n">
        <v>80.4</v>
      </c>
      <c r="L366" s="1" t="n">
        <v>44</v>
      </c>
      <c r="M366" s="1" t="n">
        <v>75.6</v>
      </c>
      <c r="N366" s="1" t="n">
        <v>45.9</v>
      </c>
      <c r="O366" s="1" t="n">
        <v>36.9</v>
      </c>
      <c r="P366" s="1" t="n">
        <v>17.1</v>
      </c>
      <c r="Q366" s="1" t="n">
        <v>76.6</v>
      </c>
      <c r="R366" s="1" t="n">
        <v>84</v>
      </c>
      <c r="S366" s="1" t="n">
        <v>62.3</v>
      </c>
      <c r="T366" s="1" t="n">
        <v>37.7</v>
      </c>
      <c r="U366" s="1" t="n">
        <v>44.7</v>
      </c>
      <c r="V366" s="1" t="n">
        <v>61</v>
      </c>
      <c r="W366" s="1" t="n">
        <v>39</v>
      </c>
      <c r="Z366" s="1" t="s">
        <v>54</v>
      </c>
      <c r="AH366" s="1"/>
      <c r="AI366" s="3"/>
    </row>
    <row r="367" customFormat="false" ht="16.15" hidden="true" customHeight="false" outlineLevel="0" collapsed="false">
      <c r="B367" s="1" t="s">
        <v>306</v>
      </c>
      <c r="C367" s="1" t="s">
        <v>783</v>
      </c>
      <c r="D367" s="13" t="n">
        <v>0.354166666666667</v>
      </c>
      <c r="E367" s="1" t="s">
        <v>868</v>
      </c>
      <c r="F367" s="1" t="s">
        <v>869</v>
      </c>
      <c r="G367" s="1"/>
      <c r="H367" s="2" t="s">
        <v>870</v>
      </c>
      <c r="I367" s="1" t="n">
        <v>23.7</v>
      </c>
      <c r="J367" s="1" t="n">
        <v>17.8</v>
      </c>
      <c r="K367" s="1" t="n">
        <v>82.2</v>
      </c>
      <c r="L367" s="1" t="n">
        <v>41.5</v>
      </c>
      <c r="M367" s="1" t="n">
        <v>76.3</v>
      </c>
      <c r="N367" s="1" t="n">
        <v>48.7</v>
      </c>
      <c r="O367" s="1" t="n">
        <v>34.5</v>
      </c>
      <c r="P367" s="1" t="n">
        <v>16.8</v>
      </c>
      <c r="Q367" s="1" t="n">
        <v>79.8</v>
      </c>
      <c r="R367" s="1" t="n">
        <v>85.6</v>
      </c>
      <c r="S367" s="1" t="n">
        <v>65.1</v>
      </c>
      <c r="T367" s="1" t="n">
        <v>34.9</v>
      </c>
      <c r="U367" s="1" t="n">
        <v>42.2</v>
      </c>
      <c r="V367" s="1" t="n">
        <v>62.1</v>
      </c>
      <c r="W367" s="1" t="n">
        <v>37.9</v>
      </c>
      <c r="Z367" s="1" t="s">
        <v>22</v>
      </c>
      <c r="AE367" s="1" t="n">
        <v>56</v>
      </c>
      <c r="AH367" s="1"/>
      <c r="AI367" s="3"/>
    </row>
    <row r="368" customFormat="false" ht="16.15" hidden="true" customHeight="false" outlineLevel="0" collapsed="false">
      <c r="B368" s="1" t="s">
        <v>331</v>
      </c>
      <c r="C368" s="1" t="s">
        <v>783</v>
      </c>
      <c r="D368" s="13" t="n">
        <v>0.354166666666667</v>
      </c>
      <c r="E368" s="1" t="s">
        <v>871</v>
      </c>
      <c r="F368" s="1" t="s">
        <v>872</v>
      </c>
      <c r="G368" s="1"/>
      <c r="H368" s="2" t="s">
        <v>873</v>
      </c>
      <c r="I368" s="1" t="n">
        <v>27.4</v>
      </c>
      <c r="J368" s="1" t="n">
        <v>38.5</v>
      </c>
      <c r="K368" s="1" t="n">
        <v>61.5</v>
      </c>
      <c r="L368" s="1" t="n">
        <v>65.9</v>
      </c>
      <c r="M368" s="1" t="n">
        <v>72.6</v>
      </c>
      <c r="N368" s="1" t="n">
        <v>29.9</v>
      </c>
      <c r="O368" s="1" t="n">
        <v>39.8</v>
      </c>
      <c r="P368" s="1" t="n">
        <v>30.2</v>
      </c>
      <c r="Q368" s="1" t="n">
        <v>75.6</v>
      </c>
      <c r="R368" s="1" t="n">
        <v>81.4</v>
      </c>
      <c r="S368" s="1" t="n">
        <v>57.9</v>
      </c>
      <c r="T368" s="1" t="n">
        <v>42.1</v>
      </c>
      <c r="U368" s="1" t="n">
        <v>47.7</v>
      </c>
      <c r="V368" s="1" t="n">
        <v>61.8</v>
      </c>
      <c r="W368" s="1" t="n">
        <v>38.2</v>
      </c>
      <c r="Z368" s="1" t="s">
        <v>133</v>
      </c>
      <c r="AB368" s="1" t="n">
        <v>56</v>
      </c>
      <c r="AE368" s="1" t="n">
        <v>52</v>
      </c>
      <c r="AH368" s="1"/>
      <c r="AI368" s="3"/>
    </row>
    <row r="369" customFormat="false" ht="16.15" hidden="true" customHeight="false" outlineLevel="0" collapsed="false">
      <c r="B369" s="1" t="s">
        <v>318</v>
      </c>
      <c r="C369" s="1" t="s">
        <v>783</v>
      </c>
      <c r="D369" s="13" t="n">
        <v>0.364583333333333</v>
      </c>
      <c r="E369" s="1" t="s">
        <v>874</v>
      </c>
      <c r="F369" s="1" t="s">
        <v>875</v>
      </c>
      <c r="G369" s="1"/>
      <c r="H369" s="2" t="s">
        <v>876</v>
      </c>
      <c r="I369" s="1" t="n">
        <v>26.3</v>
      </c>
      <c r="J369" s="1" t="n">
        <v>29.5</v>
      </c>
      <c r="K369" s="1" t="n">
        <v>70.5</v>
      </c>
      <c r="L369" s="1" t="n">
        <v>55.8</v>
      </c>
      <c r="M369" s="1" t="n">
        <v>73.7</v>
      </c>
      <c r="N369" s="1" t="n">
        <v>34.7</v>
      </c>
      <c r="O369" s="1" t="n">
        <v>42.9</v>
      </c>
      <c r="P369" s="1" t="n">
        <v>22.4</v>
      </c>
      <c r="Q369" s="1" t="n">
        <v>70</v>
      </c>
      <c r="R369" s="1" t="n">
        <v>83.6</v>
      </c>
      <c r="S369" s="1" t="n">
        <v>61.6</v>
      </c>
      <c r="T369" s="1" t="n">
        <v>38.4</v>
      </c>
      <c r="U369" s="1" t="n">
        <v>44.2</v>
      </c>
      <c r="V369" s="1" t="n">
        <v>64</v>
      </c>
      <c r="W369" s="1" t="n">
        <v>36</v>
      </c>
      <c r="Z369" s="1" t="s">
        <v>54</v>
      </c>
      <c r="AH369" s="1"/>
      <c r="AI369" s="3"/>
    </row>
    <row r="370" customFormat="false" ht="16.15" hidden="true" customHeight="false" outlineLevel="0" collapsed="false">
      <c r="B370" s="1" t="s">
        <v>96</v>
      </c>
      <c r="C370" s="1" t="s">
        <v>783</v>
      </c>
      <c r="D370" s="13" t="n">
        <v>0.375</v>
      </c>
      <c r="E370" s="1" t="s">
        <v>877</v>
      </c>
      <c r="F370" s="1" t="s">
        <v>878</v>
      </c>
      <c r="G370" s="1"/>
      <c r="H370" s="2" t="s">
        <v>879</v>
      </c>
      <c r="I370" s="1" t="n">
        <v>25.2</v>
      </c>
      <c r="J370" s="1" t="n">
        <v>28.9</v>
      </c>
      <c r="K370" s="1" t="n">
        <v>71.1</v>
      </c>
      <c r="L370" s="1" t="n">
        <v>54.1</v>
      </c>
      <c r="M370" s="1" t="n">
        <v>74.8</v>
      </c>
      <c r="N370" s="1" t="n">
        <v>50.2</v>
      </c>
      <c r="O370" s="1" t="n">
        <v>32.6</v>
      </c>
      <c r="P370" s="1" t="n">
        <v>17.2</v>
      </c>
      <c r="Q370" s="1" t="n">
        <v>82.6</v>
      </c>
      <c r="R370" s="1" t="n">
        <v>88.9</v>
      </c>
      <c r="S370" s="1" t="n">
        <v>70.8</v>
      </c>
      <c r="T370" s="1" t="n">
        <v>29.2</v>
      </c>
      <c r="U370" s="1" t="n">
        <v>34.7</v>
      </c>
      <c r="V370" s="1" t="n">
        <v>70.9</v>
      </c>
      <c r="W370" s="1" t="n">
        <v>29.1</v>
      </c>
      <c r="Z370" s="1" t="s">
        <v>54</v>
      </c>
      <c r="AH370" s="1"/>
      <c r="AI370" s="3"/>
    </row>
    <row r="371" customFormat="false" ht="16.15" hidden="true" customHeight="false" outlineLevel="0" collapsed="false">
      <c r="B371" s="1" t="s">
        <v>96</v>
      </c>
      <c r="C371" s="1" t="s">
        <v>783</v>
      </c>
      <c r="D371" s="13" t="n">
        <v>0.375</v>
      </c>
      <c r="E371" s="1" t="s">
        <v>880</v>
      </c>
      <c r="F371" s="1" t="s">
        <v>881</v>
      </c>
      <c r="G371" s="1"/>
      <c r="H371" s="2" t="s">
        <v>882</v>
      </c>
      <c r="I371" s="1" t="n">
        <v>26.9</v>
      </c>
      <c r="J371" s="1" t="n">
        <v>50.7</v>
      </c>
      <c r="K371" s="1" t="n">
        <v>49.3</v>
      </c>
      <c r="L371" s="1" t="n">
        <v>77.7</v>
      </c>
      <c r="M371" s="1" t="n">
        <v>73.1</v>
      </c>
      <c r="N371" s="1" t="n">
        <v>28</v>
      </c>
      <c r="O371" s="1" t="n">
        <v>37.1</v>
      </c>
      <c r="P371" s="1" t="n">
        <v>34.9</v>
      </c>
      <c r="Q371" s="1" t="n">
        <v>79.8</v>
      </c>
      <c r="R371" s="1" t="n">
        <v>80.6</v>
      </c>
      <c r="S371" s="1" t="n">
        <v>56.8</v>
      </c>
      <c r="T371" s="1" t="n">
        <v>43.2</v>
      </c>
      <c r="U371" s="1" t="n">
        <v>49.7</v>
      </c>
      <c r="V371" s="1" t="n">
        <v>58.4</v>
      </c>
      <c r="W371" s="1" t="n">
        <v>41.6</v>
      </c>
      <c r="Z371" s="1" t="s">
        <v>54</v>
      </c>
      <c r="AH371" s="1"/>
      <c r="AI371" s="3"/>
    </row>
    <row r="372" customFormat="false" ht="16.15" hidden="true" customHeight="false" outlineLevel="0" collapsed="false">
      <c r="B372" s="1" t="s">
        <v>96</v>
      </c>
      <c r="C372" s="1" t="s">
        <v>783</v>
      </c>
      <c r="D372" s="13" t="n">
        <v>0.375</v>
      </c>
      <c r="E372" s="1" t="s">
        <v>883</v>
      </c>
      <c r="F372" s="1" t="s">
        <v>884</v>
      </c>
      <c r="G372" s="1"/>
      <c r="H372" s="2" t="s">
        <v>793</v>
      </c>
      <c r="I372" s="1" t="n">
        <v>25.4</v>
      </c>
      <c r="J372" s="1" t="n">
        <v>32.3</v>
      </c>
      <c r="K372" s="1" t="n">
        <v>67.7</v>
      </c>
      <c r="L372" s="1" t="n">
        <v>57.7</v>
      </c>
      <c r="M372" s="1" t="n">
        <v>74.6</v>
      </c>
      <c r="N372" s="1" t="n">
        <v>34.1</v>
      </c>
      <c r="O372" s="1" t="n">
        <v>37.6</v>
      </c>
      <c r="P372" s="1" t="n">
        <v>28.3</v>
      </c>
      <c r="Q372" s="1" t="n">
        <v>78.8</v>
      </c>
      <c r="R372" s="1" t="n">
        <v>88.9</v>
      </c>
      <c r="S372" s="1" t="n">
        <v>70.9</v>
      </c>
      <c r="T372" s="1" t="n">
        <v>29.1</v>
      </c>
      <c r="U372" s="1" t="n">
        <v>34.5</v>
      </c>
      <c r="V372" s="1" t="n">
        <v>71.5</v>
      </c>
      <c r="W372" s="1" t="n">
        <v>28.5</v>
      </c>
      <c r="Z372" s="1" t="s">
        <v>54</v>
      </c>
      <c r="AH372" s="1"/>
      <c r="AI372" s="3"/>
    </row>
    <row r="373" customFormat="false" ht="16.15" hidden="true" customHeight="false" outlineLevel="0" collapsed="false">
      <c r="B373" s="1" t="s">
        <v>96</v>
      </c>
      <c r="C373" s="1" t="s">
        <v>783</v>
      </c>
      <c r="D373" s="13" t="n">
        <v>0.375</v>
      </c>
      <c r="E373" s="1" t="s">
        <v>885</v>
      </c>
      <c r="F373" s="1" t="s">
        <v>886</v>
      </c>
      <c r="G373" s="1"/>
      <c r="H373" s="2" t="s">
        <v>887</v>
      </c>
      <c r="I373" s="1" t="n">
        <v>25</v>
      </c>
      <c r="J373" s="1" t="n">
        <v>53.4</v>
      </c>
      <c r="K373" s="1" t="n">
        <v>46.6</v>
      </c>
      <c r="L373" s="1" t="n">
        <v>78.4</v>
      </c>
      <c r="M373" s="1" t="n">
        <v>75</v>
      </c>
      <c r="N373" s="1" t="n">
        <v>19.7</v>
      </c>
      <c r="O373" s="1" t="n">
        <v>29.6</v>
      </c>
      <c r="P373" s="1" t="n">
        <v>50.7</v>
      </c>
      <c r="Q373" s="1" t="n">
        <v>88.7</v>
      </c>
      <c r="R373" s="1" t="n">
        <v>91.1</v>
      </c>
      <c r="S373" s="1" t="n">
        <v>75.4</v>
      </c>
      <c r="T373" s="1" t="n">
        <v>24.6</v>
      </c>
      <c r="U373" s="1" t="n">
        <v>30.4</v>
      </c>
      <c r="V373" s="1" t="n">
        <v>72.6</v>
      </c>
      <c r="W373" s="1" t="n">
        <v>27.4</v>
      </c>
      <c r="Z373" s="1" t="s">
        <v>54</v>
      </c>
      <c r="AH373" s="1"/>
      <c r="AI373" s="3"/>
    </row>
    <row r="374" customFormat="false" ht="16.15" hidden="true" customHeight="false" outlineLevel="0" collapsed="false">
      <c r="B374" s="1" t="s">
        <v>346</v>
      </c>
      <c r="C374" s="1" t="s">
        <v>783</v>
      </c>
      <c r="D374" s="13" t="n">
        <v>0.375</v>
      </c>
      <c r="E374" s="1" t="s">
        <v>888</v>
      </c>
      <c r="F374" s="1" t="s">
        <v>889</v>
      </c>
      <c r="G374" s="1"/>
      <c r="H374" s="2" t="s">
        <v>890</v>
      </c>
      <c r="I374" s="1" t="n">
        <v>25.4</v>
      </c>
      <c r="J374" s="1" t="n">
        <v>26.8</v>
      </c>
      <c r="K374" s="1" t="n">
        <v>73.2</v>
      </c>
      <c r="L374" s="1" t="n">
        <v>52.2</v>
      </c>
      <c r="M374" s="1" t="n">
        <v>74.6</v>
      </c>
      <c r="N374" s="1" t="n">
        <v>15.6</v>
      </c>
      <c r="O374" s="1" t="n">
        <v>36.8</v>
      </c>
      <c r="P374" s="1" t="n">
        <v>47.6</v>
      </c>
      <c r="Q374" s="1" t="n">
        <v>77</v>
      </c>
      <c r="R374" s="1" t="n">
        <v>94.1</v>
      </c>
      <c r="S374" s="1" t="n">
        <v>81.9</v>
      </c>
      <c r="T374" s="1" t="n">
        <v>18.1</v>
      </c>
      <c r="U374" s="1" t="n">
        <v>22.7</v>
      </c>
      <c r="V374" s="1" t="n">
        <v>79.5</v>
      </c>
      <c r="W374" s="1" t="n">
        <v>20.5</v>
      </c>
      <c r="Z374" s="1" t="s">
        <v>54</v>
      </c>
      <c r="AH374" s="1"/>
      <c r="AI374" s="3"/>
    </row>
    <row r="375" customFormat="false" ht="16.15" hidden="true" customHeight="false" outlineLevel="0" collapsed="false">
      <c r="B375" s="1" t="s">
        <v>346</v>
      </c>
      <c r="C375" s="1" t="s">
        <v>783</v>
      </c>
      <c r="D375" s="13" t="n">
        <v>0.375</v>
      </c>
      <c r="E375" s="1" t="s">
        <v>891</v>
      </c>
      <c r="F375" s="1" t="s">
        <v>892</v>
      </c>
      <c r="G375" s="1"/>
      <c r="H375" s="2" t="s">
        <v>893</v>
      </c>
      <c r="I375" s="1" t="n">
        <v>25.1</v>
      </c>
      <c r="J375" s="1" t="n">
        <v>26.8</v>
      </c>
      <c r="K375" s="1" t="n">
        <v>73.2</v>
      </c>
      <c r="L375" s="1" t="n">
        <v>52</v>
      </c>
      <c r="M375" s="1" t="n">
        <v>74.9</v>
      </c>
      <c r="N375" s="1" t="n">
        <v>34.6</v>
      </c>
      <c r="O375" s="1" t="n">
        <v>39.7</v>
      </c>
      <c r="P375" s="1" t="n">
        <v>25.7</v>
      </c>
      <c r="Q375" s="1" t="n">
        <v>75.3</v>
      </c>
      <c r="R375" s="1" t="n">
        <v>93.3</v>
      </c>
      <c r="S375" s="1" t="n">
        <v>79.9</v>
      </c>
      <c r="T375" s="1" t="n">
        <v>20.1</v>
      </c>
      <c r="U375" s="1" t="n">
        <v>24.9</v>
      </c>
      <c r="V375" s="1" t="n">
        <v>77.9</v>
      </c>
      <c r="W375" s="1" t="n">
        <v>22.1</v>
      </c>
      <c r="Z375" s="1" t="s">
        <v>54</v>
      </c>
      <c r="AH375" s="1"/>
      <c r="AI375" s="3"/>
    </row>
    <row r="376" customFormat="false" ht="16.15" hidden="true" customHeight="false" outlineLevel="0" collapsed="false">
      <c r="B376" s="1" t="s">
        <v>297</v>
      </c>
      <c r="C376" s="1" t="s">
        <v>783</v>
      </c>
      <c r="D376" s="13" t="n">
        <v>0.375</v>
      </c>
      <c r="E376" s="1" t="s">
        <v>894</v>
      </c>
      <c r="F376" s="1" t="s">
        <v>895</v>
      </c>
      <c r="G376" s="1"/>
      <c r="H376" s="2" t="s">
        <v>896</v>
      </c>
      <c r="I376" s="1" t="n">
        <v>29.4</v>
      </c>
      <c r="J376" s="1" t="n">
        <v>30.1</v>
      </c>
      <c r="K376" s="1" t="n">
        <v>69.9</v>
      </c>
      <c r="L376" s="1" t="n">
        <v>59.6</v>
      </c>
      <c r="M376" s="1" t="n">
        <v>70.6</v>
      </c>
      <c r="N376" s="1" t="n">
        <v>29.2</v>
      </c>
      <c r="O376" s="1" t="n">
        <v>44.7</v>
      </c>
      <c r="P376" s="1" t="n">
        <v>26.1</v>
      </c>
      <c r="Q376" s="1" t="n">
        <v>67.8</v>
      </c>
      <c r="R376" s="1" t="n">
        <v>72.8</v>
      </c>
      <c r="S376" s="1" t="n">
        <v>46</v>
      </c>
      <c r="T376" s="1" t="n">
        <v>54</v>
      </c>
      <c r="U376" s="1" t="n">
        <v>59.5</v>
      </c>
      <c r="V376" s="1" t="n">
        <v>52.2</v>
      </c>
      <c r="W376" s="1" t="n">
        <v>47.8</v>
      </c>
      <c r="Z376" s="1" t="s">
        <v>36</v>
      </c>
      <c r="AC376" s="1" t="n">
        <v>47</v>
      </c>
      <c r="AF376" s="1" t="n">
        <v>44</v>
      </c>
      <c r="AH376" s="1"/>
      <c r="AI376" s="3"/>
    </row>
    <row r="377" customFormat="false" ht="16.15" hidden="true" customHeight="false" outlineLevel="0" collapsed="false">
      <c r="B377" s="1" t="s">
        <v>297</v>
      </c>
      <c r="C377" s="1" t="s">
        <v>783</v>
      </c>
      <c r="D377" s="13" t="n">
        <v>0.375</v>
      </c>
      <c r="E377" s="1" t="s">
        <v>897</v>
      </c>
      <c r="F377" s="1" t="s">
        <v>898</v>
      </c>
      <c r="G377" s="1"/>
      <c r="H377" s="2" t="s">
        <v>899</v>
      </c>
      <c r="I377" s="1" t="n">
        <v>30.3</v>
      </c>
      <c r="J377" s="1" t="n">
        <v>36.3</v>
      </c>
      <c r="K377" s="1" t="n">
        <v>63.7</v>
      </c>
      <c r="L377" s="1" t="n">
        <v>66.6</v>
      </c>
      <c r="M377" s="1" t="n">
        <v>69.7</v>
      </c>
      <c r="N377" s="1" t="n">
        <v>21.1</v>
      </c>
      <c r="O377" s="1" t="n">
        <v>51.1</v>
      </c>
      <c r="P377" s="1" t="n">
        <v>27.7</v>
      </c>
      <c r="Q377" s="1" t="n">
        <v>58.2</v>
      </c>
      <c r="R377" s="1" t="n">
        <v>71.5</v>
      </c>
      <c r="S377" s="1" t="n">
        <v>44.3</v>
      </c>
      <c r="T377" s="1" t="n">
        <v>55.7</v>
      </c>
      <c r="U377" s="1" t="n">
        <v>61</v>
      </c>
      <c r="V377" s="1" t="n">
        <v>51.2</v>
      </c>
      <c r="W377" s="1" t="n">
        <v>48.8</v>
      </c>
      <c r="Z377" s="1" t="s">
        <v>20</v>
      </c>
      <c r="AC377" s="1" t="n">
        <v>52</v>
      </c>
      <c r="AH377" s="1"/>
      <c r="AI377" s="3"/>
    </row>
    <row r="378" customFormat="false" ht="16.15" hidden="true" customHeight="false" outlineLevel="0" collapsed="false">
      <c r="B378" s="1" t="s">
        <v>103</v>
      </c>
      <c r="C378" s="1" t="s">
        <v>783</v>
      </c>
      <c r="D378" s="13" t="n">
        <v>0.375</v>
      </c>
      <c r="E378" s="1" t="s">
        <v>900</v>
      </c>
      <c r="F378" s="1" t="s">
        <v>901</v>
      </c>
      <c r="G378" s="1"/>
      <c r="H378" s="2" t="s">
        <v>902</v>
      </c>
      <c r="I378" s="1" t="n">
        <v>29.4</v>
      </c>
      <c r="J378" s="1" t="n">
        <v>31.3</v>
      </c>
      <c r="K378" s="1" t="n">
        <v>68.7</v>
      </c>
      <c r="L378" s="1" t="n">
        <v>60.7</v>
      </c>
      <c r="M378" s="1" t="n">
        <v>70.6</v>
      </c>
      <c r="N378" s="1" t="n">
        <v>22.5</v>
      </c>
      <c r="O378" s="1" t="n">
        <v>47.5</v>
      </c>
      <c r="P378" s="1" t="n">
        <v>30.1</v>
      </c>
      <c r="Q378" s="1" t="n">
        <v>63.6</v>
      </c>
      <c r="R378" s="1" t="n">
        <v>73.4</v>
      </c>
      <c r="S378" s="1" t="n">
        <v>46.7</v>
      </c>
      <c r="T378" s="1" t="n">
        <v>53.3</v>
      </c>
      <c r="U378" s="1" t="n">
        <v>58.8</v>
      </c>
      <c r="V378" s="1" t="n">
        <v>52.9</v>
      </c>
      <c r="W378" s="1" t="n">
        <v>47.1</v>
      </c>
      <c r="Z378" s="1" t="s">
        <v>36</v>
      </c>
      <c r="AC378" s="1" t="n">
        <v>40</v>
      </c>
      <c r="AF378" s="1" t="n">
        <v>38</v>
      </c>
      <c r="AH378" s="1"/>
      <c r="AI378" s="3"/>
    </row>
    <row r="379" customFormat="false" ht="16.15" hidden="true" customHeight="false" outlineLevel="0" collapsed="false">
      <c r="B379" s="1" t="s">
        <v>309</v>
      </c>
      <c r="C379" s="1" t="s">
        <v>783</v>
      </c>
      <c r="D379" s="13" t="n">
        <v>0.375</v>
      </c>
      <c r="E379" s="1" t="s">
        <v>903</v>
      </c>
      <c r="F379" s="1" t="s">
        <v>904</v>
      </c>
      <c r="G379" s="1"/>
      <c r="H379" s="2" t="s">
        <v>905</v>
      </c>
      <c r="I379" s="1" t="n">
        <v>25.5</v>
      </c>
      <c r="J379" s="1" t="n">
        <v>35.3</v>
      </c>
      <c r="K379" s="1" t="n">
        <v>64.7</v>
      </c>
      <c r="L379" s="1" t="n">
        <v>60.8</v>
      </c>
      <c r="M379" s="1" t="n">
        <v>74.5</v>
      </c>
      <c r="N379" s="1" t="n">
        <v>46.4</v>
      </c>
      <c r="O379" s="1" t="n">
        <v>33.8</v>
      </c>
      <c r="P379" s="1" t="n">
        <v>19.8</v>
      </c>
      <c r="Q379" s="1" t="n">
        <v>82.2</v>
      </c>
      <c r="R379" s="1" t="n">
        <v>89.9</v>
      </c>
      <c r="S379" s="1" t="n">
        <v>72.7</v>
      </c>
      <c r="T379" s="1" t="n">
        <v>27.3</v>
      </c>
      <c r="U379" s="1" t="n">
        <v>32.4</v>
      </c>
      <c r="V379" s="1" t="n">
        <v>73.2</v>
      </c>
      <c r="W379" s="1" t="n">
        <v>26.8</v>
      </c>
      <c r="Z379" s="1" t="s">
        <v>54</v>
      </c>
      <c r="AH379" s="1"/>
      <c r="AI379" s="3"/>
    </row>
    <row r="380" customFormat="false" ht="16.15" hidden="true" customHeight="false" outlineLevel="0" collapsed="false">
      <c r="B380" s="1" t="s">
        <v>270</v>
      </c>
      <c r="C380" s="1" t="s">
        <v>783</v>
      </c>
      <c r="D380" s="13" t="n">
        <v>0.375</v>
      </c>
      <c r="E380" s="1" t="s">
        <v>906</v>
      </c>
      <c r="F380" s="1" t="s">
        <v>907</v>
      </c>
      <c r="G380" s="1"/>
      <c r="H380" s="2" t="s">
        <v>908</v>
      </c>
      <c r="I380" s="1" t="n">
        <v>25.7</v>
      </c>
      <c r="J380" s="1" t="n">
        <v>34.5</v>
      </c>
      <c r="K380" s="1" t="n">
        <v>65.5</v>
      </c>
      <c r="L380" s="1" t="n">
        <v>60.2</v>
      </c>
      <c r="M380" s="1" t="n">
        <v>74.3</v>
      </c>
      <c r="N380" s="1" t="n">
        <v>28.9</v>
      </c>
      <c r="O380" s="1" t="n">
        <v>40.2</v>
      </c>
      <c r="P380" s="1" t="n">
        <v>30.9</v>
      </c>
      <c r="Q380" s="1" t="n">
        <v>75</v>
      </c>
      <c r="R380" s="1" t="n">
        <v>88</v>
      </c>
      <c r="S380" s="1" t="n">
        <v>69.2</v>
      </c>
      <c r="T380" s="1" t="n">
        <v>30.8</v>
      </c>
      <c r="U380" s="1" t="n">
        <v>36.2</v>
      </c>
      <c r="V380" s="1" t="n">
        <v>70.4</v>
      </c>
      <c r="W380" s="1" t="n">
        <v>29.6</v>
      </c>
      <c r="Z380" s="1" t="s">
        <v>54</v>
      </c>
      <c r="AH380" s="1"/>
      <c r="AI380" s="3"/>
    </row>
    <row r="381" customFormat="false" ht="16.15" hidden="true" customHeight="false" outlineLevel="0" collapsed="false">
      <c r="B381" s="1" t="s">
        <v>70</v>
      </c>
      <c r="C381" s="1" t="s">
        <v>783</v>
      </c>
      <c r="D381" s="13" t="n">
        <v>0.375</v>
      </c>
      <c r="E381" s="1" t="s">
        <v>909</v>
      </c>
      <c r="F381" s="1" t="s">
        <v>910</v>
      </c>
      <c r="G381" s="1"/>
      <c r="H381" s="2" t="s">
        <v>911</v>
      </c>
      <c r="I381" s="1" t="n">
        <v>25.8</v>
      </c>
      <c r="J381" s="1" t="n">
        <v>43.1</v>
      </c>
      <c r="K381" s="1" t="n">
        <v>56.9</v>
      </c>
      <c r="L381" s="1" t="n">
        <v>68.9</v>
      </c>
      <c r="M381" s="1" t="n">
        <v>74.2</v>
      </c>
      <c r="N381" s="1" t="n">
        <v>40.4</v>
      </c>
      <c r="O381" s="1" t="n">
        <v>37</v>
      </c>
      <c r="P381" s="1" t="n">
        <v>22.6</v>
      </c>
      <c r="Q381" s="1" t="n">
        <v>78.6</v>
      </c>
      <c r="R381" s="1" t="n">
        <v>88.2</v>
      </c>
      <c r="S381" s="1" t="n">
        <v>69.5</v>
      </c>
      <c r="T381" s="1" t="n">
        <v>30.5</v>
      </c>
      <c r="U381" s="1" t="n">
        <v>36</v>
      </c>
      <c r="V381" s="1" t="n">
        <v>70.3</v>
      </c>
      <c r="W381" s="1" t="n">
        <v>29.7</v>
      </c>
      <c r="Z381" s="1" t="s">
        <v>133</v>
      </c>
      <c r="AB381" s="1" t="n">
        <v>49</v>
      </c>
      <c r="AE381" s="1" t="n">
        <v>55</v>
      </c>
      <c r="AH381" s="1"/>
      <c r="AI381" s="3"/>
    </row>
    <row r="382" customFormat="false" ht="16.15" hidden="true" customHeight="false" outlineLevel="0" collapsed="false">
      <c r="B382" s="1" t="s">
        <v>386</v>
      </c>
      <c r="C382" s="1" t="s">
        <v>783</v>
      </c>
      <c r="D382" s="13" t="n">
        <v>0.375</v>
      </c>
      <c r="E382" s="1" t="s">
        <v>912</v>
      </c>
      <c r="F382" s="1" t="s">
        <v>913</v>
      </c>
      <c r="G382" s="1"/>
      <c r="H382" s="2" t="s">
        <v>914</v>
      </c>
      <c r="I382" s="1" t="n">
        <v>27.7</v>
      </c>
      <c r="J382" s="1" t="n">
        <v>42.6</v>
      </c>
      <c r="K382" s="1" t="n">
        <v>57.4</v>
      </c>
      <c r="L382" s="1" t="n">
        <v>70.4</v>
      </c>
      <c r="M382" s="1" t="n">
        <v>72.3</v>
      </c>
      <c r="N382" s="1" t="n">
        <v>22.6</v>
      </c>
      <c r="O382" s="1" t="n">
        <v>41.6</v>
      </c>
      <c r="P382" s="1" t="n">
        <v>35.8</v>
      </c>
      <c r="Q382" s="1" t="n">
        <v>72.3</v>
      </c>
      <c r="R382" s="1" t="n">
        <v>80.1</v>
      </c>
      <c r="S382" s="1" t="n">
        <v>56.1</v>
      </c>
      <c r="T382" s="1" t="n">
        <v>43.9</v>
      </c>
      <c r="U382" s="1" t="n">
        <v>49.7</v>
      </c>
      <c r="V382" s="1" t="n">
        <v>59.9</v>
      </c>
      <c r="W382" s="1" t="n">
        <v>40.1</v>
      </c>
      <c r="Z382" s="1" t="s">
        <v>20</v>
      </c>
      <c r="AC382" s="1" t="n">
        <v>39</v>
      </c>
      <c r="AH382" s="1"/>
      <c r="AI382" s="3"/>
    </row>
    <row r="383" customFormat="false" ht="16.15" hidden="true" customHeight="false" outlineLevel="0" collapsed="false">
      <c r="B383" s="1" t="s">
        <v>432</v>
      </c>
      <c r="C383" s="1" t="s">
        <v>783</v>
      </c>
      <c r="D383" s="13" t="n">
        <v>0.395833333333333</v>
      </c>
      <c r="E383" s="1" t="s">
        <v>915</v>
      </c>
      <c r="F383" s="1" t="s">
        <v>916</v>
      </c>
      <c r="G383" s="1"/>
      <c r="H383" s="2" t="s">
        <v>917</v>
      </c>
      <c r="I383" s="1" t="n">
        <v>22.8</v>
      </c>
      <c r="J383" s="1" t="n">
        <v>13.6</v>
      </c>
      <c r="K383" s="1" t="n">
        <v>86.4</v>
      </c>
      <c r="L383" s="1" t="n">
        <v>36.4</v>
      </c>
      <c r="M383" s="1" t="n">
        <v>77.2</v>
      </c>
      <c r="N383" s="1" t="n">
        <v>47.1</v>
      </c>
      <c r="O383" s="1" t="n">
        <v>36.8</v>
      </c>
      <c r="P383" s="1" t="n">
        <v>16</v>
      </c>
      <c r="Q383" s="1" t="n">
        <v>76.2</v>
      </c>
      <c r="R383" s="1" t="n">
        <v>81.8</v>
      </c>
      <c r="S383" s="1" t="n">
        <v>58.8</v>
      </c>
      <c r="T383" s="1" t="n">
        <v>41.2</v>
      </c>
      <c r="U383" s="1" t="n">
        <v>49.8</v>
      </c>
      <c r="V383" s="1" t="n">
        <v>53.8</v>
      </c>
      <c r="W383" s="1" t="n">
        <v>46.2</v>
      </c>
      <c r="Z383" s="1" t="s">
        <v>918</v>
      </c>
      <c r="AC383" s="1" t="n">
        <v>41.2</v>
      </c>
      <c r="AD383" s="1" t="n">
        <v>49</v>
      </c>
      <c r="AF383" s="1" t="n">
        <v>41</v>
      </c>
      <c r="AH383" s="1"/>
      <c r="AI383" s="3"/>
    </row>
    <row r="384" customFormat="false" ht="16.15" hidden="true" customHeight="false" outlineLevel="0" collapsed="false">
      <c r="B384" s="1" t="s">
        <v>86</v>
      </c>
      <c r="C384" s="1" t="s">
        <v>783</v>
      </c>
      <c r="D384" s="13" t="n">
        <v>0.395833333333333</v>
      </c>
      <c r="E384" s="1" t="s">
        <v>919</v>
      </c>
      <c r="F384" s="1" t="s">
        <v>920</v>
      </c>
      <c r="G384" s="1"/>
      <c r="H384" s="2" t="s">
        <v>921</v>
      </c>
      <c r="I384" s="1" t="n">
        <v>22.7</v>
      </c>
      <c r="J384" s="1" t="n">
        <v>14.1</v>
      </c>
      <c r="K384" s="1" t="n">
        <v>85.9</v>
      </c>
      <c r="L384" s="1" t="n">
        <v>36.8</v>
      </c>
      <c r="M384" s="1" t="n">
        <v>77.3</v>
      </c>
      <c r="N384" s="1" t="n">
        <v>53.2</v>
      </c>
      <c r="O384" s="1" t="n">
        <v>29.2</v>
      </c>
      <c r="P384" s="1" t="n">
        <v>17.6</v>
      </c>
      <c r="Q384" s="1" t="n">
        <v>87.5</v>
      </c>
      <c r="R384" s="1" t="n">
        <v>89.6</v>
      </c>
      <c r="S384" s="1" t="n">
        <v>72.4</v>
      </c>
      <c r="T384" s="1" t="n">
        <v>27.6</v>
      </c>
      <c r="U384" s="1" t="n">
        <v>35.1</v>
      </c>
      <c r="V384" s="1" t="n">
        <v>65.5</v>
      </c>
      <c r="W384" s="1" t="n">
        <v>34.5</v>
      </c>
      <c r="Z384" s="1" t="s">
        <v>54</v>
      </c>
      <c r="AH384" s="1"/>
      <c r="AI384" s="3"/>
    </row>
    <row r="385" customFormat="false" ht="16.15" hidden="true" customHeight="false" outlineLevel="0" collapsed="false">
      <c r="B385" s="1" t="s">
        <v>346</v>
      </c>
      <c r="C385" s="1" t="s">
        <v>783</v>
      </c>
      <c r="D385" s="13" t="n">
        <v>0.416666666666667</v>
      </c>
      <c r="E385" s="1" t="s">
        <v>922</v>
      </c>
      <c r="F385" s="1" t="s">
        <v>923</v>
      </c>
      <c r="G385" s="1"/>
      <c r="H385" s="2" t="s">
        <v>924</v>
      </c>
      <c r="I385" s="1" t="n">
        <v>30.1</v>
      </c>
      <c r="J385" s="1" t="n">
        <v>51.8</v>
      </c>
      <c r="K385" s="1" t="n">
        <v>48.2</v>
      </c>
      <c r="L385" s="1" t="n">
        <v>81.9</v>
      </c>
      <c r="M385" s="1" t="n">
        <v>69.9</v>
      </c>
      <c r="N385" s="1" t="n">
        <v>23.4</v>
      </c>
      <c r="O385" s="1" t="n">
        <v>56.5</v>
      </c>
      <c r="P385" s="1" t="n">
        <v>20.2</v>
      </c>
      <c r="Q385" s="1" t="n">
        <v>50.6</v>
      </c>
      <c r="R385" s="1" t="n">
        <v>67.7</v>
      </c>
      <c r="S385" s="1" t="n">
        <v>39.9</v>
      </c>
      <c r="T385" s="1" t="n">
        <v>60.1</v>
      </c>
      <c r="U385" s="1" t="n">
        <v>66.7</v>
      </c>
      <c r="V385" s="1" t="n">
        <v>43.4</v>
      </c>
      <c r="W385" s="1" t="n">
        <v>56.6</v>
      </c>
      <c r="Z385" s="1" t="s">
        <v>54</v>
      </c>
      <c r="AH385" s="1"/>
      <c r="AI385" s="3"/>
    </row>
    <row r="386" customFormat="false" ht="16.15" hidden="true" customHeight="false" outlineLevel="0" collapsed="false">
      <c r="B386" s="1" t="s">
        <v>62</v>
      </c>
      <c r="C386" s="1" t="s">
        <v>783</v>
      </c>
      <c r="D386" s="13" t="n">
        <v>0.416666666666667</v>
      </c>
      <c r="E386" s="1" t="s">
        <v>925</v>
      </c>
      <c r="F386" s="1" t="s">
        <v>926</v>
      </c>
      <c r="G386" s="1"/>
      <c r="H386" s="2" t="s">
        <v>887</v>
      </c>
      <c r="I386" s="1" t="n">
        <v>30.3</v>
      </c>
      <c r="J386" s="1" t="n">
        <v>48.2</v>
      </c>
      <c r="K386" s="1" t="n">
        <v>51.8</v>
      </c>
      <c r="L386" s="1" t="n">
        <v>78.4</v>
      </c>
      <c r="M386" s="1" t="n">
        <v>69.7</v>
      </c>
      <c r="N386" s="1" t="n">
        <v>23.1</v>
      </c>
      <c r="O386" s="1" t="n">
        <v>46.7</v>
      </c>
      <c r="P386" s="1" t="n">
        <v>30.2</v>
      </c>
      <c r="Q386" s="1" t="n">
        <v>64.8</v>
      </c>
      <c r="R386" s="1" t="n">
        <v>69.3</v>
      </c>
      <c r="S386" s="1" t="n">
        <v>41.7</v>
      </c>
      <c r="T386" s="1" t="n">
        <v>58.3</v>
      </c>
      <c r="U386" s="1" t="n">
        <v>64.4</v>
      </c>
      <c r="V386" s="1" t="n">
        <v>46.6</v>
      </c>
      <c r="W386" s="1" t="n">
        <v>53.4</v>
      </c>
      <c r="Z386" s="1" t="s">
        <v>54</v>
      </c>
      <c r="AH386" s="1"/>
      <c r="AI386" s="3"/>
    </row>
    <row r="387" customFormat="false" ht="16.15" hidden="true" customHeight="false" outlineLevel="0" collapsed="false">
      <c r="B387" s="1" t="s">
        <v>309</v>
      </c>
      <c r="C387" s="1" t="s">
        <v>783</v>
      </c>
      <c r="D387" s="13" t="n">
        <v>0.416666666666667</v>
      </c>
      <c r="E387" s="1" t="s">
        <v>927</v>
      </c>
      <c r="F387" s="1" t="s">
        <v>928</v>
      </c>
      <c r="G387" s="1"/>
      <c r="H387" s="2" t="s">
        <v>929</v>
      </c>
      <c r="I387" s="1" t="n">
        <v>26</v>
      </c>
      <c r="J387" s="1" t="n">
        <v>28.5</v>
      </c>
      <c r="K387" s="1" t="n">
        <v>71.5</v>
      </c>
      <c r="L387" s="1" t="n">
        <v>54.5</v>
      </c>
      <c r="M387" s="1" t="n">
        <v>74</v>
      </c>
      <c r="N387" s="1" t="n">
        <v>55.4</v>
      </c>
      <c r="O387" s="1" t="n">
        <v>31.8</v>
      </c>
      <c r="P387" s="1" t="n">
        <v>12.8</v>
      </c>
      <c r="Q387" s="1" t="n">
        <v>81.1</v>
      </c>
      <c r="R387" s="1" t="n">
        <v>84</v>
      </c>
      <c r="S387" s="1" t="n">
        <v>62.2</v>
      </c>
      <c r="T387" s="1" t="n">
        <v>37.8</v>
      </c>
      <c r="U387" s="1" t="n">
        <v>43.6</v>
      </c>
      <c r="V387" s="1" t="n">
        <v>64.3</v>
      </c>
      <c r="W387" s="1" t="n">
        <v>35.7</v>
      </c>
      <c r="Z387" s="1" t="s">
        <v>54</v>
      </c>
      <c r="AH387" s="1"/>
      <c r="AI387" s="3"/>
    </row>
    <row r="388" customFormat="false" ht="16.15" hidden="true" customHeight="false" outlineLevel="0" collapsed="false">
      <c r="B388" s="1" t="s">
        <v>67</v>
      </c>
      <c r="C388" s="1" t="s">
        <v>783</v>
      </c>
      <c r="D388" s="13" t="n">
        <v>0.416666666666667</v>
      </c>
      <c r="E388" s="1" t="s">
        <v>930</v>
      </c>
      <c r="F388" s="1" t="s">
        <v>931</v>
      </c>
      <c r="G388" s="1"/>
      <c r="H388" s="2" t="s">
        <v>932</v>
      </c>
      <c r="I388" s="1" t="n">
        <v>26.6</v>
      </c>
      <c r="J388" s="1" t="n">
        <v>23.1</v>
      </c>
      <c r="K388" s="1" t="n">
        <v>76.9</v>
      </c>
      <c r="L388" s="1" t="n">
        <v>49.7</v>
      </c>
      <c r="M388" s="1" t="n">
        <v>73.4</v>
      </c>
      <c r="N388" s="1" t="n">
        <v>42.8</v>
      </c>
      <c r="O388" s="1" t="n">
        <v>39.2</v>
      </c>
      <c r="P388" s="1" t="n">
        <v>18</v>
      </c>
      <c r="Q388" s="1" t="n">
        <v>73.9</v>
      </c>
      <c r="R388" s="1" t="n">
        <v>78.1</v>
      </c>
      <c r="S388" s="1" t="n">
        <v>53.2</v>
      </c>
      <c r="T388" s="1" t="n">
        <v>46.8</v>
      </c>
      <c r="U388" s="1" t="n">
        <v>53.2</v>
      </c>
      <c r="V388" s="1" t="n">
        <v>55.8</v>
      </c>
      <c r="W388" s="1" t="n">
        <v>44.2</v>
      </c>
      <c r="Z388" s="1" t="s">
        <v>54</v>
      </c>
      <c r="AH388" s="1"/>
      <c r="AI388" s="3"/>
    </row>
    <row r="389" customFormat="false" ht="16.15" hidden="true" customHeight="false" outlineLevel="0" collapsed="false">
      <c r="B389" s="1" t="s">
        <v>312</v>
      </c>
      <c r="C389" s="1" t="s">
        <v>783</v>
      </c>
      <c r="D389" s="13" t="n">
        <v>0.416666666666667</v>
      </c>
      <c r="E389" s="1" t="s">
        <v>933</v>
      </c>
      <c r="F389" s="1" t="s">
        <v>934</v>
      </c>
      <c r="G389" s="1"/>
      <c r="H389" s="2" t="s">
        <v>935</v>
      </c>
      <c r="I389" s="1" t="n">
        <v>26.1</v>
      </c>
      <c r="J389" s="1" t="n">
        <v>26.7</v>
      </c>
      <c r="K389" s="1" t="n">
        <v>73.3</v>
      </c>
      <c r="L389" s="1" t="n">
        <v>52.8</v>
      </c>
      <c r="M389" s="1" t="n">
        <v>73.9</v>
      </c>
      <c r="N389" s="1" t="n">
        <v>32.4</v>
      </c>
      <c r="O389" s="1" t="n">
        <v>42.8</v>
      </c>
      <c r="P389" s="1" t="n">
        <v>24.7</v>
      </c>
      <c r="Q389" s="1" t="n">
        <v>70.5</v>
      </c>
      <c r="R389" s="1" t="n">
        <v>82.7</v>
      </c>
      <c r="S389" s="1" t="n">
        <v>60.1</v>
      </c>
      <c r="T389" s="1" t="n">
        <v>39.9</v>
      </c>
      <c r="U389" s="1" t="n">
        <v>45.9</v>
      </c>
      <c r="V389" s="1" t="n">
        <v>62.2</v>
      </c>
      <c r="W389" s="1" t="n">
        <v>37.8</v>
      </c>
      <c r="Z389" s="1" t="s">
        <v>133</v>
      </c>
      <c r="AB389" s="1" t="n">
        <v>49</v>
      </c>
      <c r="AE389" s="1" t="n">
        <v>56</v>
      </c>
      <c r="AH389" s="1"/>
      <c r="AI389" s="3"/>
    </row>
    <row r="390" customFormat="false" ht="16.15" hidden="false" customHeight="false" outlineLevel="0" collapsed="false">
      <c r="B390" s="1" t="s">
        <v>936</v>
      </c>
      <c r="C390" s="1" t="s">
        <v>783</v>
      </c>
      <c r="D390" s="13" t="n">
        <v>0.416666666666667</v>
      </c>
      <c r="E390" s="1" t="s">
        <v>625</v>
      </c>
      <c r="F390" s="1" t="s">
        <v>937</v>
      </c>
      <c r="G390" s="1"/>
      <c r="H390" s="2" t="s">
        <v>818</v>
      </c>
      <c r="I390" s="1" t="n">
        <v>27.5</v>
      </c>
      <c r="J390" s="1" t="n">
        <v>20.4</v>
      </c>
      <c r="K390" s="1" t="n">
        <v>79.6</v>
      </c>
      <c r="L390" s="1" t="n">
        <v>47.9</v>
      </c>
      <c r="M390" s="1" t="n">
        <v>72.5</v>
      </c>
      <c r="N390" s="1" t="n">
        <v>35.5</v>
      </c>
      <c r="O390" s="1" t="n">
        <v>46.8</v>
      </c>
      <c r="P390" s="1" t="n">
        <v>17.7</v>
      </c>
      <c r="Q390" s="1" t="n">
        <v>63.3</v>
      </c>
      <c r="R390" s="1" t="n">
        <v>72.4</v>
      </c>
      <c r="S390" s="1" t="n">
        <v>45.5</v>
      </c>
      <c r="T390" s="1" t="n">
        <v>54.5</v>
      </c>
      <c r="U390" s="1" t="n">
        <v>61.1</v>
      </c>
      <c r="V390" s="1" t="n">
        <v>48.7</v>
      </c>
      <c r="W390" s="1" t="n">
        <v>51.3</v>
      </c>
      <c r="AH390" s="1"/>
      <c r="AI390" s="3"/>
    </row>
    <row r="391" customFormat="false" ht="16.15" hidden="true" customHeight="false" outlineLevel="0" collapsed="false">
      <c r="B391" s="1" t="s">
        <v>670</v>
      </c>
      <c r="C391" s="1" t="s">
        <v>783</v>
      </c>
      <c r="D391" s="13" t="n">
        <v>0.458333333333333</v>
      </c>
      <c r="E391" s="1" t="s">
        <v>938</v>
      </c>
      <c r="F391" s="1" t="s">
        <v>939</v>
      </c>
      <c r="G391" s="1"/>
      <c r="H391" s="2" t="s">
        <v>940</v>
      </c>
      <c r="I391" s="1" t="n">
        <v>28.6</v>
      </c>
      <c r="J391" s="1" t="n">
        <v>25</v>
      </c>
      <c r="K391" s="1" t="n">
        <v>75</v>
      </c>
      <c r="L391" s="1" t="n">
        <v>53.7</v>
      </c>
      <c r="M391" s="1" t="n">
        <v>71.4</v>
      </c>
      <c r="N391" s="1" t="n">
        <v>31.5</v>
      </c>
      <c r="O391" s="1" t="n">
        <v>44.8</v>
      </c>
      <c r="P391" s="1" t="n">
        <v>23.7</v>
      </c>
      <c r="Q391" s="1" t="n">
        <v>67.5</v>
      </c>
      <c r="R391" s="1" t="n">
        <v>72.7</v>
      </c>
      <c r="S391" s="1" t="n">
        <v>45.9</v>
      </c>
      <c r="T391" s="1" t="n">
        <v>54.1</v>
      </c>
      <c r="U391" s="1" t="n">
        <v>60.1</v>
      </c>
      <c r="V391" s="1" t="n">
        <v>50.9</v>
      </c>
      <c r="W391" s="1" t="n">
        <v>49.1</v>
      </c>
      <c r="Z391" s="1" t="s">
        <v>133</v>
      </c>
      <c r="AB391" s="1" t="n">
        <v>42</v>
      </c>
      <c r="AE391" s="1" t="n">
        <v>50</v>
      </c>
      <c r="AH391" s="1"/>
      <c r="AI391" s="3"/>
    </row>
    <row r="392" customFormat="false" ht="16.15" hidden="true" customHeight="false" outlineLevel="0" collapsed="false">
      <c r="B392" s="1" t="s">
        <v>331</v>
      </c>
      <c r="C392" s="1" t="s">
        <v>783</v>
      </c>
      <c r="D392" s="13" t="n">
        <v>0.458333333333333</v>
      </c>
      <c r="E392" s="1" t="s">
        <v>941</v>
      </c>
      <c r="F392" s="1" t="s">
        <v>942</v>
      </c>
      <c r="G392" s="1"/>
      <c r="H392" s="2" t="s">
        <v>943</v>
      </c>
      <c r="I392" s="1" t="n">
        <v>26</v>
      </c>
      <c r="J392" s="1" t="n">
        <v>25.6</v>
      </c>
      <c r="K392" s="1" t="n">
        <v>74.4</v>
      </c>
      <c r="L392" s="1" t="n">
        <v>51.5</v>
      </c>
      <c r="M392" s="1" t="n">
        <v>74</v>
      </c>
      <c r="N392" s="1" t="n">
        <v>37.3</v>
      </c>
      <c r="O392" s="1" t="n">
        <v>39.2</v>
      </c>
      <c r="P392" s="1" t="n">
        <v>23.6</v>
      </c>
      <c r="Q392" s="1" t="n">
        <v>75.7</v>
      </c>
      <c r="R392" s="1" t="n">
        <v>82.5</v>
      </c>
      <c r="S392" s="1" t="n">
        <v>59.7</v>
      </c>
      <c r="T392" s="1" t="n">
        <v>40.3</v>
      </c>
      <c r="U392" s="1" t="n">
        <v>46.5</v>
      </c>
      <c r="V392" s="1" t="n">
        <v>61.6</v>
      </c>
      <c r="W392" s="1" t="n">
        <v>38.4</v>
      </c>
      <c r="Z392" s="1" t="s">
        <v>36</v>
      </c>
      <c r="AC392" s="1" t="n">
        <v>39</v>
      </c>
      <c r="AF392" s="1" t="n">
        <v>37</v>
      </c>
      <c r="AH392" s="1"/>
      <c r="AI392" s="3"/>
    </row>
    <row r="393" customFormat="false" ht="16.15" hidden="false" customHeight="false" outlineLevel="0" collapsed="false">
      <c r="B393" s="1" t="s">
        <v>109</v>
      </c>
      <c r="C393" s="1" t="s">
        <v>783</v>
      </c>
      <c r="D393" s="13" t="n">
        <v>0.458333333333333</v>
      </c>
      <c r="E393" s="1" t="s">
        <v>944</v>
      </c>
      <c r="F393" s="1" t="s">
        <v>945</v>
      </c>
      <c r="G393" s="1"/>
      <c r="H393" s="2" t="s">
        <v>790</v>
      </c>
      <c r="I393" s="1" t="n">
        <v>23.8</v>
      </c>
      <c r="J393" s="1" t="n">
        <v>15.7</v>
      </c>
      <c r="K393" s="1" t="n">
        <v>84.3</v>
      </c>
      <c r="L393" s="1" t="n">
        <v>39.5</v>
      </c>
      <c r="M393" s="1" t="n">
        <v>76.2</v>
      </c>
      <c r="N393" s="1" t="n">
        <v>42.1</v>
      </c>
      <c r="O393" s="1" t="n">
        <v>40.7</v>
      </c>
      <c r="P393" s="1" t="n">
        <v>17.2</v>
      </c>
      <c r="Q393" s="1" t="n">
        <v>71.4</v>
      </c>
      <c r="R393" s="1" t="n">
        <v>80.5</v>
      </c>
      <c r="S393" s="1" t="n">
        <v>56.9</v>
      </c>
      <c r="T393" s="1" t="n">
        <v>43.1</v>
      </c>
      <c r="U393" s="1" t="n">
        <v>51.1</v>
      </c>
      <c r="V393" s="1" t="n">
        <v>54.2</v>
      </c>
      <c r="W393" s="1" t="n">
        <v>45.8</v>
      </c>
      <c r="AH393" s="1"/>
      <c r="AI393" s="3"/>
    </row>
    <row r="394" customFormat="false" ht="16.15" hidden="false" customHeight="false" outlineLevel="0" collapsed="false">
      <c r="B394" s="1" t="s">
        <v>109</v>
      </c>
      <c r="C394" s="1" t="s">
        <v>783</v>
      </c>
      <c r="D394" s="13" t="n">
        <v>0.458333333333333</v>
      </c>
      <c r="E394" s="1" t="s">
        <v>946</v>
      </c>
      <c r="F394" s="1" t="s">
        <v>947</v>
      </c>
      <c r="G394" s="1"/>
      <c r="H394" s="2" t="s">
        <v>948</v>
      </c>
      <c r="I394" s="1" t="n">
        <v>23.5</v>
      </c>
      <c r="J394" s="1" t="n">
        <v>16.6</v>
      </c>
      <c r="K394" s="1" t="n">
        <v>83.4</v>
      </c>
      <c r="L394" s="1" t="n">
        <v>40.2</v>
      </c>
      <c r="M394" s="1" t="n">
        <v>76.5</v>
      </c>
      <c r="N394" s="1" t="n">
        <v>41.6</v>
      </c>
      <c r="O394" s="1" t="n">
        <v>39.3</v>
      </c>
      <c r="P394" s="1" t="n">
        <v>19.1</v>
      </c>
      <c r="Q394" s="1" t="n">
        <v>74.1</v>
      </c>
      <c r="R394" s="1" t="n">
        <v>84</v>
      </c>
      <c r="S394" s="1" t="n">
        <v>62.4</v>
      </c>
      <c r="T394" s="1" t="n">
        <v>37.6</v>
      </c>
      <c r="U394" s="1" t="n">
        <v>45.2</v>
      </c>
      <c r="V394" s="1" t="n">
        <v>59.2</v>
      </c>
      <c r="W394" s="1" t="n">
        <v>40.8</v>
      </c>
      <c r="AH394" s="1"/>
      <c r="AI394" s="3"/>
    </row>
    <row r="395" customFormat="false" ht="16.15" hidden="true" customHeight="false" outlineLevel="0" collapsed="false">
      <c r="B395" s="1" t="s">
        <v>355</v>
      </c>
      <c r="C395" s="1" t="s">
        <v>783</v>
      </c>
      <c r="D395" s="13" t="n">
        <v>0.458333333333333</v>
      </c>
      <c r="E395" s="1" t="s">
        <v>949</v>
      </c>
      <c r="F395" s="1" t="s">
        <v>950</v>
      </c>
      <c r="G395" s="1"/>
      <c r="H395" s="2" t="s">
        <v>951</v>
      </c>
      <c r="I395" s="1" t="n">
        <v>25</v>
      </c>
      <c r="J395" s="1" t="n">
        <v>59.2</v>
      </c>
      <c r="K395" s="1" t="n">
        <v>40.8</v>
      </c>
      <c r="L395" s="1" t="n">
        <v>84.2</v>
      </c>
      <c r="M395" s="1" t="n">
        <v>75</v>
      </c>
      <c r="N395" s="1" t="n">
        <v>15.2</v>
      </c>
      <c r="O395" s="1" t="n">
        <v>37.2</v>
      </c>
      <c r="P395" s="1" t="n">
        <v>47.6</v>
      </c>
      <c r="Q395" s="1" t="n">
        <v>76.4</v>
      </c>
      <c r="R395" s="1" t="n">
        <v>83.8</v>
      </c>
      <c r="S395" s="1" t="n">
        <v>62</v>
      </c>
      <c r="T395" s="1" t="n">
        <v>38</v>
      </c>
      <c r="U395" s="1" t="n">
        <v>45.7</v>
      </c>
      <c r="V395" s="1" t="n">
        <v>58.6</v>
      </c>
      <c r="W395" s="1" t="n">
        <v>41.4</v>
      </c>
      <c r="Z395" s="1" t="s">
        <v>20</v>
      </c>
      <c r="AC395" s="1" t="n">
        <v>32</v>
      </c>
      <c r="AH395" s="1"/>
      <c r="AI395" s="3"/>
    </row>
    <row r="396" customFormat="false" ht="16.15" hidden="false" customHeight="false" outlineLevel="0" collapsed="false">
      <c r="B396" s="1" t="s">
        <v>277</v>
      </c>
      <c r="C396" s="1" t="s">
        <v>783</v>
      </c>
      <c r="D396" s="13" t="n">
        <v>0.458333333333333</v>
      </c>
      <c r="E396" s="1" t="s">
        <v>952</v>
      </c>
      <c r="F396" s="1" t="s">
        <v>953</v>
      </c>
      <c r="G396" s="1"/>
      <c r="H396" s="2" t="s">
        <v>954</v>
      </c>
      <c r="I396" s="1" t="n">
        <v>23.3</v>
      </c>
      <c r="J396" s="1" t="n">
        <v>66.3</v>
      </c>
      <c r="K396" s="1" t="n">
        <v>33.7</v>
      </c>
      <c r="L396" s="1" t="n">
        <v>89.6</v>
      </c>
      <c r="M396" s="1" t="n">
        <v>76.7</v>
      </c>
      <c r="N396" s="1" t="n">
        <v>9.7</v>
      </c>
      <c r="O396" s="1" t="n">
        <v>44.5</v>
      </c>
      <c r="P396" s="1" t="n">
        <v>45.8</v>
      </c>
      <c r="Q396" s="1" t="n">
        <v>63.5</v>
      </c>
      <c r="R396" s="1" t="n">
        <v>85.8</v>
      </c>
      <c r="S396" s="1" t="n">
        <v>65.6</v>
      </c>
      <c r="T396" s="1" t="n">
        <v>34.4</v>
      </c>
      <c r="U396" s="1" t="n">
        <v>43.6</v>
      </c>
      <c r="V396" s="1" t="n">
        <v>56.3</v>
      </c>
      <c r="W396" s="1" t="n">
        <v>43.7</v>
      </c>
      <c r="AH396" s="1"/>
      <c r="AI396" s="3"/>
    </row>
    <row r="397" customFormat="false" ht="16.15" hidden="true" customHeight="false" outlineLevel="0" collapsed="false">
      <c r="B397" s="1" t="s">
        <v>955</v>
      </c>
      <c r="C397" s="1" t="s">
        <v>783</v>
      </c>
      <c r="D397" s="13" t="n">
        <v>0.458333333333333</v>
      </c>
      <c r="E397" s="1" t="s">
        <v>956</v>
      </c>
      <c r="F397" s="1" t="s">
        <v>957</v>
      </c>
      <c r="G397" s="1"/>
      <c r="H397" s="2" t="s">
        <v>887</v>
      </c>
      <c r="I397" s="1" t="n">
        <v>29</v>
      </c>
      <c r="J397" s="1" t="n">
        <v>49.4</v>
      </c>
      <c r="K397" s="1" t="n">
        <v>50.6</v>
      </c>
      <c r="L397" s="1" t="n">
        <v>78.4</v>
      </c>
      <c r="M397" s="1" t="n">
        <v>71</v>
      </c>
      <c r="N397" s="1" t="n">
        <v>14.9</v>
      </c>
      <c r="O397" s="1" t="n">
        <v>45.4</v>
      </c>
      <c r="P397" s="1" t="n">
        <v>39.7</v>
      </c>
      <c r="Q397" s="1" t="n">
        <v>64.8</v>
      </c>
      <c r="R397" s="1" t="n">
        <v>73.1</v>
      </c>
      <c r="S397" s="1" t="n">
        <v>46.4</v>
      </c>
      <c r="T397" s="1" t="n">
        <v>53.6</v>
      </c>
      <c r="U397" s="1" t="n">
        <v>59.9</v>
      </c>
      <c r="V397" s="1" t="n">
        <v>50.2</v>
      </c>
      <c r="W397" s="1" t="n">
        <v>49.8</v>
      </c>
      <c r="Z397" s="1" t="s">
        <v>20</v>
      </c>
      <c r="AC397" s="1" t="n">
        <v>47</v>
      </c>
      <c r="AH397" s="1"/>
      <c r="AI397" s="3"/>
    </row>
    <row r="398" customFormat="false" ht="16.15" hidden="false" customHeight="false" outlineLevel="0" collapsed="false">
      <c r="B398" s="1" t="s">
        <v>106</v>
      </c>
      <c r="C398" s="1" t="s">
        <v>783</v>
      </c>
      <c r="D398" s="13" t="n">
        <v>0.458333333333333</v>
      </c>
      <c r="E398" s="1" t="s">
        <v>958</v>
      </c>
      <c r="F398" s="1" t="s">
        <v>959</v>
      </c>
      <c r="G398" s="1"/>
      <c r="H398" s="2" t="s">
        <v>960</v>
      </c>
      <c r="I398" s="1" t="n">
        <v>26.5</v>
      </c>
      <c r="J398" s="1" t="n">
        <v>38.5</v>
      </c>
      <c r="K398" s="1" t="n">
        <v>61.5</v>
      </c>
      <c r="L398" s="1" t="n">
        <v>65</v>
      </c>
      <c r="M398" s="1" t="n">
        <v>73.5</v>
      </c>
      <c r="N398" s="1" t="n">
        <v>27.8</v>
      </c>
      <c r="O398" s="1" t="n">
        <v>38.3</v>
      </c>
      <c r="P398" s="1" t="n">
        <v>33.9</v>
      </c>
      <c r="Q398" s="1" t="n">
        <v>77.9</v>
      </c>
      <c r="R398" s="1" t="n">
        <v>85</v>
      </c>
      <c r="S398" s="1" t="n">
        <v>63.8</v>
      </c>
      <c r="T398" s="1" t="n">
        <v>36.2</v>
      </c>
      <c r="U398" s="1" t="n">
        <v>41.8</v>
      </c>
      <c r="V398" s="1" t="n">
        <v>66.3</v>
      </c>
      <c r="W398" s="1" t="n">
        <v>33.7</v>
      </c>
      <c r="AH398" s="1"/>
      <c r="AI398" s="3"/>
    </row>
    <row r="399" customFormat="false" ht="16.15" hidden="false" customHeight="false" outlineLevel="0" collapsed="false">
      <c r="B399" s="1" t="s">
        <v>106</v>
      </c>
      <c r="C399" s="1" t="s">
        <v>783</v>
      </c>
      <c r="D399" s="13" t="n">
        <v>0.458333333333333</v>
      </c>
      <c r="E399" s="1" t="s">
        <v>961</v>
      </c>
      <c r="F399" s="1" t="s">
        <v>962</v>
      </c>
      <c r="G399" s="1"/>
      <c r="H399" s="2" t="s">
        <v>963</v>
      </c>
      <c r="I399" s="1" t="n">
        <v>21.2</v>
      </c>
      <c r="J399" s="1" t="n">
        <v>9.7</v>
      </c>
      <c r="K399" s="1" t="n">
        <v>90.3</v>
      </c>
      <c r="L399" s="1" t="n">
        <v>30.9</v>
      </c>
      <c r="M399" s="1" t="n">
        <v>78.8</v>
      </c>
      <c r="N399" s="1" t="n">
        <v>63.3</v>
      </c>
      <c r="O399" s="1" t="n">
        <v>28.8</v>
      </c>
      <c r="P399" s="1" t="n">
        <v>7.9</v>
      </c>
      <c r="Q399" s="1" t="n">
        <v>80.8</v>
      </c>
      <c r="R399" s="1" t="n">
        <v>87.8</v>
      </c>
      <c r="S399" s="1" t="n">
        <v>69.1</v>
      </c>
      <c r="T399" s="1" t="n">
        <v>30.9</v>
      </c>
      <c r="U399" s="1" t="n">
        <v>40.3</v>
      </c>
      <c r="V399" s="1" t="n">
        <v>57.8</v>
      </c>
      <c r="W399" s="1" t="n">
        <v>42.2</v>
      </c>
      <c r="AH399" s="1"/>
      <c r="AI399" s="3"/>
    </row>
    <row r="400" customFormat="false" ht="16.15" hidden="true" customHeight="false" outlineLevel="0" collapsed="false">
      <c r="B400" s="1" t="s">
        <v>70</v>
      </c>
      <c r="C400" s="1" t="s">
        <v>783</v>
      </c>
      <c r="D400" s="13" t="n">
        <v>0.479166666666667</v>
      </c>
      <c r="E400" s="1" t="s">
        <v>964</v>
      </c>
      <c r="F400" s="1" t="s">
        <v>965</v>
      </c>
      <c r="G400" s="1"/>
      <c r="H400" s="2" t="s">
        <v>966</v>
      </c>
      <c r="I400" s="1" t="n">
        <v>24.5</v>
      </c>
      <c r="J400" s="1" t="n">
        <v>12.9</v>
      </c>
      <c r="K400" s="1" t="n">
        <v>87.1</v>
      </c>
      <c r="L400" s="1" t="n">
        <v>37.4</v>
      </c>
      <c r="M400" s="1" t="n">
        <v>75.5</v>
      </c>
      <c r="N400" s="1" t="s">
        <v>533</v>
      </c>
      <c r="O400" s="1" t="s">
        <v>533</v>
      </c>
      <c r="P400" s="1" t="s">
        <v>533</v>
      </c>
      <c r="Q400" s="1" t="s">
        <v>533</v>
      </c>
      <c r="R400" s="1" t="n">
        <v>72.2</v>
      </c>
      <c r="S400" s="1" t="n">
        <v>45.5</v>
      </c>
      <c r="T400" s="1" t="n">
        <v>54.5</v>
      </c>
      <c r="U400" s="1" t="n">
        <v>63.2</v>
      </c>
      <c r="V400" s="1" t="n">
        <v>42.8</v>
      </c>
      <c r="W400" s="1" t="n">
        <v>57.2</v>
      </c>
      <c r="Z400" s="1" t="s">
        <v>36</v>
      </c>
      <c r="AC400" s="1" t="n">
        <v>41</v>
      </c>
      <c r="AF400" s="1" t="n">
        <v>52</v>
      </c>
      <c r="AH400" s="1"/>
      <c r="AI400" s="3"/>
    </row>
    <row r="401" customFormat="false" ht="16.15" hidden="true" customHeight="false" outlineLevel="0" collapsed="false">
      <c r="B401" s="1" t="s">
        <v>386</v>
      </c>
      <c r="C401" s="1" t="s">
        <v>783</v>
      </c>
      <c r="D401" s="13" t="n">
        <v>0.479166666666667</v>
      </c>
      <c r="E401" s="1" t="s">
        <v>967</v>
      </c>
      <c r="F401" s="1" t="s">
        <v>968</v>
      </c>
      <c r="G401" s="1"/>
      <c r="H401" s="2" t="s">
        <v>969</v>
      </c>
      <c r="I401" s="1" t="n">
        <v>25.2</v>
      </c>
      <c r="J401" s="1" t="n">
        <v>26.3</v>
      </c>
      <c r="K401" s="1" t="n">
        <v>73.7</v>
      </c>
      <c r="L401" s="1" t="n">
        <v>51.4</v>
      </c>
      <c r="M401" s="1" t="n">
        <v>74.8</v>
      </c>
      <c r="N401" s="1" t="n">
        <v>40.4</v>
      </c>
      <c r="O401" s="1" t="n">
        <v>36.6</v>
      </c>
      <c r="P401" s="1" t="n">
        <v>23</v>
      </c>
      <c r="Q401" s="1" t="n">
        <v>79.3</v>
      </c>
      <c r="R401" s="1" t="n">
        <v>86.6</v>
      </c>
      <c r="S401" s="1" t="n">
        <v>66.7</v>
      </c>
      <c r="T401" s="1" t="n">
        <v>33.3</v>
      </c>
      <c r="U401" s="1" t="n">
        <v>39.2</v>
      </c>
      <c r="V401" s="1" t="n">
        <v>67.2</v>
      </c>
      <c r="W401" s="1" t="n">
        <v>32.8</v>
      </c>
      <c r="Z401" s="1" t="s">
        <v>22</v>
      </c>
      <c r="AE401" s="1" t="n">
        <v>60</v>
      </c>
      <c r="AH401" s="1"/>
      <c r="AI401" s="3"/>
    </row>
    <row r="402" customFormat="false" ht="16.15" hidden="true" customHeight="false" outlineLevel="0" collapsed="false">
      <c r="B402" s="1" t="s">
        <v>297</v>
      </c>
      <c r="C402" s="1" t="s">
        <v>783</v>
      </c>
      <c r="D402" s="13" t="n">
        <v>0.5</v>
      </c>
      <c r="E402" s="1" t="s">
        <v>970</v>
      </c>
      <c r="F402" s="1" t="s">
        <v>971</v>
      </c>
      <c r="G402" s="1"/>
      <c r="H402" s="2" t="s">
        <v>911</v>
      </c>
      <c r="I402" s="1" t="n">
        <v>32.9</v>
      </c>
      <c r="J402" s="1" t="n">
        <v>36</v>
      </c>
      <c r="K402" s="1" t="n">
        <v>64</v>
      </c>
      <c r="L402" s="1" t="n">
        <v>68.9</v>
      </c>
      <c r="M402" s="1" t="n">
        <v>67.1</v>
      </c>
      <c r="N402" s="1" t="n">
        <v>24</v>
      </c>
      <c r="O402" s="1" t="n">
        <v>46</v>
      </c>
      <c r="P402" s="1" t="n">
        <v>30</v>
      </c>
      <c r="Q402" s="1" t="n">
        <v>65.9</v>
      </c>
      <c r="R402" s="1" t="n">
        <v>63.2</v>
      </c>
      <c r="S402" s="1" t="n">
        <v>34.9</v>
      </c>
      <c r="T402" s="1" t="n">
        <v>65.1</v>
      </c>
      <c r="U402" s="1" t="n">
        <v>69.9</v>
      </c>
      <c r="V402" s="1" t="n">
        <v>43.4</v>
      </c>
      <c r="W402" s="1" t="n">
        <v>56.6</v>
      </c>
      <c r="Z402" s="1" t="s">
        <v>36</v>
      </c>
      <c r="AC402" s="1" t="n">
        <v>51</v>
      </c>
      <c r="AF402" s="1" t="n">
        <v>55</v>
      </c>
      <c r="AH402" s="1"/>
      <c r="AI402" s="3"/>
    </row>
    <row r="403" customFormat="false" ht="16.15" hidden="false" customHeight="false" outlineLevel="0" collapsed="false">
      <c r="B403" s="1" t="s">
        <v>73</v>
      </c>
      <c r="C403" s="1" t="s">
        <v>783</v>
      </c>
      <c r="D403" s="13" t="n">
        <v>0.5</v>
      </c>
      <c r="E403" s="1" t="s">
        <v>972</v>
      </c>
      <c r="F403" s="1" t="s">
        <v>973</v>
      </c>
      <c r="G403" s="1"/>
      <c r="H403" s="2" t="s">
        <v>974</v>
      </c>
      <c r="I403" s="1" t="n">
        <v>33.3</v>
      </c>
      <c r="J403" s="1" t="n">
        <v>32.1</v>
      </c>
      <c r="K403" s="1" t="n">
        <v>67.9</v>
      </c>
      <c r="L403" s="1" t="n">
        <v>65.4</v>
      </c>
      <c r="M403" s="1" t="n">
        <v>66.7</v>
      </c>
      <c r="N403" s="1" t="n">
        <v>27.3</v>
      </c>
      <c r="O403" s="1" t="n">
        <v>48.9</v>
      </c>
      <c r="P403" s="1" t="n">
        <v>23.7</v>
      </c>
      <c r="Q403" s="1" t="n">
        <v>61.5</v>
      </c>
      <c r="R403" s="1" t="n">
        <v>61.7</v>
      </c>
      <c r="S403" s="1" t="n">
        <v>33.3</v>
      </c>
      <c r="T403" s="1" t="n">
        <v>66.7</v>
      </c>
      <c r="U403" s="1" t="n">
        <v>71.3</v>
      </c>
      <c r="V403" s="1" t="n">
        <v>42.2</v>
      </c>
      <c r="W403" s="1" t="n">
        <v>57.8</v>
      </c>
      <c r="AH403" s="1"/>
      <c r="AI403" s="3"/>
    </row>
    <row r="404" customFormat="false" ht="16.15" hidden="false" customHeight="false" outlineLevel="0" collapsed="false">
      <c r="B404" s="1" t="s">
        <v>375</v>
      </c>
      <c r="C404" s="1" t="s">
        <v>783</v>
      </c>
      <c r="D404" s="13" t="n">
        <v>0.5</v>
      </c>
      <c r="E404" s="1" t="s">
        <v>975</v>
      </c>
      <c r="F404" s="1" t="s">
        <v>976</v>
      </c>
      <c r="G404" s="1"/>
      <c r="H404" s="2" t="s">
        <v>873</v>
      </c>
      <c r="I404" s="1" t="n">
        <v>29.4</v>
      </c>
      <c r="J404" s="1" t="n">
        <v>36.5</v>
      </c>
      <c r="K404" s="1" t="n">
        <v>63.5</v>
      </c>
      <c r="L404" s="1" t="n">
        <v>65.9</v>
      </c>
      <c r="M404" s="1" t="n">
        <v>70.6</v>
      </c>
      <c r="N404" s="1" t="n">
        <v>17.8</v>
      </c>
      <c r="O404" s="1" t="n">
        <v>46.3</v>
      </c>
      <c r="P404" s="1" t="n">
        <v>35.9</v>
      </c>
      <c r="Q404" s="1" t="n">
        <v>64.5</v>
      </c>
      <c r="R404" s="1" t="n">
        <v>74.4</v>
      </c>
      <c r="S404" s="1" t="n">
        <v>48</v>
      </c>
      <c r="T404" s="1" t="n">
        <v>52</v>
      </c>
      <c r="U404" s="1" t="n">
        <v>57.5</v>
      </c>
      <c r="V404" s="1" t="n">
        <v>54.1</v>
      </c>
      <c r="W404" s="1" t="n">
        <v>45.9</v>
      </c>
      <c r="AH404" s="1"/>
      <c r="AI404" s="3"/>
    </row>
    <row r="405" customFormat="false" ht="16.15" hidden="true" customHeight="false" outlineLevel="0" collapsed="false">
      <c r="B405" s="1" t="s">
        <v>128</v>
      </c>
      <c r="C405" s="1" t="s">
        <v>783</v>
      </c>
      <c r="D405" s="13" t="n">
        <v>0.5</v>
      </c>
      <c r="E405" s="1" t="s">
        <v>977</v>
      </c>
      <c r="F405" s="1" t="s">
        <v>978</v>
      </c>
      <c r="G405" s="1"/>
      <c r="H405" s="2" t="s">
        <v>979</v>
      </c>
      <c r="I405" s="1" t="n">
        <v>29.7</v>
      </c>
      <c r="J405" s="1" t="n">
        <v>35.1</v>
      </c>
      <c r="K405" s="1" t="n">
        <v>64.9</v>
      </c>
      <c r="L405" s="1" t="n">
        <v>64.8</v>
      </c>
      <c r="M405" s="1" t="n">
        <v>70.3</v>
      </c>
      <c r="N405" s="1" t="n">
        <v>22.9</v>
      </c>
      <c r="O405" s="1" t="n">
        <v>46.9</v>
      </c>
      <c r="P405" s="1" t="n">
        <v>30.1</v>
      </c>
      <c r="Q405" s="1" t="n">
        <v>64.5</v>
      </c>
      <c r="R405" s="1" t="n">
        <v>73.2</v>
      </c>
      <c r="S405" s="1" t="n">
        <v>46.4</v>
      </c>
      <c r="T405" s="1" t="n">
        <v>53.6</v>
      </c>
      <c r="U405" s="1" t="n">
        <v>58.9</v>
      </c>
      <c r="V405" s="1" t="n">
        <v>52.9</v>
      </c>
      <c r="W405" s="1" t="n">
        <v>47.1</v>
      </c>
      <c r="Z405" s="1" t="s">
        <v>48</v>
      </c>
      <c r="AH405" s="1"/>
      <c r="AI405" s="3"/>
    </row>
    <row r="406" customFormat="false" ht="16.15" hidden="false" customHeight="false" outlineLevel="0" collapsed="false">
      <c r="B406" s="1" t="s">
        <v>429</v>
      </c>
      <c r="C406" s="1" t="s">
        <v>783</v>
      </c>
      <c r="D406" s="13" t="n">
        <v>0.5</v>
      </c>
      <c r="E406" s="1" t="s">
        <v>980</v>
      </c>
      <c r="F406" s="1" t="s">
        <v>981</v>
      </c>
      <c r="G406" s="1"/>
      <c r="H406" s="2" t="s">
        <v>982</v>
      </c>
      <c r="I406" s="1" t="n">
        <v>21</v>
      </c>
      <c r="J406" s="1" t="n">
        <v>9.4</v>
      </c>
      <c r="K406" s="1" t="n">
        <v>90.6</v>
      </c>
      <c r="L406" s="1" t="n">
        <v>30.4</v>
      </c>
      <c r="M406" s="1" t="n">
        <v>79</v>
      </c>
      <c r="N406" s="1" t="n">
        <v>56.5</v>
      </c>
      <c r="O406" s="1" t="n">
        <v>35</v>
      </c>
      <c r="P406" s="1" t="n">
        <v>8.5</v>
      </c>
      <c r="Q406" s="1" t="n">
        <v>73.6</v>
      </c>
      <c r="R406" s="1" t="n">
        <v>87.4</v>
      </c>
      <c r="S406" s="1" t="n">
        <v>68.5</v>
      </c>
      <c r="T406" s="1" t="n">
        <v>31.5</v>
      </c>
      <c r="U406" s="1" t="n">
        <v>41.1</v>
      </c>
      <c r="V406" s="1" t="n">
        <v>56.7</v>
      </c>
      <c r="W406" s="1" t="n">
        <v>43.3</v>
      </c>
      <c r="AH406" s="1"/>
      <c r="AI406" s="3"/>
    </row>
    <row r="407" customFormat="false" ht="16.15" hidden="true" customHeight="false" outlineLevel="0" collapsed="false">
      <c r="B407" s="1" t="s">
        <v>432</v>
      </c>
      <c r="C407" s="1" t="s">
        <v>783</v>
      </c>
      <c r="D407" s="13" t="n">
        <v>0.5</v>
      </c>
      <c r="E407" s="1" t="s">
        <v>983</v>
      </c>
      <c r="F407" s="1" t="s">
        <v>984</v>
      </c>
      <c r="G407" s="1"/>
      <c r="H407" s="2" t="s">
        <v>985</v>
      </c>
      <c r="I407" s="1" t="n">
        <v>26.9</v>
      </c>
      <c r="J407" s="1" t="n">
        <v>24.8</v>
      </c>
      <c r="K407" s="1" t="n">
        <v>75.2</v>
      </c>
      <c r="L407" s="1" t="n">
        <v>51.6</v>
      </c>
      <c r="M407" s="1" t="n">
        <v>73.1</v>
      </c>
      <c r="N407" s="1" t="n">
        <v>34.6</v>
      </c>
      <c r="O407" s="1" t="n">
        <v>44.3</v>
      </c>
      <c r="P407" s="1" t="n">
        <v>21.2</v>
      </c>
      <c r="Q407" s="1" t="n">
        <v>67.7</v>
      </c>
      <c r="R407" s="1" t="n">
        <v>78.6</v>
      </c>
      <c r="S407" s="1" t="n">
        <v>53.8</v>
      </c>
      <c r="T407" s="1" t="n">
        <v>46.2</v>
      </c>
      <c r="U407" s="1" t="n">
        <v>52.4</v>
      </c>
      <c r="V407" s="1" t="n">
        <v>56.9</v>
      </c>
      <c r="W407" s="1" t="n">
        <v>43.1</v>
      </c>
      <c r="Z407" s="1" t="s">
        <v>36</v>
      </c>
      <c r="AC407" s="1" t="n">
        <v>41</v>
      </c>
      <c r="AF407" s="1" t="n">
        <v>41</v>
      </c>
      <c r="AH407" s="1"/>
      <c r="AI407" s="3"/>
    </row>
    <row r="408" customFormat="false" ht="16.15" hidden="true" customHeight="false" outlineLevel="0" collapsed="false">
      <c r="B408" s="1" t="s">
        <v>432</v>
      </c>
      <c r="C408" s="1" t="s">
        <v>783</v>
      </c>
      <c r="D408" s="13" t="n">
        <v>0.5</v>
      </c>
      <c r="E408" s="1" t="s">
        <v>986</v>
      </c>
      <c r="F408" s="1" t="s">
        <v>987</v>
      </c>
      <c r="G408" s="1"/>
      <c r="H408" s="2" t="s">
        <v>988</v>
      </c>
      <c r="I408" s="1" t="n">
        <v>27.7</v>
      </c>
      <c r="J408" s="1" t="n">
        <v>35.6</v>
      </c>
      <c r="K408" s="1" t="n">
        <v>64.4</v>
      </c>
      <c r="L408" s="1" t="n">
        <v>63.3</v>
      </c>
      <c r="M408" s="1" t="n">
        <v>72.3</v>
      </c>
      <c r="N408" s="1" t="n">
        <v>34.5</v>
      </c>
      <c r="O408" s="1" t="n">
        <v>37.6</v>
      </c>
      <c r="P408" s="1" t="n">
        <v>27.9</v>
      </c>
      <c r="Q408" s="1" t="n">
        <v>78.8</v>
      </c>
      <c r="R408" s="1" t="n">
        <v>80</v>
      </c>
      <c r="S408" s="1" t="n">
        <v>55.9</v>
      </c>
      <c r="T408" s="1" t="n">
        <v>44.1</v>
      </c>
      <c r="U408" s="1" t="n">
        <v>49.7</v>
      </c>
      <c r="V408" s="1" t="n">
        <v>60.3</v>
      </c>
      <c r="W408" s="1" t="n">
        <v>39.7</v>
      </c>
      <c r="Z408" s="1" t="s">
        <v>48</v>
      </c>
      <c r="AH408" s="1"/>
      <c r="AI408" s="3"/>
    </row>
    <row r="409" customFormat="false" ht="16.15" hidden="true" customHeight="false" outlineLevel="0" collapsed="false">
      <c r="B409" s="1" t="s">
        <v>432</v>
      </c>
      <c r="C409" s="1" t="s">
        <v>783</v>
      </c>
      <c r="D409" s="13" t="n">
        <v>0.5</v>
      </c>
      <c r="E409" s="1" t="s">
        <v>989</v>
      </c>
      <c r="F409" s="1" t="s">
        <v>990</v>
      </c>
      <c r="G409" s="1"/>
      <c r="H409" s="2" t="s">
        <v>991</v>
      </c>
      <c r="I409" s="1" t="n">
        <v>27.7</v>
      </c>
      <c r="J409" s="1" t="n">
        <v>38.7</v>
      </c>
      <c r="K409" s="1" t="n">
        <v>61.3</v>
      </c>
      <c r="L409" s="1" t="n">
        <v>66.4</v>
      </c>
      <c r="M409" s="1" t="n">
        <v>72.3</v>
      </c>
      <c r="N409" s="1" t="n">
        <v>27.1</v>
      </c>
      <c r="O409" s="1" t="n">
        <v>40</v>
      </c>
      <c r="P409" s="1" t="n">
        <v>32.9</v>
      </c>
      <c r="Q409" s="1" t="n">
        <v>75.3</v>
      </c>
      <c r="R409" s="1" t="n">
        <v>80.6</v>
      </c>
      <c r="S409" s="1" t="n">
        <v>56.7</v>
      </c>
      <c r="T409" s="1" t="n">
        <v>43.3</v>
      </c>
      <c r="U409" s="1" t="n">
        <v>48.9</v>
      </c>
      <c r="V409" s="1" t="n">
        <v>60.8</v>
      </c>
      <c r="W409" s="1" t="n">
        <v>39.2</v>
      </c>
      <c r="Z409" s="1" t="s">
        <v>36</v>
      </c>
      <c r="AC409" s="1" t="n">
        <v>38</v>
      </c>
      <c r="AF409" s="1" t="n">
        <v>37</v>
      </c>
      <c r="AH409" s="1"/>
      <c r="AI409" s="3"/>
    </row>
    <row r="410" customFormat="false" ht="16.15" hidden="true" customHeight="false" outlineLevel="0" collapsed="false">
      <c r="B410" s="1" t="s">
        <v>432</v>
      </c>
      <c r="C410" s="1" t="s">
        <v>783</v>
      </c>
      <c r="D410" s="13" t="n">
        <v>0.5</v>
      </c>
      <c r="E410" s="1" t="s">
        <v>992</v>
      </c>
      <c r="F410" s="1" t="s">
        <v>993</v>
      </c>
      <c r="G410" s="1"/>
      <c r="H410" s="2" t="s">
        <v>994</v>
      </c>
      <c r="I410" s="1" t="n">
        <v>25.3</v>
      </c>
      <c r="J410" s="1" t="n">
        <v>19.7</v>
      </c>
      <c r="K410" s="1" t="n">
        <v>80.3</v>
      </c>
      <c r="L410" s="1" t="n">
        <v>45</v>
      </c>
      <c r="M410" s="1" t="n">
        <v>74.7</v>
      </c>
      <c r="N410" s="1" t="n">
        <v>36.5</v>
      </c>
      <c r="O410" s="1" t="n">
        <v>40.4</v>
      </c>
      <c r="P410" s="1" t="n">
        <v>23.1</v>
      </c>
      <c r="Q410" s="1" t="n">
        <v>73.7</v>
      </c>
      <c r="R410" s="1" t="n">
        <v>79.7</v>
      </c>
      <c r="S410" s="1" t="n">
        <v>55.6</v>
      </c>
      <c r="T410" s="1" t="n">
        <v>44.4</v>
      </c>
      <c r="U410" s="1" t="n">
        <v>51.5</v>
      </c>
      <c r="V410" s="1" t="n">
        <v>55.9</v>
      </c>
      <c r="W410" s="1" t="n">
        <v>44.1</v>
      </c>
      <c r="Z410" s="1" t="s">
        <v>36</v>
      </c>
      <c r="AC410" s="1" t="n">
        <v>40</v>
      </c>
      <c r="AF410" s="1" t="n">
        <v>42</v>
      </c>
      <c r="AH410" s="1"/>
      <c r="AI410" s="3"/>
    </row>
    <row r="411" customFormat="false" ht="16.15" hidden="true" customHeight="false" outlineLevel="0" collapsed="false">
      <c r="B411" s="1" t="s">
        <v>432</v>
      </c>
      <c r="C411" s="1" t="s">
        <v>783</v>
      </c>
      <c r="D411" s="13" t="n">
        <v>0.5</v>
      </c>
      <c r="E411" s="1" t="s">
        <v>433</v>
      </c>
      <c r="F411" s="1" t="s">
        <v>434</v>
      </c>
      <c r="G411" s="1"/>
      <c r="H411" s="2" t="s">
        <v>995</v>
      </c>
      <c r="I411" s="1" t="n">
        <v>25.9</v>
      </c>
      <c r="J411" s="1" t="n">
        <v>34.4</v>
      </c>
      <c r="K411" s="1" t="n">
        <v>65.6</v>
      </c>
      <c r="L411" s="1" t="n">
        <v>60.4</v>
      </c>
      <c r="M411" s="1" t="n">
        <v>74.1</v>
      </c>
      <c r="N411" s="1" t="n">
        <v>34.2</v>
      </c>
      <c r="O411" s="1" t="n">
        <v>36.4</v>
      </c>
      <c r="P411" s="1" t="n">
        <v>29.4</v>
      </c>
      <c r="Q411" s="1" t="n">
        <v>80.8</v>
      </c>
      <c r="R411" s="1" t="n">
        <v>87</v>
      </c>
      <c r="S411" s="1" t="n">
        <v>67.2</v>
      </c>
      <c r="T411" s="1" t="n">
        <v>32.8</v>
      </c>
      <c r="U411" s="1" t="n">
        <v>38.2</v>
      </c>
      <c r="V411" s="1" t="n">
        <v>68.9</v>
      </c>
      <c r="W411" s="1" t="n">
        <v>31.1</v>
      </c>
      <c r="Z411" s="1" t="s">
        <v>36</v>
      </c>
      <c r="AC411" s="1" t="n">
        <v>28</v>
      </c>
      <c r="AF411" s="1" t="n">
        <v>29</v>
      </c>
      <c r="AH411" s="1"/>
      <c r="AI411" s="3"/>
    </row>
    <row r="412" customFormat="false" ht="16.15" hidden="true" customHeight="false" outlineLevel="0" collapsed="false">
      <c r="B412" s="1" t="s">
        <v>432</v>
      </c>
      <c r="C412" s="1" t="s">
        <v>783</v>
      </c>
      <c r="D412" s="13" t="n">
        <v>0.5</v>
      </c>
      <c r="E412" s="1" t="s">
        <v>512</v>
      </c>
      <c r="F412" s="1" t="s">
        <v>513</v>
      </c>
      <c r="G412" s="1"/>
      <c r="H412" s="2" t="s">
        <v>996</v>
      </c>
      <c r="I412" s="1" t="n">
        <v>22.5</v>
      </c>
      <c r="J412" s="1" t="n">
        <v>12.1</v>
      </c>
      <c r="K412" s="1" t="n">
        <v>87.9</v>
      </c>
      <c r="L412" s="1" t="n">
        <v>34.5</v>
      </c>
      <c r="M412" s="1" t="n">
        <v>77.5</v>
      </c>
      <c r="N412" s="1" t="n">
        <v>53.9</v>
      </c>
      <c r="O412" s="1" t="n">
        <v>30.5</v>
      </c>
      <c r="P412" s="1" t="n">
        <v>15.5</v>
      </c>
      <c r="Q412" s="1" t="n">
        <v>84.6</v>
      </c>
      <c r="R412" s="1" t="n">
        <v>90.3</v>
      </c>
      <c r="S412" s="1" t="n">
        <v>74</v>
      </c>
      <c r="T412" s="1" t="n">
        <v>26</v>
      </c>
      <c r="U412" s="1" t="n">
        <v>33.9</v>
      </c>
      <c r="V412" s="1" t="n">
        <v>65</v>
      </c>
      <c r="W412" s="1" t="n">
        <v>35</v>
      </c>
      <c r="Z412" s="1" t="s">
        <v>22</v>
      </c>
      <c r="AE412" s="1" t="n">
        <v>64</v>
      </c>
      <c r="AH412" s="1"/>
      <c r="AI412" s="3"/>
    </row>
    <row r="413" customFormat="false" ht="16.15" hidden="true" customHeight="false" outlineLevel="0" collapsed="false">
      <c r="B413" s="1" t="s">
        <v>360</v>
      </c>
      <c r="C413" s="1" t="s">
        <v>783</v>
      </c>
      <c r="D413" s="13" t="n">
        <v>0.5</v>
      </c>
      <c r="E413" s="1" t="s">
        <v>361</v>
      </c>
      <c r="F413" s="1" t="s">
        <v>362</v>
      </c>
      <c r="G413" s="1"/>
      <c r="H413" s="2" t="s">
        <v>997</v>
      </c>
      <c r="I413" s="1" t="n">
        <v>25.5</v>
      </c>
      <c r="J413" s="1" t="n">
        <v>41.5</v>
      </c>
      <c r="K413" s="1" t="n">
        <v>58.5</v>
      </c>
      <c r="L413" s="1" t="n">
        <v>67</v>
      </c>
      <c r="M413" s="1" t="n">
        <v>74.5</v>
      </c>
      <c r="N413" s="1" t="n">
        <v>24.8</v>
      </c>
      <c r="O413" s="1" t="n">
        <v>38.4</v>
      </c>
      <c r="P413" s="1" t="n">
        <v>36.8</v>
      </c>
      <c r="Q413" s="1" t="n">
        <v>77.6</v>
      </c>
      <c r="R413" s="1" t="n">
        <v>90.3</v>
      </c>
      <c r="S413" s="1" t="n">
        <v>73.6</v>
      </c>
      <c r="T413" s="1" t="n">
        <v>26.4</v>
      </c>
      <c r="U413" s="1" t="n">
        <v>31.5</v>
      </c>
      <c r="V413" s="1" t="n">
        <v>73.7</v>
      </c>
      <c r="W413" s="1" t="n">
        <v>26.3</v>
      </c>
      <c r="Z413" s="1" t="s">
        <v>48</v>
      </c>
      <c r="AH413" s="1"/>
      <c r="AI413" s="3"/>
    </row>
    <row r="414" customFormat="false" ht="16.15" hidden="true" customHeight="false" outlineLevel="0" collapsed="false">
      <c r="B414" s="1" t="s">
        <v>360</v>
      </c>
      <c r="C414" s="1" t="s">
        <v>783</v>
      </c>
      <c r="D414" s="13" t="n">
        <v>0.5</v>
      </c>
      <c r="E414" s="1" t="s">
        <v>998</v>
      </c>
      <c r="F414" s="1" t="s">
        <v>999</v>
      </c>
      <c r="G414" s="1"/>
      <c r="H414" s="2" t="s">
        <v>1000</v>
      </c>
      <c r="I414" s="1" t="n">
        <v>24.5</v>
      </c>
      <c r="J414" s="1" t="n">
        <v>23</v>
      </c>
      <c r="K414" s="1" t="n">
        <v>77</v>
      </c>
      <c r="L414" s="1" t="n">
        <v>47.5</v>
      </c>
      <c r="M414" s="1" t="n">
        <v>75.5</v>
      </c>
      <c r="N414" s="1" t="n">
        <v>42.9</v>
      </c>
      <c r="O414" s="1" t="n">
        <v>36.2</v>
      </c>
      <c r="P414" s="1" t="n">
        <v>20.9</v>
      </c>
      <c r="Q414" s="1" t="n">
        <v>79.1</v>
      </c>
      <c r="R414" s="1" t="n">
        <v>88.2</v>
      </c>
      <c r="S414" s="1" t="n">
        <v>69.6</v>
      </c>
      <c r="T414" s="1" t="n">
        <v>30.4</v>
      </c>
      <c r="U414" s="1" t="n">
        <v>36.5</v>
      </c>
      <c r="V414" s="1" t="n">
        <v>68.3</v>
      </c>
      <c r="W414" s="1" t="n">
        <v>31.7</v>
      </c>
      <c r="Z414" s="1" t="s">
        <v>48</v>
      </c>
      <c r="AH414" s="1"/>
      <c r="AI414" s="3"/>
    </row>
    <row r="415" customFormat="false" ht="16.15" hidden="true" customHeight="false" outlineLevel="0" collapsed="false">
      <c r="B415" s="1" t="s">
        <v>360</v>
      </c>
      <c r="C415" s="1" t="s">
        <v>783</v>
      </c>
      <c r="D415" s="13" t="n">
        <v>0.5</v>
      </c>
      <c r="E415" s="1" t="s">
        <v>1001</v>
      </c>
      <c r="F415" s="1" t="s">
        <v>1002</v>
      </c>
      <c r="G415" s="1"/>
      <c r="H415" s="2" t="s">
        <v>1003</v>
      </c>
      <c r="I415" s="1" t="n">
        <v>25.7</v>
      </c>
      <c r="J415" s="1" t="n">
        <v>44.1</v>
      </c>
      <c r="K415" s="1" t="n">
        <v>55.9</v>
      </c>
      <c r="L415" s="1" t="n">
        <v>69.9</v>
      </c>
      <c r="M415" s="1" t="n">
        <v>74.3</v>
      </c>
      <c r="N415" s="1" t="n">
        <v>35</v>
      </c>
      <c r="O415" s="1" t="n">
        <v>36.7</v>
      </c>
      <c r="P415" s="1" t="n">
        <v>28.3</v>
      </c>
      <c r="Q415" s="1" t="n">
        <v>80.1</v>
      </c>
      <c r="R415" s="1" t="n">
        <v>88.4</v>
      </c>
      <c r="S415" s="1" t="n">
        <v>70</v>
      </c>
      <c r="T415" s="1" t="n">
        <v>30</v>
      </c>
      <c r="U415" s="1" t="n">
        <v>35.5</v>
      </c>
      <c r="V415" s="1" t="n">
        <v>70.6</v>
      </c>
      <c r="W415" s="1" t="n">
        <v>29.4</v>
      </c>
      <c r="Z415" s="1" t="s">
        <v>48</v>
      </c>
      <c r="AH415" s="1"/>
      <c r="AI415" s="3"/>
    </row>
    <row r="416" customFormat="false" ht="16.15" hidden="true" customHeight="false" outlineLevel="0" collapsed="false">
      <c r="B416" s="1" t="s">
        <v>360</v>
      </c>
      <c r="C416" s="1" t="s">
        <v>783</v>
      </c>
      <c r="D416" s="13" t="n">
        <v>0.5</v>
      </c>
      <c r="E416" s="1" t="s">
        <v>1004</v>
      </c>
      <c r="F416" s="1" t="s">
        <v>1005</v>
      </c>
      <c r="G416" s="1"/>
      <c r="H416" s="2" t="s">
        <v>1006</v>
      </c>
      <c r="I416" s="1" t="n">
        <v>23.8</v>
      </c>
      <c r="J416" s="1" t="n">
        <v>17.3</v>
      </c>
      <c r="K416" s="1" t="n">
        <v>82.7</v>
      </c>
      <c r="L416" s="1" t="n">
        <v>41.1</v>
      </c>
      <c r="M416" s="1" t="n">
        <v>76.2</v>
      </c>
      <c r="N416" s="1" t="n">
        <v>37.7</v>
      </c>
      <c r="O416" s="1" t="n">
        <v>35.4</v>
      </c>
      <c r="P416" s="1" t="n">
        <v>26.9</v>
      </c>
      <c r="Q416" s="1" t="n">
        <v>82</v>
      </c>
      <c r="R416" s="1" t="n">
        <v>91.8</v>
      </c>
      <c r="S416" s="1" t="n">
        <v>76.8</v>
      </c>
      <c r="T416" s="1" t="n">
        <v>23.2</v>
      </c>
      <c r="U416" s="1" t="n">
        <v>29.5</v>
      </c>
      <c r="V416" s="1" t="n">
        <v>71.5</v>
      </c>
      <c r="W416" s="1" t="n">
        <v>28.5</v>
      </c>
      <c r="Z416" s="1" t="s">
        <v>48</v>
      </c>
      <c r="AH416" s="1"/>
      <c r="AI416" s="3"/>
    </row>
    <row r="417" customFormat="false" ht="16.15" hidden="true" customHeight="false" outlineLevel="0" collapsed="false">
      <c r="B417" s="1" t="s">
        <v>360</v>
      </c>
      <c r="C417" s="1" t="s">
        <v>783</v>
      </c>
      <c r="D417" s="13" t="n">
        <v>0.5</v>
      </c>
      <c r="E417" s="1" t="s">
        <v>1007</v>
      </c>
      <c r="F417" s="1" t="s">
        <v>1008</v>
      </c>
      <c r="G417" s="1"/>
      <c r="H417" s="2" t="s">
        <v>1009</v>
      </c>
      <c r="I417" s="1" t="n">
        <v>24.8</v>
      </c>
      <c r="J417" s="1" t="n">
        <v>26</v>
      </c>
      <c r="K417" s="1" t="n">
        <v>74</v>
      </c>
      <c r="L417" s="1" t="n">
        <v>50.8</v>
      </c>
      <c r="M417" s="1" t="n">
        <v>75.2</v>
      </c>
      <c r="N417" s="1" t="n">
        <v>38.8</v>
      </c>
      <c r="O417" s="1" t="n">
        <v>36.1</v>
      </c>
      <c r="P417" s="1" t="n">
        <v>25.1</v>
      </c>
      <c r="Q417" s="1" t="n">
        <v>80.5</v>
      </c>
      <c r="R417" s="1" t="n">
        <v>91.4</v>
      </c>
      <c r="S417" s="1" t="n">
        <v>75.8</v>
      </c>
      <c r="T417" s="1" t="n">
        <v>24.2</v>
      </c>
      <c r="U417" s="1" t="n">
        <v>29.5</v>
      </c>
      <c r="V417" s="1" t="n">
        <v>74.3</v>
      </c>
      <c r="W417" s="1" t="n">
        <v>25.7</v>
      </c>
      <c r="Z417" s="1" t="s">
        <v>48</v>
      </c>
      <c r="AH417" s="1"/>
      <c r="AI417" s="3"/>
    </row>
    <row r="418" customFormat="false" ht="16.15" hidden="true" customHeight="false" outlineLevel="0" collapsed="false">
      <c r="B418" s="1" t="s">
        <v>360</v>
      </c>
      <c r="C418" s="1" t="s">
        <v>783</v>
      </c>
      <c r="D418" s="13" t="n">
        <v>0.5</v>
      </c>
      <c r="E418" s="1" t="s">
        <v>1010</v>
      </c>
      <c r="F418" s="1" t="s">
        <v>1011</v>
      </c>
      <c r="G418" s="1"/>
      <c r="H418" s="2" t="s">
        <v>1012</v>
      </c>
      <c r="I418" s="1" t="n">
        <v>25.3</v>
      </c>
      <c r="J418" s="1" t="n">
        <v>32.8</v>
      </c>
      <c r="K418" s="1" t="n">
        <v>67.2</v>
      </c>
      <c r="L418" s="1" t="n">
        <v>58.1</v>
      </c>
      <c r="M418" s="1" t="n">
        <v>74.7</v>
      </c>
      <c r="N418" s="1" t="n">
        <v>37.6</v>
      </c>
      <c r="O418" s="1" t="n">
        <v>34.6</v>
      </c>
      <c r="P418" s="1" t="n">
        <v>27.8</v>
      </c>
      <c r="Q418" s="1" t="n">
        <v>83.3</v>
      </c>
      <c r="R418" s="1" t="n">
        <v>92.4</v>
      </c>
      <c r="S418" s="1" t="n">
        <v>77.9</v>
      </c>
      <c r="T418" s="1" t="n">
        <v>22.1</v>
      </c>
      <c r="U418" s="1" t="n">
        <v>26.9</v>
      </c>
      <c r="V418" s="1" t="n">
        <v>77.1</v>
      </c>
      <c r="W418" s="1" t="n">
        <v>22.9</v>
      </c>
      <c r="Z418" s="1" t="s">
        <v>48</v>
      </c>
      <c r="AH418" s="1"/>
      <c r="AI418" s="3"/>
    </row>
    <row r="419" customFormat="false" ht="16.15" hidden="true" customHeight="false" outlineLevel="0" collapsed="false">
      <c r="B419" s="1" t="s">
        <v>360</v>
      </c>
      <c r="C419" s="1" t="s">
        <v>783</v>
      </c>
      <c r="D419" s="13" t="n">
        <v>0.5</v>
      </c>
      <c r="E419" s="1" t="s">
        <v>1013</v>
      </c>
      <c r="F419" s="1" t="s">
        <v>1014</v>
      </c>
      <c r="G419" s="1"/>
      <c r="H419" s="2" t="s">
        <v>1015</v>
      </c>
      <c r="I419" s="1" t="n">
        <v>26.2</v>
      </c>
      <c r="J419" s="1" t="n">
        <v>33.7</v>
      </c>
      <c r="K419" s="1" t="n">
        <v>66.3</v>
      </c>
      <c r="L419" s="1" t="n">
        <v>60</v>
      </c>
      <c r="M419" s="1" t="n">
        <v>73.8</v>
      </c>
      <c r="N419" s="1" t="n">
        <v>30.5</v>
      </c>
      <c r="O419" s="1" t="n">
        <v>41.8</v>
      </c>
      <c r="P419" s="1" t="n">
        <v>27.8</v>
      </c>
      <c r="Q419" s="1" t="n">
        <v>72.5</v>
      </c>
      <c r="R419" s="1" t="n">
        <v>85.4</v>
      </c>
      <c r="S419" s="1" t="n">
        <v>64.6</v>
      </c>
      <c r="T419" s="1" t="n">
        <v>35.4</v>
      </c>
      <c r="U419" s="1" t="n">
        <v>41</v>
      </c>
      <c r="V419" s="1" t="n">
        <v>66.8</v>
      </c>
      <c r="W419" s="1" t="n">
        <v>33.2</v>
      </c>
      <c r="Z419" s="1" t="s">
        <v>48</v>
      </c>
      <c r="AH419" s="1"/>
      <c r="AI419" s="3"/>
    </row>
    <row r="420" customFormat="false" ht="16.15" hidden="true" customHeight="false" outlineLevel="0" collapsed="false">
      <c r="B420" s="1" t="s">
        <v>360</v>
      </c>
      <c r="C420" s="1" t="s">
        <v>783</v>
      </c>
      <c r="D420" s="13" t="n">
        <v>0.5</v>
      </c>
      <c r="E420" s="1" t="s">
        <v>1016</v>
      </c>
      <c r="F420" s="1" t="s">
        <v>1017</v>
      </c>
      <c r="G420" s="1"/>
      <c r="H420" s="2" t="s">
        <v>1018</v>
      </c>
      <c r="I420" s="1" t="n">
        <v>25.5</v>
      </c>
      <c r="J420" s="1" t="n">
        <v>43.4</v>
      </c>
      <c r="K420" s="1" t="n">
        <v>56.6</v>
      </c>
      <c r="L420" s="1" t="n">
        <v>68.8</v>
      </c>
      <c r="M420" s="1" t="n">
        <v>74.5</v>
      </c>
      <c r="N420" s="1" t="n">
        <v>28</v>
      </c>
      <c r="O420" s="1" t="n">
        <v>38.5</v>
      </c>
      <c r="P420" s="1" t="n">
        <v>33.4</v>
      </c>
      <c r="Q420" s="1" t="n">
        <v>77.6</v>
      </c>
      <c r="R420" s="1" t="n">
        <v>91.5</v>
      </c>
      <c r="S420" s="1" t="n">
        <v>76</v>
      </c>
      <c r="T420" s="1" t="n">
        <v>24</v>
      </c>
      <c r="U420" s="1" t="n">
        <v>29</v>
      </c>
      <c r="V420" s="1" t="n">
        <v>75.4</v>
      </c>
      <c r="W420" s="1" t="n">
        <v>24.6</v>
      </c>
      <c r="Z420" s="1" t="s">
        <v>48</v>
      </c>
      <c r="AH420" s="1"/>
      <c r="AI420" s="3"/>
    </row>
    <row r="421" customFormat="false" ht="16.15" hidden="false" customHeight="false" outlineLevel="0" collapsed="false">
      <c r="B421" s="1" t="s">
        <v>55</v>
      </c>
      <c r="C421" s="1" t="s">
        <v>783</v>
      </c>
      <c r="D421" s="13" t="n">
        <v>0.5</v>
      </c>
      <c r="E421" s="1" t="s">
        <v>56</v>
      </c>
      <c r="F421" s="1" t="s">
        <v>57</v>
      </c>
      <c r="G421" s="1"/>
      <c r="H421" s="2" t="s">
        <v>1019</v>
      </c>
      <c r="I421" s="1" t="n">
        <v>22.7</v>
      </c>
      <c r="J421" s="1" t="n">
        <v>14.4</v>
      </c>
      <c r="K421" s="1" t="n">
        <v>85.6</v>
      </c>
      <c r="L421" s="1" t="n">
        <v>37.1</v>
      </c>
      <c r="M421" s="1" t="n">
        <v>77.3</v>
      </c>
      <c r="N421" s="1" t="n">
        <v>46.1</v>
      </c>
      <c r="O421" s="1" t="n">
        <v>33.8</v>
      </c>
      <c r="P421" s="1" t="n">
        <v>20</v>
      </c>
      <c r="Q421" s="1" t="n">
        <v>82.2</v>
      </c>
      <c r="R421" s="1" t="n">
        <v>84.5</v>
      </c>
      <c r="S421" s="1" t="n">
        <v>63.3</v>
      </c>
      <c r="T421" s="1" t="n">
        <v>36.7</v>
      </c>
      <c r="U421" s="1" t="n">
        <v>44.9</v>
      </c>
      <c r="V421" s="1" t="n">
        <v>58.1</v>
      </c>
      <c r="W421" s="1" t="n">
        <v>41.9</v>
      </c>
      <c r="AH421" s="1"/>
      <c r="AI421" s="3"/>
    </row>
    <row r="422" customFormat="false" ht="16.15" hidden="false" customHeight="false" outlineLevel="0" collapsed="false">
      <c r="B422" s="1" t="s">
        <v>476</v>
      </c>
      <c r="C422" s="1" t="s">
        <v>783</v>
      </c>
      <c r="D422" s="13" t="n">
        <v>0.5</v>
      </c>
      <c r="E422" s="1" t="s">
        <v>1020</v>
      </c>
      <c r="F422" s="1" t="s">
        <v>1021</v>
      </c>
      <c r="G422" s="1"/>
      <c r="H422" s="2" t="s">
        <v>1022</v>
      </c>
      <c r="I422" s="1" t="n">
        <v>28.3</v>
      </c>
      <c r="J422" s="1" t="n">
        <v>29</v>
      </c>
      <c r="K422" s="1" t="n">
        <v>71</v>
      </c>
      <c r="L422" s="1" t="n">
        <v>57.3</v>
      </c>
      <c r="M422" s="1" t="n">
        <v>71.7</v>
      </c>
      <c r="N422" s="1" t="n">
        <v>23.5</v>
      </c>
      <c r="O422" s="1" t="n">
        <v>59.6</v>
      </c>
      <c r="P422" s="1" t="n">
        <v>17</v>
      </c>
      <c r="Q422" s="1" t="n">
        <v>46.3</v>
      </c>
      <c r="R422" s="1" t="n">
        <v>76.1</v>
      </c>
      <c r="S422" s="1" t="n">
        <v>50.3</v>
      </c>
      <c r="T422" s="1" t="n">
        <v>49.7</v>
      </c>
      <c r="U422" s="1" t="n">
        <v>55.4</v>
      </c>
      <c r="V422" s="1" t="n">
        <v>55.4</v>
      </c>
      <c r="W422" s="1" t="n">
        <v>44.6</v>
      </c>
      <c r="AH422" s="1"/>
      <c r="AI422" s="3"/>
    </row>
    <row r="423" customFormat="false" ht="16.15" hidden="true" customHeight="false" outlineLevel="0" collapsed="false">
      <c r="B423" s="1" t="s">
        <v>312</v>
      </c>
      <c r="C423" s="1" t="s">
        <v>783</v>
      </c>
      <c r="D423" s="13" t="n">
        <v>0.5</v>
      </c>
      <c r="E423" s="1" t="s">
        <v>1023</v>
      </c>
      <c r="F423" s="1" t="s">
        <v>1024</v>
      </c>
      <c r="G423" s="1"/>
      <c r="H423" s="2" t="s">
        <v>1025</v>
      </c>
      <c r="I423" s="1" t="n">
        <v>26.5</v>
      </c>
      <c r="J423" s="1" t="n">
        <v>29.2</v>
      </c>
      <c r="K423" s="1" t="n">
        <v>70.8</v>
      </c>
      <c r="L423" s="1" t="n">
        <v>55.7</v>
      </c>
      <c r="M423" s="1" t="n">
        <v>73.5</v>
      </c>
      <c r="N423" s="1" t="n">
        <v>36.1</v>
      </c>
      <c r="O423" s="1" t="n">
        <v>37</v>
      </c>
      <c r="P423" s="1" t="n">
        <v>26.8</v>
      </c>
      <c r="Q423" s="1" t="n">
        <v>79.5</v>
      </c>
      <c r="R423" s="1" t="n">
        <v>82.6</v>
      </c>
      <c r="S423" s="1" t="n">
        <v>59.8</v>
      </c>
      <c r="T423" s="1" t="n">
        <v>40.2</v>
      </c>
      <c r="U423" s="1" t="n">
        <v>46</v>
      </c>
      <c r="V423" s="1" t="n">
        <v>62.6</v>
      </c>
      <c r="W423" s="1" t="n">
        <v>37.4</v>
      </c>
      <c r="Z423" s="1" t="s">
        <v>36</v>
      </c>
      <c r="AC423" s="1" t="n">
        <v>35</v>
      </c>
      <c r="AF423" s="1" t="n">
        <v>35</v>
      </c>
      <c r="AH423" s="1"/>
      <c r="AI423" s="3"/>
    </row>
    <row r="424" customFormat="false" ht="16.15" hidden="false" customHeight="false" outlineLevel="0" collapsed="false">
      <c r="B424" s="1" t="s">
        <v>542</v>
      </c>
      <c r="C424" s="1" t="s">
        <v>783</v>
      </c>
      <c r="D424" s="13" t="n">
        <v>0.520833333333333</v>
      </c>
      <c r="E424" s="1" t="s">
        <v>1026</v>
      </c>
      <c r="F424" s="1" t="s">
        <v>1027</v>
      </c>
      <c r="G424" s="1"/>
      <c r="H424" s="2" t="s">
        <v>837</v>
      </c>
      <c r="I424" s="1" t="n">
        <v>31.1</v>
      </c>
      <c r="J424" s="1" t="n">
        <v>27.8</v>
      </c>
      <c r="K424" s="1" t="n">
        <v>72.2</v>
      </c>
      <c r="L424" s="1" t="n">
        <v>58.9</v>
      </c>
      <c r="M424" s="1" t="n">
        <v>68.9</v>
      </c>
      <c r="N424" s="1" t="n">
        <v>32</v>
      </c>
      <c r="O424" s="1" t="n">
        <v>50</v>
      </c>
      <c r="P424" s="1" t="n">
        <v>18</v>
      </c>
      <c r="Q424" s="1" t="n">
        <v>59.1</v>
      </c>
      <c r="R424" s="1" t="n">
        <v>66.7</v>
      </c>
      <c r="S424" s="1" t="n">
        <v>38.6</v>
      </c>
      <c r="T424" s="1" t="n">
        <v>61.4</v>
      </c>
      <c r="U424" s="1" t="n">
        <v>66.6</v>
      </c>
      <c r="V424" s="1" t="n">
        <v>46</v>
      </c>
      <c r="W424" s="1" t="n">
        <v>54</v>
      </c>
      <c r="AH424" s="1"/>
      <c r="AI424" s="3"/>
    </row>
    <row r="425" customFormat="false" ht="16.15" hidden="false" customHeight="false" outlineLevel="0" collapsed="false">
      <c r="B425" s="1" t="s">
        <v>487</v>
      </c>
      <c r="C425" s="1" t="s">
        <v>783</v>
      </c>
      <c r="D425" s="13" t="n">
        <v>0.520833333333333</v>
      </c>
      <c r="E425" s="1" t="s">
        <v>1028</v>
      </c>
      <c r="F425" s="1" t="s">
        <v>1029</v>
      </c>
      <c r="G425" s="1"/>
      <c r="H425" s="2" t="s">
        <v>1030</v>
      </c>
      <c r="I425" s="1" t="n">
        <v>25.2</v>
      </c>
      <c r="J425" s="1" t="n">
        <v>25.5</v>
      </c>
      <c r="K425" s="1" t="n">
        <v>74.5</v>
      </c>
      <c r="L425" s="1" t="n">
        <v>50.7</v>
      </c>
      <c r="M425" s="1" t="n">
        <v>74.8</v>
      </c>
      <c r="N425" s="1" t="n">
        <v>33.3</v>
      </c>
      <c r="O425" s="1" t="n">
        <v>42.2</v>
      </c>
      <c r="P425" s="1" t="n">
        <v>24.4</v>
      </c>
      <c r="Q425" s="1" t="n">
        <v>71.4</v>
      </c>
      <c r="R425" s="1" t="n">
        <v>86.2</v>
      </c>
      <c r="S425" s="1" t="n">
        <v>66</v>
      </c>
      <c r="T425" s="1" t="n">
        <v>34</v>
      </c>
      <c r="U425" s="1" t="n">
        <v>40</v>
      </c>
      <c r="V425" s="1" t="n">
        <v>66.4</v>
      </c>
      <c r="W425" s="1" t="n">
        <v>33.6</v>
      </c>
      <c r="AH425" s="1"/>
      <c r="AI425" s="3"/>
    </row>
    <row r="426" customFormat="false" ht="16.15" hidden="false" customHeight="false" outlineLevel="0" collapsed="false">
      <c r="B426" s="1" t="s">
        <v>487</v>
      </c>
      <c r="C426" s="1" t="s">
        <v>783</v>
      </c>
      <c r="D426" s="13" t="n">
        <v>0.520833333333333</v>
      </c>
      <c r="E426" s="1" t="s">
        <v>1031</v>
      </c>
      <c r="F426" s="1" t="s">
        <v>1032</v>
      </c>
      <c r="G426" s="1"/>
      <c r="H426" s="2" t="s">
        <v>1033</v>
      </c>
      <c r="I426" s="1" t="n">
        <v>22.2</v>
      </c>
      <c r="J426" s="1" t="n">
        <v>12.9</v>
      </c>
      <c r="K426" s="1" t="n">
        <v>87.1</v>
      </c>
      <c r="L426" s="1" t="n">
        <v>35.2</v>
      </c>
      <c r="M426" s="1" t="n">
        <v>77.8</v>
      </c>
      <c r="N426" s="1" t="n">
        <v>50.5</v>
      </c>
      <c r="O426" s="1" t="n">
        <v>30.1</v>
      </c>
      <c r="P426" s="1" t="n">
        <v>19.5</v>
      </c>
      <c r="Q426" s="1" t="n">
        <v>87.2</v>
      </c>
      <c r="R426" s="1" t="n">
        <v>84.5</v>
      </c>
      <c r="S426" s="1" t="n">
        <v>63.3</v>
      </c>
      <c r="T426" s="1" t="n">
        <v>36.7</v>
      </c>
      <c r="U426" s="1" t="n">
        <v>45.3</v>
      </c>
      <c r="V426" s="1" t="n">
        <v>56.7</v>
      </c>
      <c r="W426" s="1" t="n">
        <v>43.3</v>
      </c>
      <c r="AH426" s="1"/>
      <c r="AI426" s="3"/>
    </row>
    <row r="427" customFormat="false" ht="16.15" hidden="true" customHeight="false" outlineLevel="0" collapsed="false">
      <c r="B427" s="1" t="s">
        <v>955</v>
      </c>
      <c r="C427" s="1" t="s">
        <v>783</v>
      </c>
      <c r="D427" s="13" t="n">
        <v>0.53125</v>
      </c>
      <c r="E427" s="1" t="s">
        <v>1034</v>
      </c>
      <c r="F427" s="1" t="s">
        <v>1035</v>
      </c>
      <c r="G427" s="1"/>
      <c r="H427" s="2" t="s">
        <v>1036</v>
      </c>
      <c r="I427" s="1" t="n">
        <v>29.9</v>
      </c>
      <c r="J427" s="1" t="n">
        <v>34.2</v>
      </c>
      <c r="K427" s="1" t="n">
        <v>65.8</v>
      </c>
      <c r="L427" s="1" t="n">
        <v>64</v>
      </c>
      <c r="M427" s="1" t="n">
        <v>70.1</v>
      </c>
      <c r="N427" s="1" t="n">
        <v>25.4</v>
      </c>
      <c r="O427" s="1" t="n">
        <v>44.6</v>
      </c>
      <c r="P427" s="1" t="n">
        <v>29.9</v>
      </c>
      <c r="Q427" s="1" t="n">
        <v>68</v>
      </c>
      <c r="R427" s="1" t="n">
        <v>72.6</v>
      </c>
      <c r="S427" s="1" t="n">
        <v>45.7</v>
      </c>
      <c r="T427" s="1" t="n">
        <v>54.3</v>
      </c>
      <c r="U427" s="1" t="n">
        <v>59.6</v>
      </c>
      <c r="V427" s="1" t="n">
        <v>52.4</v>
      </c>
      <c r="W427" s="1" t="n">
        <v>47.6</v>
      </c>
      <c r="Z427" s="1" t="s">
        <v>133</v>
      </c>
      <c r="AB427" s="1" t="n">
        <v>44</v>
      </c>
      <c r="AE427" s="1" t="n">
        <v>51</v>
      </c>
      <c r="AH427" s="1"/>
      <c r="AI427" s="3"/>
    </row>
    <row r="428" customFormat="false" ht="16.15" hidden="true" customHeight="false" outlineLevel="0" collapsed="false">
      <c r="B428" s="1" t="s">
        <v>78</v>
      </c>
      <c r="C428" s="1" t="s">
        <v>783</v>
      </c>
      <c r="D428" s="13" t="n">
        <v>0.541666666666667</v>
      </c>
      <c r="E428" s="1" t="s">
        <v>1037</v>
      </c>
      <c r="F428" s="1" t="s">
        <v>1038</v>
      </c>
      <c r="G428" s="1"/>
      <c r="H428" s="2" t="s">
        <v>1039</v>
      </c>
      <c r="I428" s="1" t="n">
        <v>27.5</v>
      </c>
      <c r="J428" s="1" t="n">
        <v>53.1</v>
      </c>
      <c r="K428" s="1" t="n">
        <v>46.9</v>
      </c>
      <c r="L428" s="1" t="n">
        <v>80.6</v>
      </c>
      <c r="M428" s="1" t="n">
        <v>72.5</v>
      </c>
      <c r="N428" s="1" t="n">
        <v>23.1</v>
      </c>
      <c r="O428" s="1" t="n">
        <v>50.1</v>
      </c>
      <c r="P428" s="1" t="n">
        <v>26.8</v>
      </c>
      <c r="Q428" s="1" t="n">
        <v>59.8</v>
      </c>
      <c r="R428" s="1" t="n">
        <v>76.7</v>
      </c>
      <c r="S428" s="1" t="n">
        <v>51.3</v>
      </c>
      <c r="T428" s="1" t="n">
        <v>48.7</v>
      </c>
      <c r="U428" s="1" t="n">
        <v>55.7</v>
      </c>
      <c r="V428" s="1" t="n">
        <v>52.8</v>
      </c>
      <c r="W428" s="1" t="n">
        <v>47.2</v>
      </c>
      <c r="Z428" s="1" t="s">
        <v>133</v>
      </c>
      <c r="AB428" s="1" t="n">
        <v>49</v>
      </c>
      <c r="AE428" s="1" t="n">
        <v>52</v>
      </c>
      <c r="AH428" s="1"/>
      <c r="AI428" s="3"/>
    </row>
    <row r="429" customFormat="false" ht="16.15" hidden="true" customHeight="false" outlineLevel="0" collapsed="false">
      <c r="B429" s="1" t="s">
        <v>78</v>
      </c>
      <c r="C429" s="1" t="s">
        <v>783</v>
      </c>
      <c r="D429" s="13" t="n">
        <v>0.541666666666667</v>
      </c>
      <c r="E429" s="1" t="s">
        <v>1040</v>
      </c>
      <c r="F429" s="1" t="s">
        <v>1041</v>
      </c>
      <c r="G429" s="1"/>
      <c r="H429" s="2" t="s">
        <v>1042</v>
      </c>
      <c r="I429" s="1" t="n">
        <v>27.3</v>
      </c>
      <c r="J429" s="1" t="n">
        <v>47.4</v>
      </c>
      <c r="K429" s="1" t="n">
        <v>52.6</v>
      </c>
      <c r="L429" s="1" t="n">
        <v>74.8</v>
      </c>
      <c r="M429" s="1" t="n">
        <v>72.7</v>
      </c>
      <c r="N429" s="1" t="n">
        <v>23.7</v>
      </c>
      <c r="O429" s="1" t="n">
        <v>42.5</v>
      </c>
      <c r="P429" s="1" t="n">
        <v>33.9</v>
      </c>
      <c r="Q429" s="1" t="n">
        <v>71.2</v>
      </c>
      <c r="R429" s="1" t="n">
        <v>80.4</v>
      </c>
      <c r="S429" s="1" t="n">
        <v>56.5</v>
      </c>
      <c r="T429" s="1" t="n">
        <v>43.5</v>
      </c>
      <c r="U429" s="1" t="n">
        <v>49.7</v>
      </c>
      <c r="V429" s="1" t="n">
        <v>59.1</v>
      </c>
      <c r="W429" s="1" t="n">
        <v>40.9</v>
      </c>
      <c r="Z429" s="1" t="s">
        <v>133</v>
      </c>
      <c r="AB429" s="1" t="n">
        <v>55</v>
      </c>
      <c r="AE429" s="1" t="n">
        <v>52</v>
      </c>
      <c r="AH429" s="1"/>
      <c r="AI429" s="3"/>
    </row>
    <row r="430" customFormat="false" ht="16.15" hidden="true" customHeight="false" outlineLevel="0" collapsed="false">
      <c r="B430" s="1" t="s">
        <v>192</v>
      </c>
      <c r="C430" s="1" t="s">
        <v>783</v>
      </c>
      <c r="D430" s="13" t="n">
        <v>0.541666666666667</v>
      </c>
      <c r="E430" s="1" t="s">
        <v>1043</v>
      </c>
      <c r="F430" s="1" t="s">
        <v>1044</v>
      </c>
      <c r="G430" s="1"/>
      <c r="H430" s="2" t="s">
        <v>979</v>
      </c>
      <c r="I430" s="1" t="n">
        <v>27.6</v>
      </c>
      <c r="J430" s="1" t="n">
        <v>37.2</v>
      </c>
      <c r="K430" s="1" t="n">
        <v>62.8</v>
      </c>
      <c r="L430" s="1" t="n">
        <v>64.8</v>
      </c>
      <c r="M430" s="1" t="n">
        <v>72.4</v>
      </c>
      <c r="N430" s="1" t="n">
        <v>25.2</v>
      </c>
      <c r="O430" s="1" t="n">
        <v>40.7</v>
      </c>
      <c r="P430" s="1" t="n">
        <v>34.1</v>
      </c>
      <c r="Q430" s="1" t="n">
        <v>74.1</v>
      </c>
      <c r="R430" s="1" t="n">
        <v>80.6</v>
      </c>
      <c r="S430" s="1" t="n">
        <v>56.8</v>
      </c>
      <c r="T430" s="1" t="n">
        <v>43.2</v>
      </c>
      <c r="U430" s="1" t="n">
        <v>48.8</v>
      </c>
      <c r="V430" s="1" t="n">
        <v>61</v>
      </c>
      <c r="W430" s="1" t="n">
        <v>39</v>
      </c>
      <c r="Z430" s="1" t="s">
        <v>54</v>
      </c>
      <c r="AH430" s="1"/>
      <c r="AI430" s="3"/>
    </row>
    <row r="431" customFormat="false" ht="16.15" hidden="true" customHeight="false" outlineLevel="0" collapsed="false">
      <c r="B431" s="1" t="s">
        <v>331</v>
      </c>
      <c r="C431" s="1" t="s">
        <v>783</v>
      </c>
      <c r="D431" s="13" t="n">
        <v>0.541666666666667</v>
      </c>
      <c r="E431" s="1" t="s">
        <v>1045</v>
      </c>
      <c r="F431" s="1" t="s">
        <v>1046</v>
      </c>
      <c r="G431" s="1"/>
      <c r="H431" s="2" t="s">
        <v>1047</v>
      </c>
      <c r="I431" s="1" t="n">
        <v>28.5</v>
      </c>
      <c r="J431" s="1" t="n">
        <v>42.4</v>
      </c>
      <c r="K431" s="1" t="n">
        <v>57.6</v>
      </c>
      <c r="L431" s="1" t="n">
        <v>70.9</v>
      </c>
      <c r="M431" s="1" t="n">
        <v>71.5</v>
      </c>
      <c r="N431" s="1" t="n">
        <v>35.8</v>
      </c>
      <c r="O431" s="1" t="n">
        <v>38</v>
      </c>
      <c r="P431" s="1" t="n">
        <v>26.2</v>
      </c>
      <c r="Q431" s="1" t="n">
        <v>77.9</v>
      </c>
      <c r="R431" s="1" t="n">
        <v>77.4</v>
      </c>
      <c r="S431" s="1" t="n">
        <v>52</v>
      </c>
      <c r="T431" s="1" t="n">
        <v>48</v>
      </c>
      <c r="U431" s="1" t="n">
        <v>53.7</v>
      </c>
      <c r="V431" s="1" t="n">
        <v>56.7</v>
      </c>
      <c r="W431" s="1" t="n">
        <v>43.3</v>
      </c>
      <c r="Z431" s="1" t="s">
        <v>48</v>
      </c>
      <c r="AH431" s="1"/>
      <c r="AI431" s="3"/>
    </row>
    <row r="432" customFormat="false" ht="16.15" hidden="true" customHeight="false" outlineLevel="0" collapsed="false">
      <c r="B432" s="1" t="s">
        <v>955</v>
      </c>
      <c r="C432" s="1" t="s">
        <v>783</v>
      </c>
      <c r="D432" s="13" t="n">
        <v>0.541666666666667</v>
      </c>
      <c r="E432" s="1" t="s">
        <v>1048</v>
      </c>
      <c r="F432" s="1" t="s">
        <v>1049</v>
      </c>
      <c r="G432" s="1"/>
      <c r="H432" s="2" t="s">
        <v>864</v>
      </c>
      <c r="I432" s="1" t="n">
        <v>29.5</v>
      </c>
      <c r="J432" s="1" t="n">
        <v>39.1</v>
      </c>
      <c r="K432" s="1" t="n">
        <v>60.9</v>
      </c>
      <c r="L432" s="1" t="n">
        <v>68.6</v>
      </c>
      <c r="M432" s="1" t="n">
        <v>70.5</v>
      </c>
      <c r="N432" s="1" t="n">
        <v>25.9</v>
      </c>
      <c r="O432" s="1" t="n">
        <v>43.5</v>
      </c>
      <c r="P432" s="1" t="n">
        <v>30.6</v>
      </c>
      <c r="Q432" s="1" t="n">
        <v>69.8</v>
      </c>
      <c r="R432" s="1" t="n">
        <v>74.1</v>
      </c>
      <c r="S432" s="1" t="n">
        <v>47.7</v>
      </c>
      <c r="T432" s="1" t="n">
        <v>52.3</v>
      </c>
      <c r="U432" s="1" t="n">
        <v>57.8</v>
      </c>
      <c r="V432" s="1" t="n">
        <v>53.7</v>
      </c>
      <c r="W432" s="1" t="n">
        <v>46.3</v>
      </c>
      <c r="Z432" s="1" t="s">
        <v>20</v>
      </c>
      <c r="AC432" s="1" t="n">
        <v>40</v>
      </c>
      <c r="AH432" s="1"/>
      <c r="AI432" s="3"/>
    </row>
    <row r="433" customFormat="false" ht="16.15" hidden="false" customHeight="false" outlineLevel="0" collapsed="false">
      <c r="B433" s="1" t="s">
        <v>161</v>
      </c>
      <c r="C433" s="1" t="s">
        <v>783</v>
      </c>
      <c r="D433" s="13" t="n">
        <v>0.541666666666667</v>
      </c>
      <c r="E433" s="1" t="s">
        <v>1050</v>
      </c>
      <c r="F433" s="1" t="s">
        <v>1051</v>
      </c>
      <c r="G433" s="1"/>
      <c r="H433" s="2" t="s">
        <v>1052</v>
      </c>
      <c r="I433" s="1" t="n">
        <v>31.3</v>
      </c>
      <c r="J433" s="1" t="n">
        <v>32.9</v>
      </c>
      <c r="K433" s="1" t="n">
        <v>67.1</v>
      </c>
      <c r="L433" s="1" t="n">
        <v>64.2</v>
      </c>
      <c r="M433" s="1" t="n">
        <v>68.7</v>
      </c>
      <c r="N433" s="1" t="n">
        <v>27.4</v>
      </c>
      <c r="O433" s="1" t="n">
        <v>50.5</v>
      </c>
      <c r="P433" s="1" t="n">
        <v>22</v>
      </c>
      <c r="Q433" s="1" t="n">
        <v>59</v>
      </c>
      <c r="R433" s="1" t="n">
        <v>67.8</v>
      </c>
      <c r="S433" s="1" t="n">
        <v>39.9</v>
      </c>
      <c r="T433" s="1" t="n">
        <v>60.1</v>
      </c>
      <c r="U433" s="1" t="n">
        <v>65.2</v>
      </c>
      <c r="V433" s="1" t="n">
        <v>47.7</v>
      </c>
      <c r="W433" s="1" t="n">
        <v>52.3</v>
      </c>
      <c r="AH433" s="1"/>
      <c r="AI433" s="3"/>
    </row>
    <row r="434" customFormat="false" ht="16.15" hidden="false" customHeight="false" outlineLevel="0" collapsed="false">
      <c r="B434" s="1" t="s">
        <v>476</v>
      </c>
      <c r="C434" s="1" t="s">
        <v>783</v>
      </c>
      <c r="D434" s="13" t="n">
        <v>0.541666666666667</v>
      </c>
      <c r="E434" s="1" t="s">
        <v>1053</v>
      </c>
      <c r="F434" s="1" t="s">
        <v>1054</v>
      </c>
      <c r="G434" s="1"/>
      <c r="H434" s="2" t="s">
        <v>846</v>
      </c>
      <c r="I434" s="1" t="n">
        <v>26.8</v>
      </c>
      <c r="J434" s="1" t="n">
        <v>22.6</v>
      </c>
      <c r="K434" s="1" t="n">
        <v>77.4</v>
      </c>
      <c r="L434" s="1" t="n">
        <v>49.5</v>
      </c>
      <c r="M434" s="1" t="n">
        <v>73.2</v>
      </c>
      <c r="N434" s="1" t="n">
        <v>51.5</v>
      </c>
      <c r="O434" s="1" t="n">
        <v>38.3</v>
      </c>
      <c r="P434" s="1" t="n">
        <v>10.2</v>
      </c>
      <c r="Q434" s="1" t="n">
        <v>70.7</v>
      </c>
      <c r="R434" s="1" t="n">
        <v>76.9</v>
      </c>
      <c r="S434" s="1" t="n">
        <v>51.4</v>
      </c>
      <c r="T434" s="1" t="n">
        <v>48.6</v>
      </c>
      <c r="U434" s="1" t="n">
        <v>55</v>
      </c>
      <c r="V434" s="1" t="n">
        <v>54.2</v>
      </c>
      <c r="W434" s="1" t="n">
        <v>45.8</v>
      </c>
      <c r="AH434" s="1"/>
      <c r="AI434" s="3"/>
    </row>
    <row r="435" customFormat="false" ht="16.15" hidden="false" customHeight="false" outlineLevel="0" collapsed="false">
      <c r="B435" s="1" t="s">
        <v>936</v>
      </c>
      <c r="C435" s="1" t="s">
        <v>783</v>
      </c>
      <c r="D435" s="13" t="n">
        <v>0.541666666666667</v>
      </c>
      <c r="E435" s="1" t="s">
        <v>1055</v>
      </c>
      <c r="F435" s="1" t="s">
        <v>1056</v>
      </c>
      <c r="G435" s="1"/>
      <c r="H435" s="2" t="s">
        <v>1057</v>
      </c>
      <c r="I435" s="1" t="n">
        <v>29.1</v>
      </c>
      <c r="J435" s="1" t="n">
        <v>30.8</v>
      </c>
      <c r="K435" s="1" t="n">
        <v>69.2</v>
      </c>
      <c r="L435" s="1" t="n">
        <v>59.9</v>
      </c>
      <c r="M435" s="1" t="n">
        <v>70.9</v>
      </c>
      <c r="N435" s="1" t="s">
        <v>533</v>
      </c>
      <c r="O435" s="1" t="s">
        <v>533</v>
      </c>
      <c r="P435" s="1" t="s">
        <v>533</v>
      </c>
      <c r="Q435" s="1" t="s">
        <v>533</v>
      </c>
      <c r="R435" s="1" t="n">
        <v>74.2</v>
      </c>
      <c r="S435" s="1" t="n">
        <v>47.8</v>
      </c>
      <c r="T435" s="1" t="n">
        <v>52.2</v>
      </c>
      <c r="U435" s="1" t="n">
        <v>57.8</v>
      </c>
      <c r="V435" s="1" t="n">
        <v>53.7</v>
      </c>
      <c r="W435" s="1" t="n">
        <v>46.3</v>
      </c>
      <c r="AH435" s="1"/>
      <c r="AI435" s="3"/>
    </row>
    <row r="436" customFormat="false" ht="16.15" hidden="false" customHeight="false" outlineLevel="0" collapsed="false">
      <c r="B436" s="1" t="s">
        <v>109</v>
      </c>
      <c r="C436" s="1" t="s">
        <v>783</v>
      </c>
      <c r="D436" s="13" t="n">
        <v>0.552083333333333</v>
      </c>
      <c r="E436" s="1" t="s">
        <v>1058</v>
      </c>
      <c r="F436" s="1" t="s">
        <v>1059</v>
      </c>
      <c r="G436" s="1"/>
      <c r="H436" s="2" t="s">
        <v>893</v>
      </c>
      <c r="I436" s="1" t="n">
        <v>27.3</v>
      </c>
      <c r="J436" s="1" t="n">
        <v>24.6</v>
      </c>
      <c r="K436" s="1" t="n">
        <v>75.4</v>
      </c>
      <c r="L436" s="1" t="n">
        <v>52</v>
      </c>
      <c r="M436" s="1" t="n">
        <v>72.7</v>
      </c>
      <c r="N436" s="1" t="n">
        <v>27.2</v>
      </c>
      <c r="O436" s="1" t="n">
        <v>46</v>
      </c>
      <c r="P436" s="1" t="n">
        <v>26.8</v>
      </c>
      <c r="Q436" s="1" t="n">
        <v>66</v>
      </c>
      <c r="R436" s="1" t="n">
        <v>76.7</v>
      </c>
      <c r="S436" s="1" t="n">
        <v>51.2</v>
      </c>
      <c r="T436" s="1" t="n">
        <v>48.8</v>
      </c>
      <c r="U436" s="1" t="n">
        <v>54.9</v>
      </c>
      <c r="V436" s="1" t="n">
        <v>54.9</v>
      </c>
      <c r="W436" s="1" t="n">
        <v>45.1</v>
      </c>
      <c r="AH436" s="1"/>
      <c r="AI436" s="3"/>
    </row>
    <row r="437" customFormat="false" ht="16.15" hidden="false" customHeight="false" outlineLevel="0" collapsed="false">
      <c r="B437" s="1" t="s">
        <v>519</v>
      </c>
      <c r="C437" s="1" t="s">
        <v>783</v>
      </c>
      <c r="D437" s="13" t="n">
        <v>0.5625</v>
      </c>
      <c r="E437" s="1" t="s">
        <v>1060</v>
      </c>
      <c r="F437" s="1" t="s">
        <v>1061</v>
      </c>
      <c r="G437" s="1"/>
      <c r="H437" s="2" t="s">
        <v>1062</v>
      </c>
      <c r="I437" s="1" t="n">
        <v>28.4</v>
      </c>
      <c r="J437" s="1" t="n">
        <v>35.2</v>
      </c>
      <c r="K437" s="1" t="n">
        <v>64.8</v>
      </c>
      <c r="L437" s="1" t="n">
        <v>63.6</v>
      </c>
      <c r="M437" s="1" t="n">
        <v>71.6</v>
      </c>
      <c r="N437" s="1" t="n">
        <v>30.7</v>
      </c>
      <c r="O437" s="1" t="n">
        <v>44.1</v>
      </c>
      <c r="P437" s="1" t="n">
        <v>25.2</v>
      </c>
      <c r="Q437" s="1" t="n">
        <v>68.6</v>
      </c>
      <c r="R437" s="1" t="n">
        <v>77.6</v>
      </c>
      <c r="S437" s="1" t="n">
        <v>52.4</v>
      </c>
      <c r="T437" s="1" t="n">
        <v>47.6</v>
      </c>
      <c r="U437" s="1" t="n">
        <v>53.1</v>
      </c>
      <c r="V437" s="1" t="n">
        <v>57.6</v>
      </c>
      <c r="W437" s="1" t="n">
        <v>42.4</v>
      </c>
      <c r="AH437" s="1"/>
      <c r="AI437" s="3"/>
    </row>
    <row r="438" customFormat="false" ht="16.15" hidden="false" customHeight="false" outlineLevel="0" collapsed="false">
      <c r="B438" s="1" t="s">
        <v>62</v>
      </c>
      <c r="C438" s="1" t="s">
        <v>783</v>
      </c>
      <c r="D438" s="13" t="n">
        <v>0.583333333333333</v>
      </c>
      <c r="E438" s="1" t="s">
        <v>1063</v>
      </c>
      <c r="F438" s="1" t="s">
        <v>1064</v>
      </c>
      <c r="G438" s="1"/>
      <c r="H438" s="2" t="s">
        <v>979</v>
      </c>
      <c r="I438" s="1" t="n">
        <v>32.1</v>
      </c>
      <c r="J438" s="1" t="n">
        <v>32.7</v>
      </c>
      <c r="K438" s="1" t="n">
        <v>67.3</v>
      </c>
      <c r="L438" s="1" t="n">
        <v>64.8</v>
      </c>
      <c r="M438" s="1" t="n">
        <v>67.9</v>
      </c>
      <c r="N438" s="1" t="n">
        <v>26.5</v>
      </c>
      <c r="O438" s="1" t="n">
        <v>49.2</v>
      </c>
      <c r="P438" s="1" t="n">
        <v>24.3</v>
      </c>
      <c r="Q438" s="1" t="n">
        <v>61</v>
      </c>
      <c r="R438" s="1" t="n">
        <v>65.3</v>
      </c>
      <c r="S438" s="1" t="n">
        <v>37.1</v>
      </c>
      <c r="T438" s="1" t="n">
        <v>62.9</v>
      </c>
      <c r="U438" s="1" t="n">
        <v>67.7</v>
      </c>
      <c r="V438" s="1" t="n">
        <v>45.4</v>
      </c>
      <c r="W438" s="1" t="n">
        <v>54.6</v>
      </c>
      <c r="AH438" s="1"/>
      <c r="AI438" s="3"/>
    </row>
    <row r="439" customFormat="false" ht="16.15" hidden="false" customHeight="false" outlineLevel="0" collapsed="false">
      <c r="B439" s="1" t="s">
        <v>225</v>
      </c>
      <c r="C439" s="1" t="s">
        <v>783</v>
      </c>
      <c r="D439" s="13" t="n">
        <v>0.583333333333333</v>
      </c>
      <c r="E439" s="1" t="s">
        <v>1065</v>
      </c>
      <c r="F439" s="1" t="s">
        <v>1066</v>
      </c>
      <c r="G439" s="1"/>
      <c r="H439" s="2" t="s">
        <v>1067</v>
      </c>
      <c r="I439" s="1" t="n">
        <v>21.4</v>
      </c>
      <c r="J439" s="1" t="n">
        <v>10.5</v>
      </c>
      <c r="K439" s="1" t="n">
        <v>89.5</v>
      </c>
      <c r="L439" s="1" t="n">
        <v>32</v>
      </c>
      <c r="M439" s="1" t="n">
        <v>78.6</v>
      </c>
      <c r="N439" s="1" t="n">
        <v>35.3</v>
      </c>
      <c r="O439" s="1" t="n">
        <v>44.6</v>
      </c>
      <c r="P439" s="1" t="n">
        <v>20.1</v>
      </c>
      <c r="Q439" s="1" t="n">
        <v>67.1</v>
      </c>
      <c r="R439" s="1" t="n">
        <v>81.5</v>
      </c>
      <c r="S439" s="1" t="n">
        <v>58.6</v>
      </c>
      <c r="T439" s="1" t="n">
        <v>41.4</v>
      </c>
      <c r="U439" s="1" t="n">
        <v>51.2</v>
      </c>
      <c r="V439" s="1" t="n">
        <v>50</v>
      </c>
      <c r="W439" s="1" t="n">
        <v>50</v>
      </c>
      <c r="AH439" s="1"/>
      <c r="AI439" s="3"/>
    </row>
    <row r="440" customFormat="false" ht="16.15" hidden="false" customHeight="false" outlineLevel="0" collapsed="false">
      <c r="B440" s="1" t="s">
        <v>600</v>
      </c>
      <c r="C440" s="1" t="s">
        <v>783</v>
      </c>
      <c r="D440" s="13" t="n">
        <v>0.583333333333333</v>
      </c>
      <c r="E440" s="1" t="s">
        <v>1068</v>
      </c>
      <c r="F440" s="1" t="s">
        <v>1069</v>
      </c>
      <c r="G440" s="1"/>
      <c r="H440" s="2" t="s">
        <v>1070</v>
      </c>
      <c r="I440" s="1" t="n">
        <v>23.3</v>
      </c>
      <c r="J440" s="1" t="n">
        <v>14.8</v>
      </c>
      <c r="K440" s="1" t="n">
        <v>85.2</v>
      </c>
      <c r="L440" s="1" t="n">
        <v>38.1</v>
      </c>
      <c r="M440" s="1" t="n">
        <v>76.7</v>
      </c>
      <c r="N440" s="1" t="n">
        <v>48.4</v>
      </c>
      <c r="O440" s="1" t="n">
        <v>37.4</v>
      </c>
      <c r="P440" s="1" t="n">
        <v>14.2</v>
      </c>
      <c r="Q440" s="1" t="n">
        <v>74.4</v>
      </c>
      <c r="R440" s="1" t="n">
        <v>91.3</v>
      </c>
      <c r="S440" s="1" t="n">
        <v>75.7</v>
      </c>
      <c r="T440" s="1" t="n">
        <v>24.3</v>
      </c>
      <c r="U440" s="1" t="n">
        <v>31.2</v>
      </c>
      <c r="V440" s="1" t="n">
        <v>69</v>
      </c>
      <c r="W440" s="1" t="n">
        <v>31</v>
      </c>
      <c r="AH440" s="1"/>
      <c r="AI440" s="3"/>
    </row>
    <row r="441" customFormat="false" ht="16.15" hidden="true" customHeight="false" outlineLevel="0" collapsed="false">
      <c r="B441" s="1" t="s">
        <v>192</v>
      </c>
      <c r="C441" s="1" t="s">
        <v>783</v>
      </c>
      <c r="D441" s="13" t="n">
        <v>0.583333333333333</v>
      </c>
      <c r="E441" s="1" t="s">
        <v>1071</v>
      </c>
      <c r="F441" s="1" t="s">
        <v>1072</v>
      </c>
      <c r="G441" s="1"/>
      <c r="H441" s="2" t="s">
        <v>1073</v>
      </c>
      <c r="I441" s="1" t="n">
        <v>25.7</v>
      </c>
      <c r="J441" s="1" t="n">
        <v>30.5</v>
      </c>
      <c r="K441" s="1" t="n">
        <v>69.5</v>
      </c>
      <c r="L441" s="1" t="n">
        <v>56.3</v>
      </c>
      <c r="M441" s="1" t="n">
        <v>74.3</v>
      </c>
      <c r="N441" s="1" t="n">
        <v>31</v>
      </c>
      <c r="O441" s="1" t="n">
        <v>37.5</v>
      </c>
      <c r="P441" s="1" t="n">
        <v>31.5</v>
      </c>
      <c r="Q441" s="1" t="n">
        <v>79.2</v>
      </c>
      <c r="R441" s="1" t="n">
        <v>86.4</v>
      </c>
      <c r="S441" s="1" t="n">
        <v>66.2</v>
      </c>
      <c r="T441" s="1" t="n">
        <v>33.8</v>
      </c>
      <c r="U441" s="1" t="n">
        <v>39.4</v>
      </c>
      <c r="V441" s="1" t="n">
        <v>67.7</v>
      </c>
      <c r="W441" s="1" t="n">
        <v>32.3</v>
      </c>
      <c r="Z441" s="1" t="s">
        <v>54</v>
      </c>
      <c r="AH441" s="1"/>
      <c r="AI441" s="3"/>
    </row>
    <row r="442" customFormat="false" ht="16.15" hidden="false" customHeight="false" outlineLevel="0" collapsed="false">
      <c r="B442" s="1" t="s">
        <v>375</v>
      </c>
      <c r="C442" s="1" t="s">
        <v>783</v>
      </c>
      <c r="D442" s="13" t="n">
        <v>0.583333333333333</v>
      </c>
      <c r="E442" s="1" t="s">
        <v>1074</v>
      </c>
      <c r="F442" s="1" t="s">
        <v>1075</v>
      </c>
      <c r="G442" s="1"/>
      <c r="H442" s="2" t="s">
        <v>1076</v>
      </c>
      <c r="I442" s="1" t="n">
        <v>26.4</v>
      </c>
      <c r="J442" s="1" t="n">
        <v>26</v>
      </c>
      <c r="K442" s="1" t="n">
        <v>74</v>
      </c>
      <c r="L442" s="1" t="n">
        <v>52.3</v>
      </c>
      <c r="M442" s="1" t="n">
        <v>73.6</v>
      </c>
      <c r="N442" s="1" t="n">
        <v>49.8</v>
      </c>
      <c r="O442" s="1" t="n">
        <v>35.4</v>
      </c>
      <c r="P442" s="1" t="n">
        <v>14.8</v>
      </c>
      <c r="Q442" s="1" t="n">
        <v>77.5</v>
      </c>
      <c r="R442" s="1" t="n">
        <v>81.2</v>
      </c>
      <c r="S442" s="1" t="n">
        <v>57.7</v>
      </c>
      <c r="T442" s="1" t="n">
        <v>42.3</v>
      </c>
      <c r="U442" s="1" t="n">
        <v>48.4</v>
      </c>
      <c r="V442" s="1" t="n">
        <v>60.2</v>
      </c>
      <c r="W442" s="1" t="n">
        <v>39.8</v>
      </c>
      <c r="AH442" s="1"/>
      <c r="AI442" s="3"/>
    </row>
    <row r="443" customFormat="false" ht="16.15" hidden="false" customHeight="false" outlineLevel="0" collapsed="false">
      <c r="B443" s="1" t="s">
        <v>524</v>
      </c>
      <c r="C443" s="1" t="s">
        <v>783</v>
      </c>
      <c r="D443" s="13" t="n">
        <v>0.583333333333333</v>
      </c>
      <c r="E443" s="1" t="s">
        <v>1077</v>
      </c>
      <c r="F443" s="1" t="s">
        <v>1078</v>
      </c>
      <c r="G443" s="1"/>
      <c r="H443" s="2" t="s">
        <v>1079</v>
      </c>
      <c r="I443" s="1" t="n">
        <v>26.6</v>
      </c>
      <c r="J443" s="1" t="n">
        <v>32.1</v>
      </c>
      <c r="K443" s="1" t="n">
        <v>67.9</v>
      </c>
      <c r="L443" s="1" t="n">
        <v>58.7</v>
      </c>
      <c r="M443" s="1" t="n">
        <v>73.4</v>
      </c>
      <c r="N443" s="1" t="n">
        <v>33.4</v>
      </c>
      <c r="O443" s="1" t="n">
        <v>40</v>
      </c>
      <c r="P443" s="1" t="n">
        <v>26.6</v>
      </c>
      <c r="Q443" s="1" t="n">
        <v>75</v>
      </c>
      <c r="R443" s="1" t="n">
        <v>83.3</v>
      </c>
      <c r="S443" s="1" t="n">
        <v>61</v>
      </c>
      <c r="T443" s="1" t="n">
        <v>39</v>
      </c>
      <c r="U443" s="1" t="n">
        <v>44.7</v>
      </c>
      <c r="V443" s="1" t="n">
        <v>63.9</v>
      </c>
      <c r="W443" s="1" t="n">
        <v>36.1</v>
      </c>
      <c r="AH443" s="1"/>
      <c r="AI443" s="3"/>
    </row>
    <row r="444" customFormat="false" ht="16.15" hidden="false" customHeight="false" outlineLevel="0" collapsed="false">
      <c r="B444" s="1" t="s">
        <v>524</v>
      </c>
      <c r="C444" s="1" t="s">
        <v>783</v>
      </c>
      <c r="D444" s="13" t="n">
        <v>0.583333333333333</v>
      </c>
      <c r="E444" s="1" t="s">
        <v>1080</v>
      </c>
      <c r="F444" s="1" t="s">
        <v>1081</v>
      </c>
      <c r="G444" s="1"/>
      <c r="H444" s="2" t="s">
        <v>1082</v>
      </c>
      <c r="I444" s="1" t="n">
        <v>24.6</v>
      </c>
      <c r="J444" s="1" t="n">
        <v>19.2</v>
      </c>
      <c r="K444" s="1" t="n">
        <v>80.8</v>
      </c>
      <c r="L444" s="1" t="n">
        <v>43.8</v>
      </c>
      <c r="M444" s="1" t="n">
        <v>75.4</v>
      </c>
      <c r="N444" s="1" t="n">
        <v>56</v>
      </c>
      <c r="O444" s="1" t="n">
        <v>27.8</v>
      </c>
      <c r="P444" s="1" t="n">
        <v>16.1</v>
      </c>
      <c r="Q444" s="1" t="n">
        <v>88.7</v>
      </c>
      <c r="R444" s="1" t="n">
        <v>93.4</v>
      </c>
      <c r="S444" s="1" t="n">
        <v>80.3</v>
      </c>
      <c r="T444" s="1" t="n">
        <v>19.7</v>
      </c>
      <c r="U444" s="1" t="n">
        <v>25.3</v>
      </c>
      <c r="V444" s="1" t="n">
        <v>75.7</v>
      </c>
      <c r="W444" s="1" t="n">
        <v>24.3</v>
      </c>
      <c r="AH444" s="1"/>
      <c r="AI444" s="3"/>
    </row>
    <row r="445" customFormat="false" ht="16.15" hidden="false" customHeight="false" outlineLevel="0" collapsed="false">
      <c r="B445" s="1" t="s">
        <v>429</v>
      </c>
      <c r="C445" s="1" t="s">
        <v>783</v>
      </c>
      <c r="D445" s="13" t="n">
        <v>0.583333333333333</v>
      </c>
      <c r="E445" s="1" t="s">
        <v>1083</v>
      </c>
      <c r="F445" s="1" t="s">
        <v>1084</v>
      </c>
      <c r="G445" s="1"/>
      <c r="H445" s="2" t="s">
        <v>1085</v>
      </c>
      <c r="I445" s="1" t="n">
        <v>27.2</v>
      </c>
      <c r="J445" s="1" t="n">
        <v>25.9</v>
      </c>
      <c r="K445" s="1" t="n">
        <v>74.1</v>
      </c>
      <c r="L445" s="1" t="n">
        <v>53</v>
      </c>
      <c r="M445" s="1" t="n">
        <v>72.8</v>
      </c>
      <c r="N445" s="1" t="n">
        <v>28.9</v>
      </c>
      <c r="O445" s="1" t="n">
        <v>46.9</v>
      </c>
      <c r="P445" s="1" t="n">
        <v>24.1</v>
      </c>
      <c r="Q445" s="1" t="n">
        <v>64.4</v>
      </c>
      <c r="R445" s="1" t="n">
        <v>78.2</v>
      </c>
      <c r="S445" s="1" t="n">
        <v>53.3</v>
      </c>
      <c r="T445" s="1" t="n">
        <v>46.7</v>
      </c>
      <c r="U445" s="1" t="n">
        <v>52.8</v>
      </c>
      <c r="V445" s="1" t="n">
        <v>56.8</v>
      </c>
      <c r="W445" s="1" t="n">
        <v>43.2</v>
      </c>
      <c r="AH445" s="1"/>
      <c r="AI445" s="3"/>
    </row>
    <row r="446" customFormat="false" ht="16.15" hidden="true" customHeight="false" outlineLevel="0" collapsed="false">
      <c r="B446" s="1" t="s">
        <v>70</v>
      </c>
      <c r="C446" s="1" t="s">
        <v>783</v>
      </c>
      <c r="D446" s="13" t="n">
        <v>0.583333333333333</v>
      </c>
      <c r="E446" s="1" t="s">
        <v>1086</v>
      </c>
      <c r="F446" s="1" t="s">
        <v>1087</v>
      </c>
      <c r="G446" s="1"/>
      <c r="H446" s="2" t="s">
        <v>1088</v>
      </c>
      <c r="I446" s="1" t="n">
        <v>27.9</v>
      </c>
      <c r="J446" s="1" t="n">
        <v>36.9</v>
      </c>
      <c r="K446" s="1" t="n">
        <v>63.1</v>
      </c>
      <c r="L446" s="1" t="n">
        <v>64.9</v>
      </c>
      <c r="M446" s="1" t="n">
        <v>72.1</v>
      </c>
      <c r="N446" s="1" t="n">
        <v>37.6</v>
      </c>
      <c r="O446" s="1" t="n">
        <v>41.5</v>
      </c>
      <c r="P446" s="1" t="n">
        <v>20.9</v>
      </c>
      <c r="Q446" s="1" t="n">
        <v>71.6</v>
      </c>
      <c r="R446" s="1" t="n">
        <v>79.6</v>
      </c>
      <c r="S446" s="1" t="n">
        <v>55.2</v>
      </c>
      <c r="T446" s="1" t="n">
        <v>44.8</v>
      </c>
      <c r="U446" s="1" t="n">
        <v>50.4</v>
      </c>
      <c r="V446" s="1" t="n">
        <v>59.8</v>
      </c>
      <c r="W446" s="1" t="n">
        <v>40.2</v>
      </c>
      <c r="Z446" s="1" t="s">
        <v>133</v>
      </c>
      <c r="AB446" s="1" t="n">
        <v>39</v>
      </c>
      <c r="AE446" s="1" t="n">
        <v>47</v>
      </c>
      <c r="AH446" s="1"/>
      <c r="AI446" s="3"/>
    </row>
    <row r="447" customFormat="false" ht="16.15" hidden="false" customHeight="false" outlineLevel="0" collapsed="false">
      <c r="B447" s="1" t="s">
        <v>55</v>
      </c>
      <c r="C447" s="1" t="s">
        <v>783</v>
      </c>
      <c r="D447" s="13" t="n">
        <v>0.583333333333333</v>
      </c>
      <c r="E447" s="1" t="s">
        <v>1089</v>
      </c>
      <c r="F447" s="1" t="s">
        <v>1090</v>
      </c>
      <c r="G447" s="1"/>
      <c r="H447" s="2" t="s">
        <v>1091</v>
      </c>
      <c r="I447" s="1" t="n">
        <v>22.2</v>
      </c>
      <c r="J447" s="1" t="n">
        <v>11.7</v>
      </c>
      <c r="K447" s="1" t="n">
        <v>88.3</v>
      </c>
      <c r="L447" s="1" t="n">
        <v>33.8</v>
      </c>
      <c r="M447" s="1" t="n">
        <v>77.8</v>
      </c>
      <c r="N447" s="1" t="n">
        <v>66</v>
      </c>
      <c r="O447" s="1" t="n">
        <v>24.6</v>
      </c>
      <c r="P447" s="1" t="n">
        <v>9.4</v>
      </c>
      <c r="Q447" s="1" t="n">
        <v>88.1</v>
      </c>
      <c r="R447" s="1" t="n">
        <v>89.6</v>
      </c>
      <c r="S447" s="1" t="n">
        <v>72.5</v>
      </c>
      <c r="T447" s="1" t="n">
        <v>27.5</v>
      </c>
      <c r="U447" s="1" t="n">
        <v>35.8</v>
      </c>
      <c r="V447" s="1" t="n">
        <v>63.2</v>
      </c>
      <c r="W447" s="1" t="n">
        <v>36.8</v>
      </c>
      <c r="AH447" s="1"/>
      <c r="AI447" s="3"/>
    </row>
    <row r="448" customFormat="false" ht="16.15" hidden="true" customHeight="false" outlineLevel="0" collapsed="false">
      <c r="B448" s="1" t="s">
        <v>432</v>
      </c>
      <c r="C448" s="1" t="s">
        <v>783</v>
      </c>
      <c r="D448" s="13" t="n">
        <v>0.59375</v>
      </c>
      <c r="E448" s="1" t="s">
        <v>1092</v>
      </c>
      <c r="F448" s="1" t="s">
        <v>1093</v>
      </c>
      <c r="G448" s="1"/>
      <c r="H448" s="2" t="s">
        <v>1094</v>
      </c>
      <c r="I448" s="1" t="n">
        <v>27.5</v>
      </c>
      <c r="J448" s="1" t="n">
        <v>23.1</v>
      </c>
      <c r="K448" s="1" t="n">
        <v>76.9</v>
      </c>
      <c r="L448" s="1" t="n">
        <v>50.6</v>
      </c>
      <c r="M448" s="1" t="n">
        <v>72.5</v>
      </c>
      <c r="N448" s="1" t="n">
        <v>28.6</v>
      </c>
      <c r="O448" s="1" t="n">
        <v>45.7</v>
      </c>
      <c r="P448" s="1" t="n">
        <v>25.7</v>
      </c>
      <c r="Q448" s="1" t="n">
        <v>66.3</v>
      </c>
      <c r="R448" s="1" t="n">
        <v>75.1</v>
      </c>
      <c r="S448" s="1" t="n">
        <v>49</v>
      </c>
      <c r="T448" s="1" t="n">
        <v>51</v>
      </c>
      <c r="U448" s="1" t="n">
        <v>57.3</v>
      </c>
      <c r="V448" s="1" t="n">
        <v>52.6</v>
      </c>
      <c r="W448" s="1" t="n">
        <v>47.4</v>
      </c>
      <c r="Z448" s="1" t="s">
        <v>36</v>
      </c>
      <c r="AC448" s="1" t="n">
        <v>43</v>
      </c>
      <c r="AF448" s="1" t="n">
        <v>43</v>
      </c>
      <c r="AH448" s="1"/>
      <c r="AI448" s="3"/>
    </row>
    <row r="449" customFormat="false" ht="16.15" hidden="false" customHeight="false" outlineLevel="0" collapsed="false">
      <c r="B449" s="1" t="s">
        <v>172</v>
      </c>
      <c r="C449" s="1" t="s">
        <v>783</v>
      </c>
      <c r="D449" s="13" t="n">
        <v>0.625</v>
      </c>
      <c r="E449" s="1" t="s">
        <v>1095</v>
      </c>
      <c r="F449" s="1" t="s">
        <v>1055</v>
      </c>
      <c r="G449" s="1"/>
      <c r="H449" s="2" t="s">
        <v>974</v>
      </c>
      <c r="I449" s="1" t="n">
        <v>33.3</v>
      </c>
      <c r="J449" s="1" t="n">
        <v>32.1</v>
      </c>
      <c r="K449" s="1" t="n">
        <v>67.9</v>
      </c>
      <c r="L449" s="1" t="n">
        <v>65.4</v>
      </c>
      <c r="M449" s="1" t="n">
        <v>66.7</v>
      </c>
      <c r="N449" s="1" t="n">
        <v>26.5</v>
      </c>
      <c r="O449" s="1" t="n">
        <v>51.7</v>
      </c>
      <c r="P449" s="1" t="n">
        <v>21.8</v>
      </c>
      <c r="Q449" s="1" t="n">
        <v>57.4</v>
      </c>
      <c r="R449" s="1" t="n">
        <v>61.8</v>
      </c>
      <c r="S449" s="1" t="n">
        <v>33.4</v>
      </c>
      <c r="T449" s="1" t="n">
        <v>66.6</v>
      </c>
      <c r="U449" s="1" t="n">
        <v>71.2</v>
      </c>
      <c r="V449" s="1" t="n">
        <v>42.2</v>
      </c>
      <c r="W449" s="1" t="n">
        <v>57.8</v>
      </c>
      <c r="AH449" s="1"/>
      <c r="AI449" s="3"/>
    </row>
    <row r="450" customFormat="false" ht="16.15" hidden="false" customHeight="false" outlineLevel="0" collapsed="false">
      <c r="B450" s="1" t="s">
        <v>209</v>
      </c>
      <c r="C450" s="1" t="s">
        <v>783</v>
      </c>
      <c r="D450" s="13" t="n">
        <v>0.625</v>
      </c>
      <c r="E450" s="1" t="s">
        <v>1096</v>
      </c>
      <c r="F450" s="1" t="s">
        <v>1097</v>
      </c>
      <c r="G450" s="1"/>
      <c r="H450" s="2" t="s">
        <v>979</v>
      </c>
      <c r="I450" s="1" t="n">
        <v>34.6</v>
      </c>
      <c r="J450" s="1" t="n">
        <v>30.2</v>
      </c>
      <c r="K450" s="1" t="n">
        <v>69.8</v>
      </c>
      <c r="L450" s="1" t="n">
        <v>64.8</v>
      </c>
      <c r="M450" s="1" t="n">
        <v>65.4</v>
      </c>
      <c r="N450" s="1" t="n">
        <v>20.9</v>
      </c>
      <c r="O450" s="1" t="n">
        <v>55.9</v>
      </c>
      <c r="P450" s="1" t="n">
        <v>23.2</v>
      </c>
      <c r="Q450" s="1" t="n">
        <v>51.5</v>
      </c>
      <c r="R450" s="1" t="n">
        <v>57.6</v>
      </c>
      <c r="S450" s="1" t="n">
        <v>29.3</v>
      </c>
      <c r="T450" s="1" t="n">
        <v>70.7</v>
      </c>
      <c r="U450" s="1" t="n">
        <v>75</v>
      </c>
      <c r="V450" s="1" t="n">
        <v>38.6</v>
      </c>
      <c r="W450" s="1" t="n">
        <v>61.4</v>
      </c>
      <c r="AH450" s="1"/>
      <c r="AI450" s="3"/>
    </row>
    <row r="451" customFormat="false" ht="16.15" hidden="false" customHeight="false" outlineLevel="0" collapsed="false">
      <c r="B451" s="1" t="s">
        <v>209</v>
      </c>
      <c r="C451" s="1" t="s">
        <v>783</v>
      </c>
      <c r="D451" s="13" t="n">
        <v>0.625</v>
      </c>
      <c r="E451" s="1" t="s">
        <v>1098</v>
      </c>
      <c r="F451" s="1" t="s">
        <v>1099</v>
      </c>
      <c r="G451" s="1"/>
      <c r="H451" s="2" t="s">
        <v>1100</v>
      </c>
      <c r="I451" s="1" t="n">
        <v>34</v>
      </c>
      <c r="J451" s="1" t="n">
        <v>27</v>
      </c>
      <c r="K451" s="1" t="n">
        <v>73</v>
      </c>
      <c r="L451" s="1" t="n">
        <v>61</v>
      </c>
      <c r="M451" s="1" t="n">
        <v>66</v>
      </c>
      <c r="N451" s="1" t="n">
        <v>22.9</v>
      </c>
      <c r="O451" s="1" t="n">
        <v>50.3</v>
      </c>
      <c r="P451" s="1" t="n">
        <v>26.8</v>
      </c>
      <c r="Q451" s="1" t="n">
        <v>59.5</v>
      </c>
      <c r="R451" s="1" t="n">
        <v>58</v>
      </c>
      <c r="S451" s="1" t="n">
        <v>29.6</v>
      </c>
      <c r="T451" s="1" t="n">
        <v>70.4</v>
      </c>
      <c r="U451" s="1" t="n">
        <v>74.8</v>
      </c>
      <c r="V451" s="1" t="n">
        <v>38.5</v>
      </c>
      <c r="W451" s="1" t="n">
        <v>61.5</v>
      </c>
      <c r="AH451" s="1"/>
      <c r="AI451" s="3"/>
    </row>
    <row r="452" customFormat="false" ht="16.15" hidden="false" customHeight="false" outlineLevel="0" collapsed="false">
      <c r="B452" s="1" t="s">
        <v>542</v>
      </c>
      <c r="C452" s="1" t="s">
        <v>783</v>
      </c>
      <c r="D452" s="13" t="n">
        <v>0.625</v>
      </c>
      <c r="E452" s="1" t="s">
        <v>1101</v>
      </c>
      <c r="F452" s="1" t="s">
        <v>1102</v>
      </c>
      <c r="G452" s="1"/>
      <c r="H452" s="2" t="s">
        <v>1103</v>
      </c>
      <c r="I452" s="1" t="n">
        <v>36.2</v>
      </c>
      <c r="J452" s="1" t="n">
        <v>34.9</v>
      </c>
      <c r="K452" s="1" t="n">
        <v>65.1</v>
      </c>
      <c r="L452" s="1" t="n">
        <v>71.1</v>
      </c>
      <c r="M452" s="1" t="n">
        <v>63.8</v>
      </c>
      <c r="N452" s="1" t="n">
        <v>24.7</v>
      </c>
      <c r="O452" s="1" t="n">
        <v>50.3</v>
      </c>
      <c r="P452" s="1" t="n">
        <v>24.9</v>
      </c>
      <c r="Q452" s="1" t="n">
        <v>59.4</v>
      </c>
      <c r="R452" s="1" t="n">
        <v>53.6</v>
      </c>
      <c r="S452" s="1" t="n">
        <v>25.7</v>
      </c>
      <c r="T452" s="1" t="n">
        <v>74.3</v>
      </c>
      <c r="U452" s="1" t="n">
        <v>78.3</v>
      </c>
      <c r="V452" s="1" t="n">
        <v>35.3</v>
      </c>
      <c r="W452" s="1" t="n">
        <v>64.7</v>
      </c>
      <c r="AH452" s="1"/>
      <c r="AI452" s="3"/>
    </row>
    <row r="453" customFormat="false" ht="16.15" hidden="false" customHeight="false" outlineLevel="0" collapsed="false">
      <c r="B453" s="1" t="s">
        <v>542</v>
      </c>
      <c r="C453" s="1" t="s">
        <v>783</v>
      </c>
      <c r="D453" s="13" t="n">
        <v>0.625</v>
      </c>
      <c r="E453" s="1" t="s">
        <v>1104</v>
      </c>
      <c r="F453" s="1" t="s">
        <v>1105</v>
      </c>
      <c r="G453" s="1"/>
      <c r="H453" s="2" t="s">
        <v>1036</v>
      </c>
      <c r="I453" s="1" t="n">
        <v>33.3</v>
      </c>
      <c r="J453" s="1" t="n">
        <v>30.7</v>
      </c>
      <c r="K453" s="1" t="n">
        <v>69.3</v>
      </c>
      <c r="L453" s="1" t="n">
        <v>64</v>
      </c>
      <c r="M453" s="1" t="n">
        <v>66.7</v>
      </c>
      <c r="N453" s="1" t="n">
        <v>28.6</v>
      </c>
      <c r="O453" s="1" t="n">
        <v>51.7</v>
      </c>
      <c r="P453" s="1" t="n">
        <v>19.7</v>
      </c>
      <c r="Q453" s="1" t="n">
        <v>57.1</v>
      </c>
      <c r="R453" s="1" t="n">
        <v>61.2</v>
      </c>
      <c r="S453" s="1" t="n">
        <v>32.8</v>
      </c>
      <c r="T453" s="1" t="n">
        <v>67.2</v>
      </c>
      <c r="U453" s="1" t="n">
        <v>71.8</v>
      </c>
      <c r="V453" s="1" t="n">
        <v>41.6</v>
      </c>
      <c r="W453" s="1" t="n">
        <v>58.4</v>
      </c>
      <c r="AH453" s="1"/>
      <c r="AI453" s="3"/>
    </row>
    <row r="454" customFormat="false" ht="16.15" hidden="false" customHeight="false" outlineLevel="0" collapsed="false">
      <c r="B454" s="1" t="s">
        <v>557</v>
      </c>
      <c r="C454" s="1" t="s">
        <v>783</v>
      </c>
      <c r="D454" s="13" t="n">
        <v>0.625</v>
      </c>
      <c r="E454" s="1" t="s">
        <v>562</v>
      </c>
      <c r="F454" s="1" t="s">
        <v>563</v>
      </c>
      <c r="G454" s="1"/>
      <c r="H454" s="2" t="s">
        <v>1106</v>
      </c>
      <c r="I454" s="1" t="n">
        <v>31.8</v>
      </c>
      <c r="J454" s="1" t="n">
        <v>30.8</v>
      </c>
      <c r="K454" s="1" t="n">
        <v>69.2</v>
      </c>
      <c r="L454" s="1" t="n">
        <v>62.6</v>
      </c>
      <c r="M454" s="1" t="n">
        <v>68.2</v>
      </c>
      <c r="N454" s="1" t="n">
        <v>30.5</v>
      </c>
      <c r="O454" s="1" t="n">
        <v>48.3</v>
      </c>
      <c r="P454" s="1" t="n">
        <v>21.2</v>
      </c>
      <c r="Q454" s="1" t="n">
        <v>62</v>
      </c>
      <c r="R454" s="1" t="n">
        <v>65.7</v>
      </c>
      <c r="S454" s="1" t="n">
        <v>37.5</v>
      </c>
      <c r="T454" s="1" t="n">
        <v>62.5</v>
      </c>
      <c r="U454" s="1" t="n">
        <v>67.4</v>
      </c>
      <c r="V454" s="1" t="n">
        <v>45.6</v>
      </c>
      <c r="W454" s="1" t="n">
        <v>54.4</v>
      </c>
      <c r="AH454" s="1"/>
      <c r="AI454" s="3"/>
    </row>
    <row r="455" customFormat="false" ht="16.15" hidden="false" customHeight="false" outlineLevel="0" collapsed="false">
      <c r="B455" s="1" t="s">
        <v>557</v>
      </c>
      <c r="C455" s="1" t="s">
        <v>783</v>
      </c>
      <c r="D455" s="13" t="n">
        <v>0.625</v>
      </c>
      <c r="E455" s="1" t="s">
        <v>568</v>
      </c>
      <c r="F455" s="1" t="s">
        <v>569</v>
      </c>
      <c r="G455" s="1"/>
      <c r="H455" s="2" t="s">
        <v>988</v>
      </c>
      <c r="I455" s="1" t="n">
        <v>37</v>
      </c>
      <c r="J455" s="1" t="n">
        <v>26.3</v>
      </c>
      <c r="K455" s="1" t="n">
        <v>73.7</v>
      </c>
      <c r="L455" s="1" t="n">
        <v>63.3</v>
      </c>
      <c r="M455" s="1" t="n">
        <v>63</v>
      </c>
      <c r="N455" s="1" t="n">
        <v>24.7</v>
      </c>
      <c r="O455" s="1" t="n">
        <v>59.5</v>
      </c>
      <c r="P455" s="1" t="n">
        <v>15.8</v>
      </c>
      <c r="Q455" s="1" t="n">
        <v>46.2</v>
      </c>
      <c r="R455" s="1" t="n">
        <v>49.8</v>
      </c>
      <c r="S455" s="1" t="n">
        <v>22.5</v>
      </c>
      <c r="T455" s="1" t="n">
        <v>77.5</v>
      </c>
      <c r="U455" s="1" t="n">
        <v>81.2</v>
      </c>
      <c r="V455" s="1" t="n">
        <v>32</v>
      </c>
      <c r="W455" s="1" t="n">
        <v>68</v>
      </c>
      <c r="AH455" s="1"/>
      <c r="AI455" s="3"/>
    </row>
    <row r="456" customFormat="false" ht="16.15" hidden="false" customHeight="false" outlineLevel="0" collapsed="false">
      <c r="B456" s="1" t="s">
        <v>557</v>
      </c>
      <c r="C456" s="1" t="s">
        <v>783</v>
      </c>
      <c r="D456" s="13" t="n">
        <v>0.625</v>
      </c>
      <c r="E456" s="1" t="s">
        <v>572</v>
      </c>
      <c r="F456" s="1" t="s">
        <v>573</v>
      </c>
      <c r="G456" s="1"/>
      <c r="H456" s="2" t="s">
        <v>1052</v>
      </c>
      <c r="I456" s="1" t="n">
        <v>35.2</v>
      </c>
      <c r="J456" s="1" t="n">
        <v>29</v>
      </c>
      <c r="K456" s="1" t="n">
        <v>71</v>
      </c>
      <c r="L456" s="1" t="n">
        <v>64.2</v>
      </c>
      <c r="M456" s="1" t="n">
        <v>64.8</v>
      </c>
      <c r="N456" s="1" t="n">
        <v>26.5</v>
      </c>
      <c r="O456" s="1" t="n">
        <v>51.7</v>
      </c>
      <c r="P456" s="1" t="n">
        <v>21.7</v>
      </c>
      <c r="Q456" s="1" t="n">
        <v>57.2</v>
      </c>
      <c r="R456" s="1" t="n">
        <v>55.5</v>
      </c>
      <c r="S456" s="1" t="n">
        <v>27.4</v>
      </c>
      <c r="T456" s="1" t="n">
        <v>72.6</v>
      </c>
      <c r="U456" s="1" t="n">
        <v>76.7</v>
      </c>
      <c r="V456" s="1" t="n">
        <v>36.8</v>
      </c>
      <c r="W456" s="1" t="n">
        <v>63.2</v>
      </c>
      <c r="AH456" s="1"/>
      <c r="AI456" s="3"/>
    </row>
    <row r="457" customFormat="false" ht="16.15" hidden="false" customHeight="false" outlineLevel="0" collapsed="false">
      <c r="B457" s="1" t="s">
        <v>557</v>
      </c>
      <c r="C457" s="1" t="s">
        <v>783</v>
      </c>
      <c r="D457" s="13" t="n">
        <v>0.625</v>
      </c>
      <c r="E457" s="1" t="s">
        <v>574</v>
      </c>
      <c r="F457" s="1" t="s">
        <v>575</v>
      </c>
      <c r="G457" s="1"/>
      <c r="H457" s="2" t="s">
        <v>1107</v>
      </c>
      <c r="I457" s="1" t="n">
        <v>31.4</v>
      </c>
      <c r="J457" s="1" t="n">
        <v>33.1</v>
      </c>
      <c r="K457" s="1" t="n">
        <v>66.9</v>
      </c>
      <c r="L457" s="1" t="n">
        <v>64.5</v>
      </c>
      <c r="M457" s="1" t="n">
        <v>68.6</v>
      </c>
      <c r="N457" s="1" t="n">
        <v>19.4</v>
      </c>
      <c r="O457" s="1" t="n">
        <v>49.6</v>
      </c>
      <c r="P457" s="1" t="n">
        <v>31</v>
      </c>
      <c r="Q457" s="1" t="n">
        <v>60.2</v>
      </c>
      <c r="R457" s="1" t="n">
        <v>67.6</v>
      </c>
      <c r="S457" s="1" t="n">
        <v>39.7</v>
      </c>
      <c r="T457" s="1" t="n">
        <v>60.3</v>
      </c>
      <c r="U457" s="1" t="n">
        <v>65.4</v>
      </c>
      <c r="V457" s="1" t="n">
        <v>47.5</v>
      </c>
      <c r="W457" s="1" t="n">
        <v>52.5</v>
      </c>
      <c r="AH457" s="1"/>
      <c r="AI457" s="3"/>
    </row>
    <row r="458" customFormat="false" ht="16.15" hidden="false" customHeight="false" outlineLevel="0" collapsed="false">
      <c r="B458" s="1" t="s">
        <v>167</v>
      </c>
      <c r="C458" s="1" t="s">
        <v>783</v>
      </c>
      <c r="D458" s="13" t="n">
        <v>0.625</v>
      </c>
      <c r="E458" s="1" t="s">
        <v>1108</v>
      </c>
      <c r="F458" s="1" t="s">
        <v>1109</v>
      </c>
      <c r="G458" s="1"/>
      <c r="H458" s="2" t="s">
        <v>1110</v>
      </c>
      <c r="I458" s="1" t="n">
        <v>31</v>
      </c>
      <c r="J458" s="1" t="n">
        <v>26.2</v>
      </c>
      <c r="K458" s="1" t="n">
        <v>73.8</v>
      </c>
      <c r="L458" s="1" t="n">
        <v>57.2</v>
      </c>
      <c r="M458" s="1" t="n">
        <v>69</v>
      </c>
      <c r="N458" s="1" t="n">
        <v>31.5</v>
      </c>
      <c r="O458" s="1" t="n">
        <v>48.4</v>
      </c>
      <c r="P458" s="1" t="n">
        <v>20.1</v>
      </c>
      <c r="Q458" s="1" t="n">
        <v>61.7</v>
      </c>
      <c r="R458" s="1" t="n">
        <v>66</v>
      </c>
      <c r="S458" s="1" t="n">
        <v>37.9</v>
      </c>
      <c r="T458" s="1" t="n">
        <v>62.1</v>
      </c>
      <c r="U458" s="1" t="n">
        <v>67.4</v>
      </c>
      <c r="V458" s="1" t="n">
        <v>45.1</v>
      </c>
      <c r="W458" s="1" t="n">
        <v>54.9</v>
      </c>
      <c r="AH458" s="1"/>
      <c r="AI458" s="3"/>
    </row>
    <row r="459" customFormat="false" ht="16.15" hidden="false" customHeight="false" outlineLevel="0" collapsed="false">
      <c r="B459" s="1" t="s">
        <v>219</v>
      </c>
      <c r="C459" s="1" t="s">
        <v>783</v>
      </c>
      <c r="D459" s="13" t="n">
        <v>0.625</v>
      </c>
      <c r="E459" s="1" t="s">
        <v>1111</v>
      </c>
      <c r="F459" s="1" t="s">
        <v>1112</v>
      </c>
      <c r="G459" s="1"/>
      <c r="H459" s="2" t="s">
        <v>1113</v>
      </c>
      <c r="I459" s="1" t="n">
        <v>25.4</v>
      </c>
      <c r="J459" s="1" t="n">
        <v>17.9</v>
      </c>
      <c r="K459" s="1" t="n">
        <v>82.1</v>
      </c>
      <c r="L459" s="1" t="n">
        <v>43.4</v>
      </c>
      <c r="M459" s="1" t="n">
        <v>74.6</v>
      </c>
      <c r="N459" s="1" t="n">
        <v>65.9</v>
      </c>
      <c r="O459" s="1" t="n">
        <v>26.7</v>
      </c>
      <c r="P459" s="1" t="n">
        <v>7.4</v>
      </c>
      <c r="Q459" s="1" t="n">
        <v>83.2</v>
      </c>
      <c r="R459" s="1" t="n">
        <v>76.9</v>
      </c>
      <c r="S459" s="1" t="n">
        <v>51.5</v>
      </c>
      <c r="T459" s="1" t="n">
        <v>48.5</v>
      </c>
      <c r="U459" s="1" t="n">
        <v>55.8</v>
      </c>
      <c r="V459" s="1" t="n">
        <v>51.7</v>
      </c>
      <c r="W459" s="1" t="n">
        <v>48.3</v>
      </c>
      <c r="AH459" s="1"/>
      <c r="AI459" s="3"/>
    </row>
    <row r="460" customFormat="false" ht="16.15" hidden="false" customHeight="false" outlineLevel="0" collapsed="false">
      <c r="B460" s="1" t="s">
        <v>473</v>
      </c>
      <c r="C460" s="1" t="s">
        <v>783</v>
      </c>
      <c r="D460" s="13" t="n">
        <v>0.625</v>
      </c>
      <c r="E460" s="1" t="s">
        <v>1114</v>
      </c>
      <c r="F460" s="1" t="s">
        <v>1115</v>
      </c>
      <c r="G460" s="1"/>
      <c r="H460" s="2" t="s">
        <v>1116</v>
      </c>
      <c r="I460" s="1" t="n">
        <v>25.4</v>
      </c>
      <c r="J460" s="1" t="n">
        <v>33.6</v>
      </c>
      <c r="K460" s="1" t="n">
        <v>66.4</v>
      </c>
      <c r="L460" s="1" t="n">
        <v>59</v>
      </c>
      <c r="M460" s="1" t="n">
        <v>74.6</v>
      </c>
      <c r="N460" s="1" t="n">
        <v>28.4</v>
      </c>
      <c r="O460" s="1" t="n">
        <v>33.1</v>
      </c>
      <c r="P460" s="1" t="n">
        <v>38.5</v>
      </c>
      <c r="Q460" s="1" t="n">
        <v>85.8</v>
      </c>
      <c r="R460" s="1" t="n">
        <v>89.6</v>
      </c>
      <c r="S460" s="1" t="n">
        <v>72.3</v>
      </c>
      <c r="T460" s="1" t="n">
        <v>27.7</v>
      </c>
      <c r="U460" s="1" t="n">
        <v>33</v>
      </c>
      <c r="V460" s="1" t="n">
        <v>72.7</v>
      </c>
      <c r="W460" s="1" t="n">
        <v>27.3</v>
      </c>
      <c r="AH460" s="1"/>
      <c r="AI460" s="3"/>
    </row>
    <row r="461" customFormat="false" ht="16.15" hidden="true" customHeight="false" outlineLevel="0" collapsed="false">
      <c r="B461" s="1" t="s">
        <v>67</v>
      </c>
      <c r="C461" s="1" t="s">
        <v>783</v>
      </c>
      <c r="D461" s="13" t="n">
        <v>0.625</v>
      </c>
      <c r="E461" s="1" t="s">
        <v>1117</v>
      </c>
      <c r="F461" s="1" t="s">
        <v>1118</v>
      </c>
      <c r="G461" s="1"/>
      <c r="H461" s="2" t="s">
        <v>1119</v>
      </c>
      <c r="I461" s="1" t="n">
        <v>26.7</v>
      </c>
      <c r="J461" s="1" t="n">
        <v>13.5</v>
      </c>
      <c r="K461" s="1" t="n">
        <v>86.5</v>
      </c>
      <c r="L461" s="1" t="n">
        <v>40.1</v>
      </c>
      <c r="M461" s="1" t="n">
        <v>73.3</v>
      </c>
      <c r="N461" s="1" t="n">
        <v>44.6</v>
      </c>
      <c r="O461" s="1" t="n">
        <v>44.3</v>
      </c>
      <c r="P461" s="1" t="n">
        <v>11</v>
      </c>
      <c r="Q461" s="1" t="n">
        <v>63.6</v>
      </c>
      <c r="R461" s="1" t="n">
        <v>65.8</v>
      </c>
      <c r="S461" s="1" t="n">
        <v>37.9</v>
      </c>
      <c r="T461" s="1" t="n">
        <v>62.1</v>
      </c>
      <c r="U461" s="1" t="n">
        <v>70</v>
      </c>
      <c r="V461" s="1" t="n">
        <v>37.7</v>
      </c>
      <c r="W461" s="1" t="n">
        <v>62.3</v>
      </c>
      <c r="Z461" s="1" t="s">
        <v>54</v>
      </c>
      <c r="AH461" s="1"/>
      <c r="AI461" s="3"/>
    </row>
    <row r="462" customFormat="false" ht="16.15" hidden="true" customHeight="false" outlineLevel="0" collapsed="false">
      <c r="B462" s="1" t="s">
        <v>78</v>
      </c>
      <c r="C462" s="1" t="s">
        <v>783</v>
      </c>
      <c r="D462" s="13" t="n">
        <v>0.635416666666667</v>
      </c>
      <c r="E462" s="1" t="s">
        <v>1120</v>
      </c>
      <c r="F462" s="1" t="s">
        <v>1121</v>
      </c>
      <c r="G462" s="1"/>
      <c r="H462" s="2" t="s">
        <v>1122</v>
      </c>
      <c r="I462" s="1" t="n">
        <v>20.3</v>
      </c>
      <c r="J462" s="1" t="n">
        <v>8.2</v>
      </c>
      <c r="K462" s="1" t="n">
        <v>91.8</v>
      </c>
      <c r="L462" s="1" t="n">
        <v>28.5</v>
      </c>
      <c r="M462" s="1" t="n">
        <v>79.7</v>
      </c>
      <c r="N462" s="1" t="n">
        <v>42.7</v>
      </c>
      <c r="O462" s="1" t="n">
        <v>43.7</v>
      </c>
      <c r="P462" s="1" t="n">
        <v>13.6</v>
      </c>
      <c r="Q462" s="1" t="n">
        <v>65.8</v>
      </c>
      <c r="R462" s="1" t="n">
        <v>85</v>
      </c>
      <c r="S462" s="1" t="n">
        <v>64.4</v>
      </c>
      <c r="T462" s="1" t="n">
        <v>35.6</v>
      </c>
      <c r="U462" s="1" t="n">
        <v>46.2</v>
      </c>
      <c r="V462" s="1" t="n">
        <v>51.2</v>
      </c>
      <c r="W462" s="1" t="n">
        <v>48.8</v>
      </c>
      <c r="Z462" s="1" t="s">
        <v>19</v>
      </c>
      <c r="AB462" s="1" t="n">
        <v>51</v>
      </c>
      <c r="AH462" s="1"/>
      <c r="AI462" s="3"/>
    </row>
    <row r="463" customFormat="false" ht="16.15" hidden="false" customHeight="false" outlineLevel="0" collapsed="false">
      <c r="B463" s="1" t="s">
        <v>122</v>
      </c>
      <c r="C463" s="1" t="s">
        <v>783</v>
      </c>
      <c r="D463" s="13" t="n">
        <v>0.635416666666667</v>
      </c>
      <c r="E463" s="1" t="s">
        <v>1123</v>
      </c>
      <c r="F463" s="1" t="s">
        <v>1124</v>
      </c>
      <c r="G463" s="1"/>
      <c r="H463" s="2" t="s">
        <v>911</v>
      </c>
      <c r="I463" s="1" t="n">
        <v>29.4</v>
      </c>
      <c r="J463" s="1" t="n">
        <v>39.5</v>
      </c>
      <c r="K463" s="1" t="n">
        <v>60.5</v>
      </c>
      <c r="L463" s="1" t="n">
        <v>68.9</v>
      </c>
      <c r="M463" s="1" t="n">
        <v>70.6</v>
      </c>
      <c r="N463" s="1" t="n">
        <v>25.6</v>
      </c>
      <c r="O463" s="1" t="n">
        <v>45.1</v>
      </c>
      <c r="P463" s="1" t="n">
        <v>29.3</v>
      </c>
      <c r="Q463" s="1" t="n">
        <v>67.3</v>
      </c>
      <c r="R463" s="1" t="n">
        <v>74.5</v>
      </c>
      <c r="S463" s="1" t="n">
        <v>48.1</v>
      </c>
      <c r="T463" s="1" t="n">
        <v>51.9</v>
      </c>
      <c r="U463" s="1" t="n">
        <v>57.4</v>
      </c>
      <c r="V463" s="1" t="n">
        <v>54.1</v>
      </c>
      <c r="W463" s="1" t="n">
        <v>45.9</v>
      </c>
      <c r="AH463" s="1"/>
      <c r="AI463" s="3"/>
    </row>
    <row r="464" customFormat="false" ht="16.15" hidden="false" customHeight="false" outlineLevel="0" collapsed="false">
      <c r="B464" s="1" t="s">
        <v>161</v>
      </c>
      <c r="C464" s="1" t="s">
        <v>783</v>
      </c>
      <c r="D464" s="13" t="n">
        <v>0.635416666666667</v>
      </c>
      <c r="E464" s="1" t="s">
        <v>1125</v>
      </c>
      <c r="F464" s="1" t="s">
        <v>1126</v>
      </c>
      <c r="G464" s="1"/>
      <c r="H464" s="2" t="s">
        <v>824</v>
      </c>
      <c r="I464" s="1" t="n">
        <v>27.8</v>
      </c>
      <c r="J464" s="1" t="n">
        <v>27</v>
      </c>
      <c r="K464" s="1" t="n">
        <v>73</v>
      </c>
      <c r="L464" s="1" t="n">
        <v>54.8</v>
      </c>
      <c r="M464" s="1" t="n">
        <v>72.2</v>
      </c>
      <c r="N464" s="1" t="n">
        <v>32.2</v>
      </c>
      <c r="O464" s="1" t="n">
        <v>43.9</v>
      </c>
      <c r="P464" s="1" t="n">
        <v>23.8</v>
      </c>
      <c r="Q464" s="1" t="n">
        <v>68.7</v>
      </c>
      <c r="R464" s="1" t="n">
        <v>76.6</v>
      </c>
      <c r="S464" s="1" t="n">
        <v>51</v>
      </c>
      <c r="T464" s="1" t="n">
        <v>49</v>
      </c>
      <c r="U464" s="1" t="n">
        <v>54.9</v>
      </c>
      <c r="V464" s="1" t="n">
        <v>55.5</v>
      </c>
      <c r="W464" s="1" t="n">
        <v>44.5</v>
      </c>
      <c r="AH464" s="1"/>
      <c r="AI464" s="3"/>
    </row>
    <row r="465" customFormat="false" ht="16.15" hidden="false" customHeight="false" outlineLevel="0" collapsed="false">
      <c r="B465" s="1" t="s">
        <v>209</v>
      </c>
      <c r="C465" s="1" t="s">
        <v>783</v>
      </c>
      <c r="D465" s="13" t="n">
        <v>0.645833333333333</v>
      </c>
      <c r="E465" s="1" t="s">
        <v>1127</v>
      </c>
      <c r="F465" s="1" t="s">
        <v>1128</v>
      </c>
      <c r="G465" s="1"/>
      <c r="H465" s="2" t="s">
        <v>1129</v>
      </c>
      <c r="I465" s="1" t="n">
        <v>36</v>
      </c>
      <c r="J465" s="1" t="n">
        <v>27.6</v>
      </c>
      <c r="K465" s="1" t="n">
        <v>72.4</v>
      </c>
      <c r="L465" s="1" t="n">
        <v>63.5</v>
      </c>
      <c r="M465" s="1" t="n">
        <v>64</v>
      </c>
      <c r="N465" s="1" t="n">
        <v>26.2</v>
      </c>
      <c r="O465" s="1" t="n">
        <v>56.9</v>
      </c>
      <c r="P465" s="1" t="n">
        <v>16.9</v>
      </c>
      <c r="Q465" s="1" t="n">
        <v>49.6</v>
      </c>
      <c r="R465" s="1" t="n">
        <v>53</v>
      </c>
      <c r="S465" s="1" t="n">
        <v>25.1</v>
      </c>
      <c r="T465" s="1" t="n">
        <v>74.9</v>
      </c>
      <c r="U465" s="1" t="n">
        <v>78.8</v>
      </c>
      <c r="V465" s="1" t="n">
        <v>34.6</v>
      </c>
      <c r="W465" s="1" t="n">
        <v>65.4</v>
      </c>
      <c r="AH465" s="1"/>
      <c r="AI465" s="3"/>
    </row>
    <row r="466" customFormat="false" ht="16.15" hidden="false" customHeight="false" outlineLevel="0" collapsed="false">
      <c r="B466" s="1" t="s">
        <v>209</v>
      </c>
      <c r="C466" s="1" t="s">
        <v>783</v>
      </c>
      <c r="D466" s="13" t="n">
        <v>0.645833333333333</v>
      </c>
      <c r="E466" s="1" t="s">
        <v>1130</v>
      </c>
      <c r="F466" s="1" t="s">
        <v>1131</v>
      </c>
      <c r="G466" s="1"/>
      <c r="H466" s="2" t="s">
        <v>1132</v>
      </c>
      <c r="I466" s="1" t="n">
        <v>31.7</v>
      </c>
      <c r="J466" s="1" t="n">
        <v>26.5</v>
      </c>
      <c r="K466" s="1" t="n">
        <v>73.5</v>
      </c>
      <c r="L466" s="1" t="n">
        <v>58.2</v>
      </c>
      <c r="M466" s="1" t="n">
        <v>68.3</v>
      </c>
      <c r="N466" s="1" t="n">
        <v>19.9</v>
      </c>
      <c r="O466" s="1" t="n">
        <v>55.1</v>
      </c>
      <c r="P466" s="1" t="n">
        <v>25</v>
      </c>
      <c r="Q466" s="1" t="n">
        <v>52.5</v>
      </c>
      <c r="R466" s="1" t="n">
        <v>64.3</v>
      </c>
      <c r="S466" s="1" t="n">
        <v>36</v>
      </c>
      <c r="T466" s="1" t="n">
        <v>64</v>
      </c>
      <c r="U466" s="1" t="n">
        <v>69.1</v>
      </c>
      <c r="V466" s="1" t="n">
        <v>43.6</v>
      </c>
      <c r="W466" s="1" t="n">
        <v>56.4</v>
      </c>
      <c r="AH466" s="1"/>
      <c r="AI466" s="3"/>
    </row>
    <row r="467" customFormat="false" ht="16.15" hidden="false" customHeight="false" outlineLevel="0" collapsed="false">
      <c r="B467" s="1" t="s">
        <v>209</v>
      </c>
      <c r="C467" s="1" t="s">
        <v>783</v>
      </c>
      <c r="D467" s="13" t="n">
        <v>0.645833333333333</v>
      </c>
      <c r="E467" s="1" t="s">
        <v>1133</v>
      </c>
      <c r="F467" s="1" t="s">
        <v>1134</v>
      </c>
      <c r="G467" s="1"/>
      <c r="H467" s="2" t="s">
        <v>1135</v>
      </c>
      <c r="I467" s="1" t="n">
        <v>28.8</v>
      </c>
      <c r="J467" s="1" t="n">
        <v>17.7</v>
      </c>
      <c r="K467" s="1" t="n">
        <v>82.3</v>
      </c>
      <c r="L467" s="1" t="n">
        <v>46.4</v>
      </c>
      <c r="M467" s="1" t="n">
        <v>71.2</v>
      </c>
      <c r="N467" s="1" t="n">
        <v>39.2</v>
      </c>
      <c r="O467" s="1" t="n">
        <v>47.3</v>
      </c>
      <c r="P467" s="1" t="n">
        <v>13.5</v>
      </c>
      <c r="Q467" s="1" t="n">
        <v>61.1</v>
      </c>
      <c r="R467" s="1" t="n">
        <v>65.4</v>
      </c>
      <c r="S467" s="1" t="n">
        <v>37.4</v>
      </c>
      <c r="T467" s="1" t="n">
        <v>62.6</v>
      </c>
      <c r="U467" s="1" t="n">
        <v>69.2</v>
      </c>
      <c r="V467" s="1" t="n">
        <v>40.9</v>
      </c>
      <c r="W467" s="1" t="n">
        <v>59.1</v>
      </c>
      <c r="AH467" s="1"/>
      <c r="AI467" s="3"/>
    </row>
    <row r="468" customFormat="false" ht="16.15" hidden="false" customHeight="false" outlineLevel="0" collapsed="false">
      <c r="B468" s="1" t="s">
        <v>209</v>
      </c>
      <c r="C468" s="1" t="s">
        <v>783</v>
      </c>
      <c r="D468" s="13" t="n">
        <v>0.645833333333333</v>
      </c>
      <c r="E468" s="1" t="s">
        <v>1136</v>
      </c>
      <c r="F468" s="1" t="s">
        <v>1137</v>
      </c>
      <c r="G468" s="1"/>
      <c r="H468" s="2" t="s">
        <v>1138</v>
      </c>
      <c r="I468" s="1" t="n">
        <v>34.2</v>
      </c>
      <c r="J468" s="1" t="n">
        <v>30.4</v>
      </c>
      <c r="K468" s="1" t="n">
        <v>69.6</v>
      </c>
      <c r="L468" s="1" t="n">
        <v>64.6</v>
      </c>
      <c r="M468" s="1" t="n">
        <v>65.8</v>
      </c>
      <c r="N468" s="1" t="n">
        <v>29.2</v>
      </c>
      <c r="O468" s="1" t="n">
        <v>51.7</v>
      </c>
      <c r="P468" s="1" t="n">
        <v>19.1</v>
      </c>
      <c r="Q468" s="1" t="n">
        <v>56.9</v>
      </c>
      <c r="R468" s="1" t="n">
        <v>58.7</v>
      </c>
      <c r="S468" s="1" t="n">
        <v>30.3</v>
      </c>
      <c r="T468" s="1" t="n">
        <v>69.7</v>
      </c>
      <c r="U468" s="1" t="n">
        <v>74.1</v>
      </c>
      <c r="V468" s="1" t="n">
        <v>39.5</v>
      </c>
      <c r="W468" s="1" t="n">
        <v>60.5</v>
      </c>
      <c r="AH468" s="1"/>
      <c r="AI468" s="3"/>
    </row>
    <row r="469" customFormat="false" ht="16.15" hidden="false" customHeight="false" outlineLevel="0" collapsed="false">
      <c r="B469" s="1" t="s">
        <v>209</v>
      </c>
      <c r="C469" s="1" t="s">
        <v>783</v>
      </c>
      <c r="D469" s="13" t="n">
        <v>0.645833333333333</v>
      </c>
      <c r="E469" s="1" t="s">
        <v>1139</v>
      </c>
      <c r="F469" s="1" t="s">
        <v>1140</v>
      </c>
      <c r="G469" s="1"/>
      <c r="H469" s="2" t="s">
        <v>1141</v>
      </c>
      <c r="I469" s="1" t="n">
        <v>33.7</v>
      </c>
      <c r="J469" s="1" t="n">
        <v>26.8</v>
      </c>
      <c r="K469" s="1" t="n">
        <v>73.2</v>
      </c>
      <c r="L469" s="1" t="n">
        <v>60.5</v>
      </c>
      <c r="M469" s="1" t="n">
        <v>66.3</v>
      </c>
      <c r="N469" s="1" t="n">
        <v>35.2</v>
      </c>
      <c r="O469" s="1" t="n">
        <v>51</v>
      </c>
      <c r="P469" s="1" t="n">
        <v>13.8</v>
      </c>
      <c r="Q469" s="1" t="n">
        <v>56.5</v>
      </c>
      <c r="R469" s="1" t="n">
        <v>58.7</v>
      </c>
      <c r="S469" s="1" t="n">
        <v>30.3</v>
      </c>
      <c r="T469" s="1" t="n">
        <v>69.7</v>
      </c>
      <c r="U469" s="1" t="n">
        <v>74.3</v>
      </c>
      <c r="V469" s="1" t="n">
        <v>39</v>
      </c>
      <c r="W469" s="1" t="n">
        <v>61</v>
      </c>
      <c r="AH469" s="1"/>
      <c r="AI469" s="3"/>
    </row>
    <row r="470" customFormat="false" ht="16.15" hidden="false" customHeight="false" outlineLevel="0" collapsed="false">
      <c r="B470" s="1" t="s">
        <v>178</v>
      </c>
      <c r="C470" s="1" t="s">
        <v>783</v>
      </c>
      <c r="D470" s="13" t="n">
        <v>0.645833333333333</v>
      </c>
      <c r="E470" s="1" t="s">
        <v>1142</v>
      </c>
      <c r="F470" s="1" t="s">
        <v>171</v>
      </c>
      <c r="G470" s="1"/>
      <c r="H470" s="2" t="s">
        <v>1143</v>
      </c>
      <c r="I470" s="1" t="n">
        <v>27.2</v>
      </c>
      <c r="J470" s="1" t="n">
        <v>22.4</v>
      </c>
      <c r="K470" s="1" t="n">
        <v>77.6</v>
      </c>
      <c r="L470" s="1" t="n">
        <v>49.6</v>
      </c>
      <c r="M470" s="1" t="n">
        <v>72.8</v>
      </c>
      <c r="N470" s="1" t="n">
        <v>34.1</v>
      </c>
      <c r="O470" s="1" t="n">
        <v>44.5</v>
      </c>
      <c r="P470" s="1" t="n">
        <v>21.4</v>
      </c>
      <c r="Q470" s="1" t="n">
        <v>67.4</v>
      </c>
      <c r="R470" s="1" t="n">
        <v>75.5</v>
      </c>
      <c r="S470" s="1" t="n">
        <v>49.5</v>
      </c>
      <c r="T470" s="1" t="n">
        <v>50.5</v>
      </c>
      <c r="U470" s="1" t="n">
        <v>56.9</v>
      </c>
      <c r="V470" s="1" t="n">
        <v>52.7</v>
      </c>
      <c r="W470" s="1" t="n">
        <v>47.3</v>
      </c>
      <c r="AH470" s="1"/>
      <c r="AI470" s="3"/>
    </row>
    <row r="471" customFormat="false" ht="16.15" hidden="false" customHeight="false" outlineLevel="0" collapsed="false">
      <c r="B471" s="1" t="s">
        <v>209</v>
      </c>
      <c r="C471" s="1" t="s">
        <v>783</v>
      </c>
      <c r="D471" s="13" t="n">
        <v>0.666666666666667</v>
      </c>
      <c r="E471" s="1" t="s">
        <v>1144</v>
      </c>
      <c r="F471" s="1" t="s">
        <v>1145</v>
      </c>
      <c r="G471" s="1"/>
      <c r="H471" s="2" t="s">
        <v>1146</v>
      </c>
      <c r="I471" s="1" t="n">
        <v>33.8</v>
      </c>
      <c r="J471" s="1" t="n">
        <v>25.7</v>
      </c>
      <c r="K471" s="1" t="n">
        <v>74.3</v>
      </c>
      <c r="L471" s="1" t="n">
        <v>59.5</v>
      </c>
      <c r="M471" s="1" t="n">
        <v>66.2</v>
      </c>
      <c r="N471" s="1" t="n">
        <v>29.6</v>
      </c>
      <c r="O471" s="1" t="n">
        <v>50.3</v>
      </c>
      <c r="P471" s="1" t="n">
        <v>20.1</v>
      </c>
      <c r="Q471" s="1" t="n">
        <v>59</v>
      </c>
      <c r="R471" s="1" t="n">
        <v>57.9</v>
      </c>
      <c r="S471" s="1" t="n">
        <v>29.6</v>
      </c>
      <c r="T471" s="1" t="n">
        <v>70.4</v>
      </c>
      <c r="U471" s="1" t="n">
        <v>75</v>
      </c>
      <c r="V471" s="1" t="n">
        <v>38.2</v>
      </c>
      <c r="W471" s="1" t="n">
        <v>61.8</v>
      </c>
      <c r="AH471" s="1"/>
      <c r="AI471" s="3"/>
    </row>
    <row r="472" customFormat="false" ht="16.15" hidden="true" customHeight="false" outlineLevel="0" collapsed="false">
      <c r="B472" s="1" t="s">
        <v>670</v>
      </c>
      <c r="C472" s="1" t="s">
        <v>783</v>
      </c>
      <c r="D472" s="13" t="n">
        <v>0.666666666666667</v>
      </c>
      <c r="E472" s="1" t="s">
        <v>1147</v>
      </c>
      <c r="F472" s="1" t="s">
        <v>784</v>
      </c>
      <c r="G472" s="1"/>
      <c r="H472" s="2" t="s">
        <v>879</v>
      </c>
      <c r="I472" s="1" t="n">
        <v>28.3</v>
      </c>
      <c r="J472" s="1" t="n">
        <v>25.8</v>
      </c>
      <c r="K472" s="1" t="n">
        <v>74.2</v>
      </c>
      <c r="L472" s="1" t="n">
        <v>54.1</v>
      </c>
      <c r="M472" s="1" t="n">
        <v>71.7</v>
      </c>
      <c r="N472" s="1" t="n">
        <v>29.8</v>
      </c>
      <c r="O472" s="1" t="n">
        <v>44</v>
      </c>
      <c r="P472" s="1" t="n">
        <v>26.2</v>
      </c>
      <c r="Q472" s="1" t="n">
        <v>69</v>
      </c>
      <c r="R472" s="1" t="n">
        <v>74.4</v>
      </c>
      <c r="S472" s="1" t="n">
        <v>48</v>
      </c>
      <c r="T472" s="1" t="n">
        <v>52</v>
      </c>
      <c r="U472" s="1" t="n">
        <v>57.9</v>
      </c>
      <c r="V472" s="1" t="n">
        <v>52.8</v>
      </c>
      <c r="W472" s="1" t="n">
        <v>47.2</v>
      </c>
      <c r="Z472" s="1" t="s">
        <v>133</v>
      </c>
      <c r="AB472" s="1" t="n">
        <v>43</v>
      </c>
      <c r="AE472" s="1" t="n">
        <v>48</v>
      </c>
      <c r="AH472" s="1"/>
      <c r="AI472" s="3"/>
    </row>
    <row r="473" customFormat="false" ht="16.15" hidden="true" customHeight="false" outlineLevel="0" collapsed="false">
      <c r="B473" s="1" t="s">
        <v>670</v>
      </c>
      <c r="C473" s="1" t="s">
        <v>783</v>
      </c>
      <c r="D473" s="13" t="n">
        <v>0.666666666666667</v>
      </c>
      <c r="E473" s="1" t="s">
        <v>1148</v>
      </c>
      <c r="F473" s="1" t="s">
        <v>1149</v>
      </c>
      <c r="G473" s="1"/>
      <c r="H473" s="2" t="s">
        <v>840</v>
      </c>
      <c r="I473" s="1" t="n">
        <v>24.4</v>
      </c>
      <c r="J473" s="1" t="n">
        <v>19.1</v>
      </c>
      <c r="K473" s="1" t="n">
        <v>80.9</v>
      </c>
      <c r="L473" s="1" t="n">
        <v>43.5</v>
      </c>
      <c r="M473" s="1" t="n">
        <v>75.6</v>
      </c>
      <c r="N473" s="1" t="n">
        <v>43.1</v>
      </c>
      <c r="O473" s="1" t="n">
        <v>40</v>
      </c>
      <c r="P473" s="1" t="n">
        <v>17</v>
      </c>
      <c r="Q473" s="1" t="n">
        <v>72.3</v>
      </c>
      <c r="R473" s="1" t="n">
        <v>83.1</v>
      </c>
      <c r="S473" s="1" t="n">
        <v>60.8</v>
      </c>
      <c r="T473" s="1" t="n">
        <v>39.2</v>
      </c>
      <c r="U473" s="1" t="n">
        <v>46.3</v>
      </c>
      <c r="V473" s="1" t="n">
        <v>59.6</v>
      </c>
      <c r="W473" s="1" t="n">
        <v>40.4</v>
      </c>
      <c r="Z473" s="1" t="s">
        <v>19</v>
      </c>
      <c r="AB473" s="1" t="n">
        <v>60</v>
      </c>
      <c r="AH473" s="1"/>
      <c r="AI473" s="3"/>
    </row>
    <row r="474" customFormat="false" ht="16.15" hidden="false" customHeight="false" outlineLevel="0" collapsed="false">
      <c r="B474" s="1" t="s">
        <v>181</v>
      </c>
      <c r="C474" s="1" t="s">
        <v>783</v>
      </c>
      <c r="D474" s="13" t="n">
        <v>0.666666666666667</v>
      </c>
      <c r="E474" s="1" t="s">
        <v>1150</v>
      </c>
      <c r="F474" s="1" t="s">
        <v>1151</v>
      </c>
      <c r="G474" s="1"/>
      <c r="H474" s="2" t="s">
        <v>1076</v>
      </c>
      <c r="I474" s="1" t="n">
        <v>27.9</v>
      </c>
      <c r="J474" s="1" t="n">
        <v>24.5</v>
      </c>
      <c r="K474" s="1" t="n">
        <v>75.5</v>
      </c>
      <c r="L474" s="1" t="n">
        <v>52.3</v>
      </c>
      <c r="M474" s="1" t="n">
        <v>72.1</v>
      </c>
      <c r="N474" s="1" t="n">
        <v>37.7</v>
      </c>
      <c r="O474" s="1" t="n">
        <v>42.6</v>
      </c>
      <c r="P474" s="1" t="n">
        <v>19.7</v>
      </c>
      <c r="Q474" s="1" t="n">
        <v>69.7</v>
      </c>
      <c r="R474" s="1" t="n">
        <v>74.8</v>
      </c>
      <c r="S474" s="1" t="n">
        <v>48.7</v>
      </c>
      <c r="T474" s="1" t="n">
        <v>51.3</v>
      </c>
      <c r="U474" s="1" t="n">
        <v>57.4</v>
      </c>
      <c r="V474" s="1" t="n">
        <v>52.9</v>
      </c>
      <c r="W474" s="1" t="n">
        <v>47.1</v>
      </c>
      <c r="AH474" s="1"/>
      <c r="AI474" s="3"/>
    </row>
    <row r="475" customFormat="false" ht="16.15" hidden="false" customHeight="false" outlineLevel="0" collapsed="false">
      <c r="B475" s="1" t="s">
        <v>181</v>
      </c>
      <c r="C475" s="1" t="s">
        <v>783</v>
      </c>
      <c r="D475" s="13" t="n">
        <v>0.666666666666667</v>
      </c>
      <c r="E475" s="1" t="s">
        <v>1152</v>
      </c>
      <c r="F475" s="1" t="s">
        <v>1153</v>
      </c>
      <c r="G475" s="1"/>
      <c r="H475" s="2" t="s">
        <v>1154</v>
      </c>
      <c r="I475" s="1" t="n">
        <v>31.6</v>
      </c>
      <c r="J475" s="1" t="n">
        <v>29.7</v>
      </c>
      <c r="K475" s="1" t="n">
        <v>70.3</v>
      </c>
      <c r="L475" s="1" t="n">
        <v>61.3</v>
      </c>
      <c r="M475" s="1" t="n">
        <v>68.4</v>
      </c>
      <c r="N475" s="1" t="n">
        <v>22.8</v>
      </c>
      <c r="O475" s="1" t="n">
        <v>51.4</v>
      </c>
      <c r="P475" s="1" t="n">
        <v>25.8</v>
      </c>
      <c r="Q475" s="1" t="n">
        <v>57.9</v>
      </c>
      <c r="R475" s="1" t="n">
        <v>65.9</v>
      </c>
      <c r="S475" s="1" t="n">
        <v>37.8</v>
      </c>
      <c r="T475" s="1" t="n">
        <v>62.2</v>
      </c>
      <c r="U475" s="1" t="n">
        <v>67.3</v>
      </c>
      <c r="V475" s="1" t="n">
        <v>45.7</v>
      </c>
      <c r="W475" s="1" t="n">
        <v>54.3</v>
      </c>
      <c r="AH475" s="1"/>
      <c r="AI475" s="3"/>
    </row>
    <row r="476" customFormat="false" ht="16.15" hidden="false" customHeight="false" outlineLevel="0" collapsed="false">
      <c r="B476" s="1" t="s">
        <v>1155</v>
      </c>
      <c r="C476" s="1" t="s">
        <v>783</v>
      </c>
      <c r="D476" s="13" t="n">
        <v>0.666666666666667</v>
      </c>
      <c r="E476" s="1" t="s">
        <v>1156</v>
      </c>
      <c r="F476" s="1" t="s">
        <v>1157</v>
      </c>
      <c r="G476" s="1"/>
      <c r="H476" s="2" t="s">
        <v>1158</v>
      </c>
      <c r="I476" s="1" t="n">
        <v>29.6</v>
      </c>
      <c r="J476" s="1" t="n">
        <v>26</v>
      </c>
      <c r="K476" s="1" t="n">
        <v>74</v>
      </c>
      <c r="L476" s="1" t="n">
        <v>55.6</v>
      </c>
      <c r="M476" s="1" t="n">
        <v>70.4</v>
      </c>
      <c r="N476" s="1" t="n">
        <v>35.4</v>
      </c>
      <c r="O476" s="1" t="n">
        <v>44.5</v>
      </c>
      <c r="P476" s="1" t="n">
        <v>20.1</v>
      </c>
      <c r="Q476" s="1" t="n">
        <v>67.1</v>
      </c>
      <c r="R476" s="1" t="n">
        <v>70.1</v>
      </c>
      <c r="S476" s="1" t="n">
        <v>42.7</v>
      </c>
      <c r="T476" s="1" t="n">
        <v>57.3</v>
      </c>
      <c r="U476" s="1" t="n">
        <v>62.9</v>
      </c>
      <c r="V476" s="1" t="n">
        <v>48.8</v>
      </c>
      <c r="W476" s="1" t="n">
        <v>51.2</v>
      </c>
      <c r="AH476" s="1"/>
      <c r="AI476" s="3"/>
    </row>
    <row r="477" customFormat="false" ht="16.15" hidden="false" customHeight="false" outlineLevel="0" collapsed="false">
      <c r="B477" s="1" t="s">
        <v>184</v>
      </c>
      <c r="C477" s="1" t="s">
        <v>783</v>
      </c>
      <c r="D477" s="13" t="n">
        <v>0.666666666666667</v>
      </c>
      <c r="E477" s="1" t="s">
        <v>1159</v>
      </c>
      <c r="F477" s="1" t="s">
        <v>1160</v>
      </c>
      <c r="G477" s="1"/>
      <c r="H477" s="2" t="s">
        <v>1161</v>
      </c>
      <c r="I477" s="1" t="n">
        <v>32.1</v>
      </c>
      <c r="J477" s="1" t="n">
        <v>44.4</v>
      </c>
      <c r="K477" s="1" t="n">
        <v>55.6</v>
      </c>
      <c r="L477" s="1" t="n">
        <v>76.6</v>
      </c>
      <c r="M477" s="1" t="n">
        <v>67.9</v>
      </c>
      <c r="N477" s="1" t="n">
        <v>17.8</v>
      </c>
      <c r="O477" s="1" t="n">
        <v>46.5</v>
      </c>
      <c r="P477" s="1" t="n">
        <v>35.7</v>
      </c>
      <c r="Q477" s="1" t="n">
        <v>64.2</v>
      </c>
      <c r="R477" s="1" t="n">
        <v>64.4</v>
      </c>
      <c r="S477" s="1" t="n">
        <v>36.2</v>
      </c>
      <c r="T477" s="1" t="n">
        <v>63.8</v>
      </c>
      <c r="U477" s="1" t="n">
        <v>69.2</v>
      </c>
      <c r="V477" s="1" t="n">
        <v>43</v>
      </c>
      <c r="W477" s="1" t="n">
        <v>57</v>
      </c>
      <c r="AH477" s="1"/>
      <c r="AI477" s="3"/>
    </row>
    <row r="478" customFormat="false" ht="16.15" hidden="false" customHeight="false" outlineLevel="0" collapsed="false">
      <c r="B478" s="1" t="s">
        <v>519</v>
      </c>
      <c r="C478" s="1" t="s">
        <v>783</v>
      </c>
      <c r="D478" s="13" t="n">
        <v>0.666666666666667</v>
      </c>
      <c r="E478" s="1" t="s">
        <v>1162</v>
      </c>
      <c r="F478" s="1" t="s">
        <v>1163</v>
      </c>
      <c r="G478" s="1"/>
      <c r="H478" s="2" t="s">
        <v>1164</v>
      </c>
      <c r="I478" s="1" t="n">
        <v>27.9</v>
      </c>
      <c r="J478" s="1" t="n">
        <v>26.7</v>
      </c>
      <c r="K478" s="1" t="n">
        <v>73.3</v>
      </c>
      <c r="L478" s="1" t="n">
        <v>54.6</v>
      </c>
      <c r="M478" s="1" t="n">
        <v>72.1</v>
      </c>
      <c r="N478" s="1" t="n">
        <v>38.3</v>
      </c>
      <c r="O478" s="1" t="n">
        <v>40.3</v>
      </c>
      <c r="P478" s="1" t="n">
        <v>21.3</v>
      </c>
      <c r="Q478" s="1" t="n">
        <v>73.4</v>
      </c>
      <c r="R478" s="1" t="n">
        <v>76.1</v>
      </c>
      <c r="S478" s="1" t="n">
        <v>50.3</v>
      </c>
      <c r="T478" s="1" t="n">
        <v>49.7</v>
      </c>
      <c r="U478" s="1" t="n">
        <v>55.6</v>
      </c>
      <c r="V478" s="1" t="n">
        <v>54.8</v>
      </c>
      <c r="W478" s="1" t="n">
        <v>45.2</v>
      </c>
      <c r="AH478" s="1"/>
      <c r="AI478" s="3"/>
    </row>
    <row r="479" customFormat="false" ht="16.15" hidden="false" customHeight="false" outlineLevel="0" collapsed="false">
      <c r="B479" s="1" t="s">
        <v>667</v>
      </c>
      <c r="C479" s="1" t="s">
        <v>783</v>
      </c>
      <c r="D479" s="13" t="n">
        <v>0.666666666666667</v>
      </c>
      <c r="E479" s="1" t="s">
        <v>1165</v>
      </c>
      <c r="F479" s="1" t="s">
        <v>1166</v>
      </c>
      <c r="G479" s="1"/>
      <c r="H479" s="2" t="s">
        <v>1167</v>
      </c>
      <c r="I479" s="1" t="n">
        <v>28.5</v>
      </c>
      <c r="J479" s="1" t="n">
        <v>20.4</v>
      </c>
      <c r="K479" s="1" t="n">
        <v>79.6</v>
      </c>
      <c r="L479" s="1" t="n">
        <v>48.8</v>
      </c>
      <c r="M479" s="1" t="n">
        <v>71.5</v>
      </c>
      <c r="N479" s="1" t="n">
        <v>32</v>
      </c>
      <c r="O479" s="1" t="n">
        <v>49.3</v>
      </c>
      <c r="P479" s="1" t="n">
        <v>18.7</v>
      </c>
      <c r="Q479" s="1" t="n">
        <v>60.1</v>
      </c>
      <c r="R479" s="1" t="n">
        <v>69.3</v>
      </c>
      <c r="S479" s="1" t="n">
        <v>41.8</v>
      </c>
      <c r="T479" s="1" t="n">
        <v>58.2</v>
      </c>
      <c r="U479" s="1" t="n">
        <v>64.6</v>
      </c>
      <c r="V479" s="1" t="n">
        <v>45.9</v>
      </c>
      <c r="W479" s="1" t="n">
        <v>54.1</v>
      </c>
      <c r="AH479" s="1"/>
      <c r="AI479" s="3"/>
    </row>
    <row r="480" customFormat="false" ht="16.15" hidden="false" customHeight="false" outlineLevel="0" collapsed="false">
      <c r="B480" s="1" t="s">
        <v>151</v>
      </c>
      <c r="C480" s="1" t="s">
        <v>783</v>
      </c>
      <c r="D480" s="13" t="n">
        <v>0.666666666666667</v>
      </c>
      <c r="E480" s="1" t="s">
        <v>1168</v>
      </c>
      <c r="F480" s="1" t="s">
        <v>1169</v>
      </c>
      <c r="G480" s="1"/>
      <c r="H480" s="2" t="s">
        <v>825</v>
      </c>
      <c r="I480" s="1" t="n">
        <v>29.4</v>
      </c>
      <c r="J480" s="1" t="n">
        <v>29.6</v>
      </c>
      <c r="K480" s="1" t="n">
        <v>70.4</v>
      </c>
      <c r="L480" s="1" t="n">
        <v>59.1</v>
      </c>
      <c r="M480" s="1" t="n">
        <v>70.6</v>
      </c>
      <c r="N480" s="1" t="s">
        <v>533</v>
      </c>
      <c r="O480" s="1" t="s">
        <v>533</v>
      </c>
      <c r="P480" s="1" t="s">
        <v>533</v>
      </c>
      <c r="Q480" s="1" t="s">
        <v>533</v>
      </c>
      <c r="R480" s="1" t="n">
        <v>72.6</v>
      </c>
      <c r="S480" s="1" t="n">
        <v>45.7</v>
      </c>
      <c r="T480" s="1" t="n">
        <v>54.3</v>
      </c>
      <c r="U480" s="1" t="n">
        <v>59.8</v>
      </c>
      <c r="V480" s="1" t="n">
        <v>51.9</v>
      </c>
      <c r="W480" s="1" t="n">
        <v>48.1</v>
      </c>
      <c r="AH480" s="1"/>
      <c r="AI480" s="3"/>
    </row>
    <row r="481" customFormat="false" ht="16.15" hidden="false" customHeight="false" outlineLevel="0" collapsed="false">
      <c r="B481" s="1" t="s">
        <v>514</v>
      </c>
      <c r="C481" s="1" t="s">
        <v>783</v>
      </c>
      <c r="D481" s="13" t="n">
        <v>0.666666666666667</v>
      </c>
      <c r="E481" s="1" t="s">
        <v>1170</v>
      </c>
      <c r="F481" s="1" t="s">
        <v>1171</v>
      </c>
      <c r="G481" s="1"/>
      <c r="H481" s="2" t="s">
        <v>1172</v>
      </c>
      <c r="I481" s="1" t="n">
        <v>32.1</v>
      </c>
      <c r="J481" s="1" t="n">
        <v>19.8</v>
      </c>
      <c r="K481" s="1" t="n">
        <v>80.2</v>
      </c>
      <c r="L481" s="1" t="n">
        <v>51.9</v>
      </c>
      <c r="M481" s="1" t="n">
        <v>67.9</v>
      </c>
      <c r="N481" s="1" t="n">
        <v>20.2</v>
      </c>
      <c r="O481" s="1" t="n">
        <v>60.1</v>
      </c>
      <c r="P481" s="1" t="n">
        <v>19.7</v>
      </c>
      <c r="Q481" s="1" t="n">
        <v>45.8</v>
      </c>
      <c r="R481" s="1" t="n">
        <v>58.2</v>
      </c>
      <c r="S481" s="1" t="n">
        <v>30</v>
      </c>
      <c r="T481" s="1" t="n">
        <v>70</v>
      </c>
      <c r="U481" s="1" t="n">
        <v>75.4</v>
      </c>
      <c r="V481" s="1" t="n">
        <v>36.3</v>
      </c>
      <c r="W481" s="1" t="n">
        <v>63.7</v>
      </c>
      <c r="AH481" s="1"/>
      <c r="AI481" s="3"/>
    </row>
    <row r="482" customFormat="false" ht="16.15" hidden="false" customHeight="false" outlineLevel="0" collapsed="false">
      <c r="B482" s="1" t="s">
        <v>476</v>
      </c>
      <c r="C482" s="1" t="s">
        <v>783</v>
      </c>
      <c r="D482" s="13" t="n">
        <v>0.666666666666667</v>
      </c>
      <c r="E482" s="1" t="s">
        <v>1173</v>
      </c>
      <c r="F482" s="1" t="s">
        <v>1174</v>
      </c>
      <c r="G482" s="1"/>
      <c r="H482" s="2" t="s">
        <v>1175</v>
      </c>
      <c r="I482" s="1" t="n">
        <v>26.7</v>
      </c>
      <c r="J482" s="1" t="n">
        <v>28.3</v>
      </c>
      <c r="K482" s="1" t="n">
        <v>71.7</v>
      </c>
      <c r="L482" s="1" t="n">
        <v>55</v>
      </c>
      <c r="M482" s="1" t="n">
        <v>73.3</v>
      </c>
      <c r="N482" s="1" t="n">
        <v>26.3</v>
      </c>
      <c r="O482" s="1" t="n">
        <v>44.5</v>
      </c>
      <c r="P482" s="1" t="n">
        <v>29.2</v>
      </c>
      <c r="Q482" s="1" t="n">
        <v>68.3</v>
      </c>
      <c r="R482" s="1" t="n">
        <v>81.2</v>
      </c>
      <c r="S482" s="1" t="n">
        <v>57.8</v>
      </c>
      <c r="T482" s="1" t="n">
        <v>42.2</v>
      </c>
      <c r="U482" s="1" t="n">
        <v>48.1</v>
      </c>
      <c r="V482" s="1" t="n">
        <v>60.9</v>
      </c>
      <c r="W482" s="1" t="n">
        <v>39.1</v>
      </c>
      <c r="AH482" s="1"/>
      <c r="AI482" s="3"/>
    </row>
    <row r="483" customFormat="false" ht="16.15" hidden="false" customHeight="false" outlineLevel="0" collapsed="false">
      <c r="B483" s="1" t="s">
        <v>524</v>
      </c>
      <c r="C483" s="1" t="s">
        <v>783</v>
      </c>
      <c r="D483" s="13" t="n">
        <v>0.677083333333333</v>
      </c>
      <c r="E483" s="1" t="s">
        <v>1176</v>
      </c>
      <c r="F483" s="1" t="s">
        <v>1177</v>
      </c>
      <c r="G483" s="1"/>
      <c r="H483" s="2" t="s">
        <v>1178</v>
      </c>
      <c r="I483" s="1" t="n">
        <v>25.4</v>
      </c>
      <c r="J483" s="1" t="n">
        <v>33.1</v>
      </c>
      <c r="K483" s="1" t="n">
        <v>66.9</v>
      </c>
      <c r="L483" s="1" t="n">
        <v>58.4</v>
      </c>
      <c r="M483" s="1" t="n">
        <v>74.6</v>
      </c>
      <c r="N483" s="1" t="n">
        <v>29.8</v>
      </c>
      <c r="O483" s="1" t="n">
        <v>38.4</v>
      </c>
      <c r="P483" s="1" t="n">
        <v>31.8</v>
      </c>
      <c r="Q483" s="1" t="n">
        <v>77.9</v>
      </c>
      <c r="R483" s="1" t="n">
        <v>90</v>
      </c>
      <c r="S483" s="1" t="n">
        <v>73</v>
      </c>
      <c r="T483" s="1" t="n">
        <v>27</v>
      </c>
      <c r="U483" s="1" t="n">
        <v>32.2</v>
      </c>
      <c r="V483" s="1" t="n">
        <v>73.3</v>
      </c>
      <c r="W483" s="1" t="n">
        <v>26.7</v>
      </c>
      <c r="AH483" s="1"/>
      <c r="AI483" s="3"/>
    </row>
    <row r="484" customFormat="false" ht="16.15" hidden="false" customHeight="false" outlineLevel="0" collapsed="false">
      <c r="B484" s="1" t="s">
        <v>172</v>
      </c>
      <c r="C484" s="1" t="s">
        <v>783</v>
      </c>
      <c r="D484" s="13" t="n">
        <v>0.708333333333333</v>
      </c>
      <c r="E484" s="1" t="s">
        <v>1179</v>
      </c>
      <c r="F484" s="1" t="s">
        <v>1180</v>
      </c>
      <c r="G484" s="1"/>
      <c r="H484" s="2" t="s">
        <v>1181</v>
      </c>
      <c r="I484" s="1" t="n">
        <v>29.6</v>
      </c>
      <c r="J484" s="1" t="n">
        <v>14.3</v>
      </c>
      <c r="K484" s="1" t="n">
        <v>85.7</v>
      </c>
      <c r="L484" s="1" t="n">
        <v>43.9</v>
      </c>
      <c r="M484" s="1" t="n">
        <v>70.4</v>
      </c>
      <c r="N484" s="1" t="n">
        <v>35.1</v>
      </c>
      <c r="O484" s="1" t="n">
        <v>49.2</v>
      </c>
      <c r="P484" s="1" t="n">
        <v>15.7</v>
      </c>
      <c r="Q484" s="1" t="n">
        <v>59.4</v>
      </c>
      <c r="R484" s="1" t="n">
        <v>58.7</v>
      </c>
      <c r="S484" s="1" t="n">
        <v>30.5</v>
      </c>
      <c r="T484" s="1" t="n">
        <v>69.5</v>
      </c>
      <c r="U484" s="1" t="n">
        <v>76.2</v>
      </c>
      <c r="V484" s="1" t="n">
        <v>33</v>
      </c>
      <c r="W484" s="1" t="n">
        <v>67</v>
      </c>
      <c r="AH484" s="1"/>
      <c r="AI484" s="3"/>
    </row>
    <row r="485" customFormat="false" ht="16.15" hidden="false" customHeight="false" outlineLevel="0" collapsed="false">
      <c r="B485" s="1" t="s">
        <v>209</v>
      </c>
      <c r="C485" s="1" t="s">
        <v>783</v>
      </c>
      <c r="D485" s="13" t="n">
        <v>0.708333333333333</v>
      </c>
      <c r="E485" s="1" t="s">
        <v>1182</v>
      </c>
      <c r="F485" s="1" t="s">
        <v>1183</v>
      </c>
      <c r="G485" s="1"/>
      <c r="H485" s="2" t="s">
        <v>1184</v>
      </c>
      <c r="I485" s="1" t="n">
        <v>34.1</v>
      </c>
      <c r="J485" s="1" t="n">
        <v>35.9</v>
      </c>
      <c r="K485" s="1" t="n">
        <v>64.1</v>
      </c>
      <c r="L485" s="1" t="n">
        <v>70</v>
      </c>
      <c r="M485" s="1" t="n">
        <v>65.9</v>
      </c>
      <c r="N485" s="1" t="n">
        <v>19.3</v>
      </c>
      <c r="O485" s="1" t="n">
        <v>55.1</v>
      </c>
      <c r="P485" s="1" t="n">
        <v>25.5</v>
      </c>
      <c r="Q485" s="1" t="n">
        <v>52.4</v>
      </c>
      <c r="R485" s="1" t="n">
        <v>59.7</v>
      </c>
      <c r="S485" s="1" t="n">
        <v>31.3</v>
      </c>
      <c r="T485" s="1" t="n">
        <v>68.7</v>
      </c>
      <c r="U485" s="1" t="n">
        <v>73.2</v>
      </c>
      <c r="V485" s="1" t="n">
        <v>40.3</v>
      </c>
      <c r="W485" s="1" t="n">
        <v>59.7</v>
      </c>
      <c r="AH485" s="1"/>
      <c r="AI485" s="3"/>
    </row>
    <row r="486" customFormat="false" ht="16.15" hidden="false" customHeight="false" outlineLevel="0" collapsed="false">
      <c r="B486" s="1" t="s">
        <v>1155</v>
      </c>
      <c r="C486" s="1" t="s">
        <v>783</v>
      </c>
      <c r="D486" s="13" t="n">
        <v>0.708333333333333</v>
      </c>
      <c r="E486" s="1" t="s">
        <v>1185</v>
      </c>
      <c r="F486" s="1" t="s">
        <v>1186</v>
      </c>
      <c r="G486" s="1"/>
      <c r="H486" s="2" t="s">
        <v>1187</v>
      </c>
      <c r="I486" s="1" t="n">
        <v>31.4</v>
      </c>
      <c r="J486" s="1" t="n">
        <v>22.4</v>
      </c>
      <c r="K486" s="1" t="n">
        <v>77.6</v>
      </c>
      <c r="L486" s="1" t="n">
        <v>53.9</v>
      </c>
      <c r="M486" s="1" t="n">
        <v>68.6</v>
      </c>
      <c r="N486" s="1" t="n">
        <v>26</v>
      </c>
      <c r="O486" s="1" t="n">
        <v>52</v>
      </c>
      <c r="P486" s="1" t="n">
        <v>22.1</v>
      </c>
      <c r="Q486" s="1" t="n">
        <v>57</v>
      </c>
      <c r="R486" s="1" t="n">
        <v>62.3</v>
      </c>
      <c r="S486" s="1" t="n">
        <v>34</v>
      </c>
      <c r="T486" s="1" t="n">
        <v>66</v>
      </c>
      <c r="U486" s="1" t="n">
        <v>71.4</v>
      </c>
      <c r="V486" s="1" t="n">
        <v>40.7</v>
      </c>
      <c r="W486" s="1" t="n">
        <v>59.3</v>
      </c>
      <c r="AH486" s="1"/>
      <c r="AI486" s="3"/>
    </row>
    <row r="487" customFormat="false" ht="16.15" hidden="true" customHeight="false" outlineLevel="0" collapsed="false">
      <c r="B487" s="1" t="s">
        <v>192</v>
      </c>
      <c r="C487" s="1" t="s">
        <v>783</v>
      </c>
      <c r="D487" s="13" t="n">
        <v>0.708333333333333</v>
      </c>
      <c r="E487" s="1" t="s">
        <v>1188</v>
      </c>
      <c r="F487" s="1" t="s">
        <v>1189</v>
      </c>
      <c r="G487" s="1"/>
      <c r="H487" s="2" t="s">
        <v>1190</v>
      </c>
      <c r="I487" s="1" t="n">
        <v>29.3</v>
      </c>
      <c r="J487" s="1" t="n">
        <v>37.5</v>
      </c>
      <c r="K487" s="1" t="n">
        <v>62.5</v>
      </c>
      <c r="L487" s="1" t="n">
        <v>66.8</v>
      </c>
      <c r="M487" s="1" t="n">
        <v>70.7</v>
      </c>
      <c r="N487" s="1" t="n">
        <v>17.4</v>
      </c>
      <c r="O487" s="1" t="n">
        <v>46.7</v>
      </c>
      <c r="P487" s="1" t="n">
        <v>35.8</v>
      </c>
      <c r="Q487" s="1" t="n">
        <v>63.8</v>
      </c>
      <c r="R487" s="1" t="n">
        <v>74.8</v>
      </c>
      <c r="S487" s="1" t="n">
        <v>48.5</v>
      </c>
      <c r="T487" s="1" t="n">
        <v>51.5</v>
      </c>
      <c r="U487" s="1" t="n">
        <v>56.9</v>
      </c>
      <c r="V487" s="1" t="n">
        <v>54.5</v>
      </c>
      <c r="W487" s="1" t="n">
        <v>45.5</v>
      </c>
      <c r="Z487" s="1" t="s">
        <v>54</v>
      </c>
      <c r="AH487" s="1"/>
      <c r="AI487" s="3"/>
    </row>
    <row r="488" customFormat="false" ht="16.15" hidden="false" customHeight="false" outlineLevel="0" collapsed="false">
      <c r="B488" s="1" t="s">
        <v>1191</v>
      </c>
      <c r="C488" s="1" t="s">
        <v>783</v>
      </c>
      <c r="D488" s="13" t="n">
        <v>0.708333333333333</v>
      </c>
      <c r="E488" s="1" t="s">
        <v>1192</v>
      </c>
      <c r="F488" s="1" t="s">
        <v>1193</v>
      </c>
      <c r="G488" s="1"/>
      <c r="H488" s="2" t="s">
        <v>1194</v>
      </c>
      <c r="I488" s="1" t="n">
        <v>27.7</v>
      </c>
      <c r="J488" s="1" t="n">
        <v>28.7</v>
      </c>
      <c r="K488" s="1" t="n">
        <v>71.3</v>
      </c>
      <c r="L488" s="1" t="n">
        <v>56.4</v>
      </c>
      <c r="M488" s="1" t="n">
        <v>72.3</v>
      </c>
      <c r="N488" s="1" t="n">
        <v>39.1</v>
      </c>
      <c r="O488" s="1" t="n">
        <v>43</v>
      </c>
      <c r="P488" s="1" t="n">
        <v>17.9</v>
      </c>
      <c r="Q488" s="1" t="n">
        <v>68.6</v>
      </c>
      <c r="R488" s="1" t="n">
        <v>78.1</v>
      </c>
      <c r="S488" s="1" t="n">
        <v>53.1</v>
      </c>
      <c r="T488" s="1" t="n">
        <v>46.9</v>
      </c>
      <c r="U488" s="1" t="n">
        <v>52.7</v>
      </c>
      <c r="V488" s="1" t="n">
        <v>57.4</v>
      </c>
      <c r="W488" s="1" t="n">
        <v>42.6</v>
      </c>
      <c r="AH488" s="1"/>
      <c r="AI488" s="3"/>
    </row>
    <row r="489" customFormat="false" ht="16.15" hidden="false" customHeight="false" outlineLevel="0" collapsed="false">
      <c r="B489" s="1" t="s">
        <v>1191</v>
      </c>
      <c r="C489" s="1" t="s">
        <v>783</v>
      </c>
      <c r="D489" s="13" t="n">
        <v>0.708333333333333</v>
      </c>
      <c r="E489" s="1" t="s">
        <v>1195</v>
      </c>
      <c r="F489" s="1" t="s">
        <v>1196</v>
      </c>
      <c r="G489" s="1"/>
      <c r="H489" s="2" t="s">
        <v>1138</v>
      </c>
      <c r="I489" s="1" t="n">
        <v>31.4</v>
      </c>
      <c r="J489" s="1" t="n">
        <v>33.1</v>
      </c>
      <c r="K489" s="1" t="n">
        <v>66.9</v>
      </c>
      <c r="L489" s="1" t="n">
        <v>64.6</v>
      </c>
      <c r="M489" s="1" t="n">
        <v>68.6</v>
      </c>
      <c r="N489" s="1" t="n">
        <v>24.5</v>
      </c>
      <c r="O489" s="1" t="n">
        <v>49.5</v>
      </c>
      <c r="P489" s="1" t="n">
        <v>26</v>
      </c>
      <c r="Q489" s="1" t="n">
        <v>60.7</v>
      </c>
      <c r="R489" s="1" t="n">
        <v>67.5</v>
      </c>
      <c r="S489" s="1" t="n">
        <v>39.5</v>
      </c>
      <c r="T489" s="1" t="n">
        <v>60.5</v>
      </c>
      <c r="U489" s="1" t="n">
        <v>65.5</v>
      </c>
      <c r="V489" s="1" t="n">
        <v>47.4</v>
      </c>
      <c r="W489" s="1" t="n">
        <v>52.6</v>
      </c>
      <c r="AH489" s="1"/>
      <c r="AI489" s="3"/>
    </row>
    <row r="490" customFormat="false" ht="16.15" hidden="false" customHeight="false" outlineLevel="0" collapsed="false">
      <c r="B490" s="1" t="s">
        <v>1191</v>
      </c>
      <c r="C490" s="1" t="s">
        <v>783</v>
      </c>
      <c r="D490" s="13" t="n">
        <v>0.708333333333333</v>
      </c>
      <c r="E490" s="1" t="s">
        <v>1197</v>
      </c>
      <c r="F490" s="1" t="s">
        <v>1198</v>
      </c>
      <c r="G490" s="1"/>
      <c r="H490" s="2" t="s">
        <v>861</v>
      </c>
      <c r="I490" s="1" t="n">
        <v>30.6</v>
      </c>
      <c r="J490" s="1" t="n">
        <v>35.5</v>
      </c>
      <c r="K490" s="1" t="n">
        <v>64.5</v>
      </c>
      <c r="L490" s="1" t="n">
        <v>66.1</v>
      </c>
      <c r="M490" s="1" t="n">
        <v>69.4</v>
      </c>
      <c r="N490" s="1" t="n">
        <v>21.2</v>
      </c>
      <c r="O490" s="1" t="n">
        <v>44.7</v>
      </c>
      <c r="P490" s="1" t="n">
        <v>34.1</v>
      </c>
      <c r="Q490" s="1" t="n">
        <v>67.5</v>
      </c>
      <c r="R490" s="1" t="n">
        <v>70.6</v>
      </c>
      <c r="S490" s="1" t="n">
        <v>43.2</v>
      </c>
      <c r="T490" s="1" t="n">
        <v>56.8</v>
      </c>
      <c r="U490" s="1" t="n">
        <v>62</v>
      </c>
      <c r="V490" s="1" t="n">
        <v>50.4</v>
      </c>
      <c r="W490" s="1" t="n">
        <v>49.6</v>
      </c>
      <c r="AH490" s="1"/>
      <c r="AI490" s="3"/>
    </row>
    <row r="491" customFormat="false" ht="16.15" hidden="false" customHeight="false" outlineLevel="0" collapsed="false">
      <c r="B491" s="1" t="s">
        <v>1191</v>
      </c>
      <c r="C491" s="1" t="s">
        <v>783</v>
      </c>
      <c r="D491" s="13" t="n">
        <v>0.708333333333333</v>
      </c>
      <c r="E491" s="1" t="s">
        <v>1199</v>
      </c>
      <c r="F491" s="1" t="s">
        <v>1200</v>
      </c>
      <c r="G491" s="1"/>
      <c r="H491" s="2" t="s">
        <v>1201</v>
      </c>
      <c r="I491" s="1" t="n">
        <v>25.8</v>
      </c>
      <c r="J491" s="1" t="n">
        <v>14.5</v>
      </c>
      <c r="K491" s="1" t="n">
        <v>85.5</v>
      </c>
      <c r="L491" s="1" t="n">
        <v>40.3</v>
      </c>
      <c r="M491" s="1" t="n">
        <v>74.2</v>
      </c>
      <c r="N491" s="1" t="n">
        <v>34.2</v>
      </c>
      <c r="O491" s="1" t="n">
        <v>49.8</v>
      </c>
      <c r="P491" s="1" t="n">
        <v>16</v>
      </c>
      <c r="Q491" s="1" t="n">
        <v>58.8</v>
      </c>
      <c r="R491" s="1" t="n">
        <v>70.4</v>
      </c>
      <c r="S491" s="1" t="n">
        <v>43.2</v>
      </c>
      <c r="T491" s="1" t="n">
        <v>56.8</v>
      </c>
      <c r="U491" s="1" t="n">
        <v>64.7</v>
      </c>
      <c r="V491" s="1" t="n">
        <v>42.7</v>
      </c>
      <c r="W491" s="1" t="n">
        <v>57.3</v>
      </c>
      <c r="AH491" s="1"/>
      <c r="AI491" s="3"/>
    </row>
    <row r="492" customFormat="false" ht="16.15" hidden="false" customHeight="false" outlineLevel="0" collapsed="false">
      <c r="B492" s="1" t="s">
        <v>1191</v>
      </c>
      <c r="C492" s="1" t="s">
        <v>783</v>
      </c>
      <c r="D492" s="13" t="n">
        <v>0.708333333333333</v>
      </c>
      <c r="E492" s="1" t="s">
        <v>1202</v>
      </c>
      <c r="F492" s="1" t="s">
        <v>1203</v>
      </c>
      <c r="G492" s="1"/>
      <c r="H492" s="2" t="s">
        <v>1204</v>
      </c>
      <c r="I492" s="1" t="n">
        <v>29.7</v>
      </c>
      <c r="J492" s="1" t="n">
        <v>43.3</v>
      </c>
      <c r="K492" s="1" t="n">
        <v>56.7</v>
      </c>
      <c r="L492" s="1" t="n">
        <v>73</v>
      </c>
      <c r="M492" s="1" t="n">
        <v>70.3</v>
      </c>
      <c r="N492" s="1" t="n">
        <v>27.9</v>
      </c>
      <c r="O492" s="1" t="n">
        <v>44.5</v>
      </c>
      <c r="P492" s="1" t="n">
        <v>27.6</v>
      </c>
      <c r="Q492" s="1" t="n">
        <v>68.2</v>
      </c>
      <c r="R492" s="1" t="n">
        <v>73</v>
      </c>
      <c r="S492" s="1" t="n">
        <v>46.2</v>
      </c>
      <c r="T492" s="1" t="n">
        <v>53.8</v>
      </c>
      <c r="U492" s="1" t="n">
        <v>59.5</v>
      </c>
      <c r="V492" s="1" t="n">
        <v>51.9</v>
      </c>
      <c r="W492" s="1" t="n">
        <v>48.1</v>
      </c>
      <c r="AH492" s="1"/>
      <c r="AI492" s="3"/>
    </row>
    <row r="493" customFormat="false" ht="16.15" hidden="false" customHeight="false" outlineLevel="0" collapsed="false">
      <c r="B493" s="1" t="s">
        <v>1191</v>
      </c>
      <c r="C493" s="1" t="s">
        <v>783</v>
      </c>
      <c r="D493" s="13" t="n">
        <v>0.708333333333333</v>
      </c>
      <c r="E493" s="1" t="s">
        <v>1205</v>
      </c>
      <c r="F493" s="1" t="s">
        <v>1206</v>
      </c>
      <c r="G493" s="1"/>
      <c r="H493" s="2" t="s">
        <v>1207</v>
      </c>
      <c r="I493" s="1" t="n">
        <v>28.3</v>
      </c>
      <c r="J493" s="1" t="n">
        <v>30.2</v>
      </c>
      <c r="K493" s="1" t="n">
        <v>69.8</v>
      </c>
      <c r="L493" s="1" t="n">
        <v>58.5</v>
      </c>
      <c r="M493" s="1" t="n">
        <v>71.7</v>
      </c>
      <c r="N493" s="1" t="n">
        <v>37.2</v>
      </c>
      <c r="O493" s="1" t="n">
        <v>39.6</v>
      </c>
      <c r="P493" s="1" t="n">
        <v>23.2</v>
      </c>
      <c r="Q493" s="1" t="n">
        <v>75</v>
      </c>
      <c r="R493" s="1" t="n">
        <v>76.6</v>
      </c>
      <c r="S493" s="1" t="n">
        <v>50.9</v>
      </c>
      <c r="T493" s="1" t="n">
        <v>49.1</v>
      </c>
      <c r="U493" s="1" t="n">
        <v>54.7</v>
      </c>
      <c r="V493" s="1" t="n">
        <v>56.1</v>
      </c>
      <c r="W493" s="1" t="n">
        <v>43.9</v>
      </c>
      <c r="AH493" s="1"/>
      <c r="AI493" s="3"/>
    </row>
    <row r="494" customFormat="false" ht="16.15" hidden="false" customHeight="false" outlineLevel="0" collapsed="false">
      <c r="B494" s="1" t="s">
        <v>1191</v>
      </c>
      <c r="C494" s="1" t="s">
        <v>783</v>
      </c>
      <c r="D494" s="13" t="n">
        <v>0.708333333333333</v>
      </c>
      <c r="E494" s="1" t="s">
        <v>1208</v>
      </c>
      <c r="F494" s="1" t="s">
        <v>1209</v>
      </c>
      <c r="G494" s="1"/>
      <c r="H494" s="2" t="s">
        <v>1210</v>
      </c>
      <c r="I494" s="1" t="n">
        <v>31</v>
      </c>
      <c r="J494" s="1" t="n">
        <v>34.6</v>
      </c>
      <c r="K494" s="1" t="n">
        <v>65.4</v>
      </c>
      <c r="L494" s="1" t="n">
        <v>65.6</v>
      </c>
      <c r="M494" s="1" t="n">
        <v>69</v>
      </c>
      <c r="N494" s="1" t="n">
        <v>21.4</v>
      </c>
      <c r="O494" s="1" t="n">
        <v>45.8</v>
      </c>
      <c r="P494" s="1" t="n">
        <v>32.8</v>
      </c>
      <c r="Q494" s="1" t="n">
        <v>65.9</v>
      </c>
      <c r="R494" s="1" t="n">
        <v>69.1</v>
      </c>
      <c r="S494" s="1" t="n">
        <v>41.4</v>
      </c>
      <c r="T494" s="1" t="n">
        <v>58.6</v>
      </c>
      <c r="U494" s="1" t="n">
        <v>63.8</v>
      </c>
      <c r="V494" s="1" t="n">
        <v>48.9</v>
      </c>
      <c r="W494" s="1" t="n">
        <v>51.1</v>
      </c>
      <c r="AH494" s="1"/>
      <c r="AI494" s="3"/>
    </row>
    <row r="495" customFormat="false" ht="16.15" hidden="false" customHeight="false" outlineLevel="0" collapsed="false">
      <c r="B495" s="1" t="s">
        <v>167</v>
      </c>
      <c r="C495" s="1" t="s">
        <v>783</v>
      </c>
      <c r="D495" s="13" t="n">
        <v>0.729166666666667</v>
      </c>
      <c r="E495" s="1" t="s">
        <v>1211</v>
      </c>
      <c r="F495" s="1" t="s">
        <v>1212</v>
      </c>
      <c r="G495" s="1"/>
      <c r="H495" s="2" t="s">
        <v>1213</v>
      </c>
      <c r="I495" s="1" t="n">
        <v>30.5</v>
      </c>
      <c r="J495" s="1" t="n">
        <v>34.7</v>
      </c>
      <c r="K495" s="1" t="n">
        <v>65.3</v>
      </c>
      <c r="L495" s="1" t="n">
        <v>65.2</v>
      </c>
      <c r="M495" s="1" t="n">
        <v>69.5</v>
      </c>
      <c r="N495" s="1" t="n">
        <v>25.1</v>
      </c>
      <c r="O495" s="1" t="n">
        <v>47.5</v>
      </c>
      <c r="P495" s="1" t="n">
        <v>27.3</v>
      </c>
      <c r="Q495" s="1" t="n">
        <v>63.6</v>
      </c>
      <c r="R495" s="1" t="n">
        <v>70.7</v>
      </c>
      <c r="S495" s="1" t="n">
        <v>43.4</v>
      </c>
      <c r="T495" s="1" t="n">
        <v>56.6</v>
      </c>
      <c r="U495" s="1" t="n">
        <v>61.9</v>
      </c>
      <c r="V495" s="1" t="n">
        <v>50.5</v>
      </c>
      <c r="W495" s="1" t="n">
        <v>49.5</v>
      </c>
      <c r="AH495" s="1"/>
      <c r="AI495" s="3"/>
    </row>
    <row r="496" customFormat="false" ht="16.15" hidden="false" customHeight="false" outlineLevel="0" collapsed="false">
      <c r="B496" s="1" t="s">
        <v>654</v>
      </c>
      <c r="C496" s="1" t="s">
        <v>783</v>
      </c>
      <c r="D496" s="13" t="n">
        <v>0.729166666666667</v>
      </c>
      <c r="E496" s="1" t="s">
        <v>711</v>
      </c>
      <c r="F496" s="1" t="s">
        <v>712</v>
      </c>
      <c r="G496" s="1"/>
      <c r="H496" s="2" t="s">
        <v>1015</v>
      </c>
      <c r="I496" s="1" t="n">
        <v>27.6</v>
      </c>
      <c r="J496" s="1" t="n">
        <v>32.5</v>
      </c>
      <c r="K496" s="1" t="n">
        <v>67.5</v>
      </c>
      <c r="L496" s="1" t="n">
        <v>60</v>
      </c>
      <c r="M496" s="1" t="n">
        <v>72.4</v>
      </c>
      <c r="N496" s="1" t="n">
        <v>42.2</v>
      </c>
      <c r="O496" s="1" t="n">
        <v>37.1</v>
      </c>
      <c r="P496" s="1" t="n">
        <v>20.7</v>
      </c>
      <c r="Q496" s="1" t="n">
        <v>77.8</v>
      </c>
      <c r="R496" s="1" t="n">
        <v>79.9</v>
      </c>
      <c r="S496" s="1" t="n">
        <v>55.7</v>
      </c>
      <c r="T496" s="1" t="n">
        <v>44.3</v>
      </c>
      <c r="U496" s="1" t="n">
        <v>49.9</v>
      </c>
      <c r="V496" s="1" t="n">
        <v>60</v>
      </c>
      <c r="W496" s="1" t="n">
        <v>40</v>
      </c>
      <c r="AH496" s="1"/>
      <c r="AI496" s="3"/>
    </row>
    <row r="497" customFormat="false" ht="16.15" hidden="false" customHeight="false" outlineLevel="0" collapsed="false">
      <c r="B497" s="1" t="s">
        <v>161</v>
      </c>
      <c r="C497" s="1" t="s">
        <v>783</v>
      </c>
      <c r="D497" s="13" t="n">
        <v>0.729166666666667</v>
      </c>
      <c r="E497" s="1" t="s">
        <v>1214</v>
      </c>
      <c r="F497" s="1" t="s">
        <v>1215</v>
      </c>
      <c r="G497" s="1"/>
      <c r="H497" s="2" t="s">
        <v>1216</v>
      </c>
      <c r="I497" s="1" t="n">
        <v>28.6</v>
      </c>
      <c r="J497" s="1" t="n">
        <v>28.1</v>
      </c>
      <c r="K497" s="1" t="n">
        <v>71.9</v>
      </c>
      <c r="L497" s="1" t="n">
        <v>56.7</v>
      </c>
      <c r="M497" s="1" t="n">
        <v>71.4</v>
      </c>
      <c r="N497" s="1" t="n">
        <v>26.3</v>
      </c>
      <c r="O497" s="1" t="n">
        <v>48.4</v>
      </c>
      <c r="P497" s="1" t="n">
        <v>25.2</v>
      </c>
      <c r="Q497" s="1" t="n">
        <v>62.3</v>
      </c>
      <c r="R497" s="1" t="n">
        <v>74.7</v>
      </c>
      <c r="S497" s="1" t="n">
        <v>48.4</v>
      </c>
      <c r="T497" s="1" t="n">
        <v>51.6</v>
      </c>
      <c r="U497" s="1" t="n">
        <v>57.3</v>
      </c>
      <c r="V497" s="1" t="n">
        <v>53.7</v>
      </c>
      <c r="W497" s="1" t="n">
        <v>46.3</v>
      </c>
      <c r="AH497" s="1"/>
      <c r="AI497" s="3"/>
    </row>
    <row r="498" customFormat="false" ht="16.15" hidden="false" customHeight="false" outlineLevel="0" collapsed="false">
      <c r="B498" s="1" t="s">
        <v>1191</v>
      </c>
      <c r="C498" s="1" t="s">
        <v>783</v>
      </c>
      <c r="D498" s="13" t="n">
        <v>0.729166666666667</v>
      </c>
      <c r="E498" s="1" t="s">
        <v>1200</v>
      </c>
      <c r="F498" s="1" t="s">
        <v>1193</v>
      </c>
      <c r="G498" s="1"/>
      <c r="H498" s="2" t="s">
        <v>1217</v>
      </c>
      <c r="I498" s="1" t="n">
        <v>29.8</v>
      </c>
      <c r="J498" s="1" t="n">
        <v>33.2</v>
      </c>
      <c r="K498" s="1" t="n">
        <v>66.8</v>
      </c>
      <c r="L498" s="1" t="n">
        <v>62.9</v>
      </c>
      <c r="M498" s="1" t="n">
        <v>70.2</v>
      </c>
      <c r="N498" s="1" t="n">
        <v>36.3</v>
      </c>
      <c r="O498" s="1" t="n">
        <v>46.2</v>
      </c>
      <c r="P498" s="1" t="n">
        <v>17.5</v>
      </c>
      <c r="Q498" s="1" t="n">
        <v>64</v>
      </c>
      <c r="R498" s="1" t="n">
        <v>72.7</v>
      </c>
      <c r="S498" s="1" t="n">
        <v>45.9</v>
      </c>
      <c r="T498" s="1" t="n">
        <v>54.1</v>
      </c>
      <c r="U498" s="1" t="n">
        <v>59.5</v>
      </c>
      <c r="V498" s="1" t="n">
        <v>52.4</v>
      </c>
      <c r="W498" s="1" t="n">
        <v>47.6</v>
      </c>
      <c r="AH498" s="1"/>
      <c r="AI498" s="3"/>
    </row>
    <row r="499" customFormat="false" ht="16.15" hidden="false" customHeight="false" outlineLevel="0" collapsed="false">
      <c r="B499" s="1" t="s">
        <v>209</v>
      </c>
      <c r="C499" s="1" t="s">
        <v>783</v>
      </c>
      <c r="D499" s="13" t="n">
        <v>0.75</v>
      </c>
      <c r="E499" s="1" t="s">
        <v>1218</v>
      </c>
      <c r="F499" s="1" t="s">
        <v>1219</v>
      </c>
      <c r="G499" s="1"/>
      <c r="H499" s="2" t="s">
        <v>1220</v>
      </c>
      <c r="I499" s="1" t="n">
        <v>31.5</v>
      </c>
      <c r="J499" s="1" t="n">
        <v>21.6</v>
      </c>
      <c r="K499" s="1" t="n">
        <v>78.4</v>
      </c>
      <c r="L499" s="1" t="n">
        <v>53.1</v>
      </c>
      <c r="M499" s="1" t="n">
        <v>68.5</v>
      </c>
      <c r="N499" s="1" t="n">
        <v>42.4</v>
      </c>
      <c r="O499" s="1" t="n">
        <v>43.6</v>
      </c>
      <c r="P499" s="1" t="n">
        <v>14</v>
      </c>
      <c r="Q499" s="1" t="n">
        <v>66.1</v>
      </c>
      <c r="R499" s="1" t="n">
        <v>61.5</v>
      </c>
      <c r="S499" s="1" t="n">
        <v>33.2</v>
      </c>
      <c r="T499" s="1" t="n">
        <v>66.8</v>
      </c>
      <c r="U499" s="1" t="n">
        <v>72.3</v>
      </c>
      <c r="V499" s="1" t="n">
        <v>39.7</v>
      </c>
      <c r="W499" s="1" t="n">
        <v>60.3</v>
      </c>
      <c r="AH499" s="1"/>
      <c r="AI499" s="3"/>
    </row>
    <row r="500" customFormat="false" ht="16.15" hidden="false" customHeight="false" outlineLevel="0" collapsed="false">
      <c r="B500" s="1" t="s">
        <v>181</v>
      </c>
      <c r="C500" s="1" t="s">
        <v>783</v>
      </c>
      <c r="D500" s="13" t="n">
        <v>0.75</v>
      </c>
      <c r="E500" s="1" t="s">
        <v>1221</v>
      </c>
      <c r="F500" s="1" t="s">
        <v>1222</v>
      </c>
      <c r="G500" s="1"/>
      <c r="H500" s="2" t="s">
        <v>1223</v>
      </c>
      <c r="I500" s="1" t="n">
        <v>31</v>
      </c>
      <c r="J500" s="1" t="n">
        <v>30.8</v>
      </c>
      <c r="K500" s="1" t="n">
        <v>69.2</v>
      </c>
      <c r="L500" s="1" t="n">
        <v>61.7</v>
      </c>
      <c r="M500" s="1" t="n">
        <v>69</v>
      </c>
      <c r="N500" s="1" t="n">
        <v>32.6</v>
      </c>
      <c r="O500" s="1" t="n">
        <v>45.2</v>
      </c>
      <c r="P500" s="1" t="n">
        <v>22.1</v>
      </c>
      <c r="Q500" s="1" t="n">
        <v>66.5</v>
      </c>
      <c r="R500" s="1" t="n">
        <v>68.2</v>
      </c>
      <c r="S500" s="1" t="n">
        <v>40.4</v>
      </c>
      <c r="T500" s="1" t="n">
        <v>59.6</v>
      </c>
      <c r="U500" s="1" t="n">
        <v>64.8</v>
      </c>
      <c r="V500" s="1" t="n">
        <v>47.9</v>
      </c>
      <c r="W500" s="1" t="n">
        <v>52.1</v>
      </c>
      <c r="AH500" s="1"/>
      <c r="AI500" s="3"/>
    </row>
    <row r="501" customFormat="false" ht="16.15" hidden="false" customHeight="false" outlineLevel="0" collapsed="false">
      <c r="B501" s="1" t="s">
        <v>175</v>
      </c>
      <c r="C501" s="1" t="s">
        <v>783</v>
      </c>
      <c r="D501" s="13" t="n">
        <v>0.75</v>
      </c>
      <c r="E501" s="1" t="s">
        <v>1224</v>
      </c>
      <c r="F501" s="1" t="s">
        <v>1225</v>
      </c>
      <c r="G501" s="1"/>
      <c r="H501" s="2" t="s">
        <v>1226</v>
      </c>
      <c r="I501" s="1" t="n">
        <v>29.6</v>
      </c>
      <c r="J501" s="1" t="n">
        <v>29.7</v>
      </c>
      <c r="K501" s="1" t="n">
        <v>70.3</v>
      </c>
      <c r="L501" s="1" t="n">
        <v>59.3</v>
      </c>
      <c r="M501" s="1" t="n">
        <v>70.4</v>
      </c>
      <c r="N501" s="1" t="n">
        <v>29.7</v>
      </c>
      <c r="O501" s="1" t="n">
        <v>50.3</v>
      </c>
      <c r="P501" s="1" t="n">
        <v>20</v>
      </c>
      <c r="Q501" s="1" t="n">
        <v>59</v>
      </c>
      <c r="R501" s="1" t="n">
        <v>72.2</v>
      </c>
      <c r="S501" s="1" t="n">
        <v>45.2</v>
      </c>
      <c r="T501" s="1" t="n">
        <v>54.8</v>
      </c>
      <c r="U501" s="1" t="n">
        <v>60.3</v>
      </c>
      <c r="V501" s="1" t="n">
        <v>51.5</v>
      </c>
      <c r="W501" s="1" t="n">
        <v>48.5</v>
      </c>
      <c r="AH501" s="1"/>
      <c r="AI501" s="3"/>
    </row>
    <row r="502" customFormat="false" ht="16.15" hidden="false" customHeight="false" outlineLevel="0" collapsed="false">
      <c r="B502" s="1" t="s">
        <v>222</v>
      </c>
      <c r="C502" s="1" t="s">
        <v>783</v>
      </c>
      <c r="D502" s="13" t="n">
        <v>0.75</v>
      </c>
      <c r="E502" s="1" t="s">
        <v>1227</v>
      </c>
      <c r="F502" s="1" t="s">
        <v>1228</v>
      </c>
      <c r="G502" s="1"/>
      <c r="H502" s="2" t="s">
        <v>1141</v>
      </c>
      <c r="I502" s="1" t="n">
        <v>32</v>
      </c>
      <c r="J502" s="1" t="n">
        <v>28.4</v>
      </c>
      <c r="K502" s="1" t="n">
        <v>71.6</v>
      </c>
      <c r="L502" s="1" t="n">
        <v>60.5</v>
      </c>
      <c r="M502" s="1" t="n">
        <v>68</v>
      </c>
      <c r="N502" s="1" t="n">
        <v>22.6</v>
      </c>
      <c r="O502" s="1" t="n">
        <v>49.3</v>
      </c>
      <c r="P502" s="1" t="n">
        <v>28.1</v>
      </c>
      <c r="Q502" s="1" t="n">
        <v>60.9</v>
      </c>
      <c r="R502" s="1" t="n">
        <v>64.3</v>
      </c>
      <c r="S502" s="1" t="n">
        <v>36</v>
      </c>
      <c r="T502" s="1" t="n">
        <v>64</v>
      </c>
      <c r="U502" s="1" t="n">
        <v>69</v>
      </c>
      <c r="V502" s="1" t="n">
        <v>44</v>
      </c>
      <c r="W502" s="1" t="n">
        <v>56</v>
      </c>
      <c r="AH502" s="1"/>
      <c r="AI502" s="3"/>
    </row>
    <row r="503" customFormat="false" ht="16.15" hidden="false" customHeight="false" outlineLevel="0" collapsed="false">
      <c r="B503" s="1" t="s">
        <v>1191</v>
      </c>
      <c r="C503" s="1" t="s">
        <v>783</v>
      </c>
      <c r="D503" s="13" t="n">
        <v>0.75</v>
      </c>
      <c r="E503" s="1" t="s">
        <v>1209</v>
      </c>
      <c r="F503" s="1" t="s">
        <v>1197</v>
      </c>
      <c r="G503" s="1"/>
      <c r="H503" s="2" t="s">
        <v>799</v>
      </c>
      <c r="I503" s="1" t="n">
        <v>27.5</v>
      </c>
      <c r="J503" s="1" t="n">
        <v>21</v>
      </c>
      <c r="K503" s="1" t="n">
        <v>79</v>
      </c>
      <c r="L503" s="1" t="n">
        <v>48.5</v>
      </c>
      <c r="M503" s="1" t="n">
        <v>72.5</v>
      </c>
      <c r="N503" s="1" t="n">
        <v>46.2</v>
      </c>
      <c r="O503" s="1" t="n">
        <v>40.3</v>
      </c>
      <c r="P503" s="1" t="n">
        <v>13.4</v>
      </c>
      <c r="Q503" s="1" t="n">
        <v>70.1</v>
      </c>
      <c r="R503" s="1" t="n">
        <v>73.2</v>
      </c>
      <c r="S503" s="1" t="n">
        <v>46.6</v>
      </c>
      <c r="T503" s="1" t="n">
        <v>53.4</v>
      </c>
      <c r="U503" s="1" t="n">
        <v>60</v>
      </c>
      <c r="V503" s="1" t="n">
        <v>49.8</v>
      </c>
      <c r="W503" s="1" t="n">
        <v>50.2</v>
      </c>
      <c r="AH503" s="1"/>
      <c r="AI503" s="3"/>
    </row>
    <row r="504" customFormat="false" ht="16.15" hidden="false" customHeight="false" outlineLevel="0" collapsed="false">
      <c r="B504" s="1" t="s">
        <v>667</v>
      </c>
      <c r="C504" s="1" t="s">
        <v>783</v>
      </c>
      <c r="D504" s="13" t="n">
        <v>0.756944444444444</v>
      </c>
      <c r="E504" s="1" t="s">
        <v>1229</v>
      </c>
      <c r="F504" s="1" t="s">
        <v>1230</v>
      </c>
      <c r="G504" s="1"/>
      <c r="H504" s="2" t="s">
        <v>1164</v>
      </c>
      <c r="I504" s="1" t="n">
        <v>29.7</v>
      </c>
      <c r="J504" s="1" t="n">
        <v>24.9</v>
      </c>
      <c r="K504" s="1" t="n">
        <v>75.1</v>
      </c>
      <c r="L504" s="1" t="n">
        <v>54.6</v>
      </c>
      <c r="M504" s="1" t="n">
        <v>70.3</v>
      </c>
      <c r="N504" s="1" t="s">
        <v>533</v>
      </c>
      <c r="O504" s="1" t="s">
        <v>533</v>
      </c>
      <c r="P504" s="1" t="s">
        <v>533</v>
      </c>
      <c r="Q504" s="1" t="s">
        <v>533</v>
      </c>
      <c r="R504" s="1" t="n">
        <v>69.4</v>
      </c>
      <c r="S504" s="1" t="n">
        <v>41.8</v>
      </c>
      <c r="T504" s="1" t="n">
        <v>58.2</v>
      </c>
      <c r="U504" s="1" t="n">
        <v>63.9</v>
      </c>
      <c r="V504" s="1" t="n">
        <v>47.8</v>
      </c>
      <c r="W504" s="1" t="n">
        <v>52.2</v>
      </c>
      <c r="AH504" s="1"/>
      <c r="AI504" s="3"/>
    </row>
    <row r="505" customFormat="false" ht="16.15" hidden="false" customHeight="false" outlineLevel="0" collapsed="false">
      <c r="B505" s="1" t="s">
        <v>209</v>
      </c>
      <c r="C505" s="1" t="s">
        <v>783</v>
      </c>
      <c r="D505" s="13" t="n">
        <v>0.770833333333333</v>
      </c>
      <c r="E505" s="1" t="s">
        <v>1231</v>
      </c>
      <c r="F505" s="1" t="s">
        <v>1232</v>
      </c>
      <c r="G505" s="1"/>
      <c r="H505" s="2" t="s">
        <v>1233</v>
      </c>
      <c r="I505" s="1" t="n">
        <v>29.1</v>
      </c>
      <c r="J505" s="1" t="n">
        <v>18.5</v>
      </c>
      <c r="K505" s="1" t="n">
        <v>81.5</v>
      </c>
      <c r="L505" s="1" t="n">
        <v>47.6</v>
      </c>
      <c r="M505" s="1" t="n">
        <v>70.9</v>
      </c>
      <c r="N505" s="1" t="n">
        <v>33.8</v>
      </c>
      <c r="O505" s="1" t="n">
        <v>49.1</v>
      </c>
      <c r="P505" s="1" t="n">
        <v>17.1</v>
      </c>
      <c r="Q505" s="1" t="n">
        <v>60</v>
      </c>
      <c r="R505" s="1" t="n">
        <v>65.3</v>
      </c>
      <c r="S505" s="1" t="n">
        <v>37.2</v>
      </c>
      <c r="T505" s="1" t="n">
        <v>62.8</v>
      </c>
      <c r="U505" s="1" t="n">
        <v>69.2</v>
      </c>
      <c r="V505" s="1" t="n">
        <v>41.2</v>
      </c>
      <c r="W505" s="1" t="n">
        <v>58.8</v>
      </c>
      <c r="AH505" s="1"/>
      <c r="AI505" s="3"/>
    </row>
    <row r="506" customFormat="false" ht="16.15" hidden="true" customHeight="false" outlineLevel="0" collapsed="false">
      <c r="B506" s="1" t="s">
        <v>670</v>
      </c>
      <c r="C506" s="1" t="s">
        <v>783</v>
      </c>
      <c r="D506" s="13" t="n">
        <v>0.770833333333333</v>
      </c>
      <c r="E506" s="1" t="s">
        <v>1234</v>
      </c>
      <c r="F506" s="1" t="s">
        <v>1235</v>
      </c>
      <c r="G506" s="1"/>
      <c r="H506" s="2" t="s">
        <v>1236</v>
      </c>
      <c r="I506" s="1" t="n">
        <v>26.4</v>
      </c>
      <c r="J506" s="1" t="n">
        <v>21.3</v>
      </c>
      <c r="K506" s="1" t="n">
        <v>78.7</v>
      </c>
      <c r="L506" s="1" t="n">
        <v>47.7</v>
      </c>
      <c r="M506" s="1" t="n">
        <v>73.6</v>
      </c>
      <c r="N506" s="1" t="n">
        <v>39.6</v>
      </c>
      <c r="O506" s="1" t="n">
        <v>44.1</v>
      </c>
      <c r="P506" s="1" t="n">
        <v>16.3</v>
      </c>
      <c r="Q506" s="1" t="n">
        <v>66.5</v>
      </c>
      <c r="R506" s="1" t="n">
        <v>77.2</v>
      </c>
      <c r="S506" s="1" t="n">
        <v>51.9</v>
      </c>
      <c r="T506" s="1" t="n">
        <v>48.1</v>
      </c>
      <c r="U506" s="1" t="n">
        <v>54.8</v>
      </c>
      <c r="V506" s="1" t="n">
        <v>54</v>
      </c>
      <c r="W506" s="1" t="n">
        <v>46</v>
      </c>
      <c r="Z506" s="1" t="s">
        <v>22</v>
      </c>
      <c r="AE506" s="1" t="n">
        <v>50</v>
      </c>
      <c r="AH506" s="1"/>
      <c r="AI506" s="3"/>
    </row>
    <row r="507" customFormat="false" ht="16.15" hidden="true" customHeight="false" outlineLevel="0" collapsed="false">
      <c r="B507" s="1" t="s">
        <v>670</v>
      </c>
      <c r="C507" s="1" t="s">
        <v>783</v>
      </c>
      <c r="D507" s="13" t="n">
        <v>0.770833333333333</v>
      </c>
      <c r="E507" s="1" t="s">
        <v>1237</v>
      </c>
      <c r="F507" s="1" t="s">
        <v>1238</v>
      </c>
      <c r="G507" s="1"/>
      <c r="H507" s="2" t="s">
        <v>1239</v>
      </c>
      <c r="I507" s="1" t="n">
        <v>29.1</v>
      </c>
      <c r="J507" s="1" t="n">
        <v>44.4</v>
      </c>
      <c r="K507" s="1" t="n">
        <v>55.6</v>
      </c>
      <c r="L507" s="1" t="n">
        <v>73.6</v>
      </c>
      <c r="M507" s="1" t="n">
        <v>70.9</v>
      </c>
      <c r="N507" s="1" t="n">
        <v>25.9</v>
      </c>
      <c r="O507" s="1" t="n">
        <v>43.6</v>
      </c>
      <c r="P507" s="1" t="n">
        <v>30.4</v>
      </c>
      <c r="Q507" s="1" t="n">
        <v>69.6</v>
      </c>
      <c r="R507" s="1" t="n">
        <v>74.7</v>
      </c>
      <c r="S507" s="1" t="n">
        <v>48.4</v>
      </c>
      <c r="T507" s="1" t="n">
        <v>51.6</v>
      </c>
      <c r="U507" s="1" t="n">
        <v>57.5</v>
      </c>
      <c r="V507" s="1" t="n">
        <v>53.4</v>
      </c>
      <c r="W507" s="1" t="n">
        <v>46.6</v>
      </c>
      <c r="Z507" s="1" t="s">
        <v>133</v>
      </c>
      <c r="AB507" s="1" t="n">
        <v>48</v>
      </c>
      <c r="AE507" s="1" t="n">
        <v>53</v>
      </c>
      <c r="AH507" s="1"/>
      <c r="AI507" s="3"/>
    </row>
    <row r="508" customFormat="false" ht="16.15" hidden="false" customHeight="false" outlineLevel="0" collapsed="false">
      <c r="B508" s="1" t="s">
        <v>181</v>
      </c>
      <c r="C508" s="1" t="s">
        <v>783</v>
      </c>
      <c r="D508" s="13" t="n">
        <v>0.770833333333333</v>
      </c>
      <c r="E508" s="1" t="s">
        <v>1240</v>
      </c>
      <c r="F508" s="1" t="s">
        <v>1241</v>
      </c>
      <c r="G508" s="1"/>
      <c r="H508" s="2" t="s">
        <v>932</v>
      </c>
      <c r="I508" s="1" t="n">
        <v>28.2</v>
      </c>
      <c r="J508" s="1" t="n">
        <v>21.5</v>
      </c>
      <c r="K508" s="1" t="n">
        <v>78.5</v>
      </c>
      <c r="L508" s="1" t="n">
        <v>49.7</v>
      </c>
      <c r="M508" s="1" t="n">
        <v>71.8</v>
      </c>
      <c r="N508" s="1" t="n">
        <v>38.3</v>
      </c>
      <c r="O508" s="1" t="n">
        <v>44</v>
      </c>
      <c r="P508" s="1" t="n">
        <v>17.7</v>
      </c>
      <c r="Q508" s="1" t="n">
        <v>67.1</v>
      </c>
      <c r="R508" s="1" t="n">
        <v>71.3</v>
      </c>
      <c r="S508" s="1" t="n">
        <v>44.1</v>
      </c>
      <c r="T508" s="1" t="n">
        <v>55.9</v>
      </c>
      <c r="U508" s="1" t="n">
        <v>62.2</v>
      </c>
      <c r="V508" s="1" t="n">
        <v>48.2</v>
      </c>
      <c r="W508" s="1" t="n">
        <v>51.8</v>
      </c>
      <c r="AH508" s="1"/>
      <c r="AI508" s="3"/>
    </row>
    <row r="509" customFormat="false" ht="16.15" hidden="false" customHeight="false" outlineLevel="0" collapsed="false">
      <c r="B509" s="1" t="s">
        <v>184</v>
      </c>
      <c r="C509" s="1" t="s">
        <v>783</v>
      </c>
      <c r="D509" s="13" t="n">
        <v>0.770833333333333</v>
      </c>
      <c r="E509" s="1" t="s">
        <v>1242</v>
      </c>
      <c r="F509" s="1" t="s">
        <v>1243</v>
      </c>
      <c r="G509" s="1"/>
      <c r="H509" s="2" t="s">
        <v>1244</v>
      </c>
      <c r="I509" s="1" t="n">
        <v>24.4</v>
      </c>
      <c r="J509" s="1" t="n">
        <v>16</v>
      </c>
      <c r="K509" s="1" t="n">
        <v>84</v>
      </c>
      <c r="L509" s="1" t="n">
        <v>40.4</v>
      </c>
      <c r="M509" s="1" t="n">
        <v>75.6</v>
      </c>
      <c r="N509" s="1" t="n">
        <v>38.7</v>
      </c>
      <c r="O509" s="1" t="n">
        <v>40.7</v>
      </c>
      <c r="P509" s="1" t="n">
        <v>20.6</v>
      </c>
      <c r="Q509" s="1" t="n">
        <v>72.6</v>
      </c>
      <c r="R509" s="1" t="n">
        <v>78.4</v>
      </c>
      <c r="S509" s="1" t="n">
        <v>53.8</v>
      </c>
      <c r="T509" s="1" t="n">
        <v>46.2</v>
      </c>
      <c r="U509" s="1" t="n">
        <v>54.1</v>
      </c>
      <c r="V509" s="1" t="n">
        <v>52</v>
      </c>
      <c r="W509" s="1" t="n">
        <v>48</v>
      </c>
      <c r="AH509" s="1"/>
      <c r="AI509" s="3"/>
    </row>
    <row r="510" customFormat="false" ht="16.15" hidden="false" customHeight="false" outlineLevel="0" collapsed="false">
      <c r="B510" s="1" t="s">
        <v>519</v>
      </c>
      <c r="C510" s="1" t="s">
        <v>783</v>
      </c>
      <c r="D510" s="13" t="n">
        <v>0.770833333333333</v>
      </c>
      <c r="E510" s="1" t="s">
        <v>1245</v>
      </c>
      <c r="F510" s="1" t="s">
        <v>1246</v>
      </c>
      <c r="G510" s="1"/>
      <c r="H510" s="2" t="s">
        <v>1129</v>
      </c>
      <c r="I510" s="1" t="n">
        <v>28.7</v>
      </c>
      <c r="J510" s="1" t="n">
        <v>34.8</v>
      </c>
      <c r="K510" s="1" t="n">
        <v>65.2</v>
      </c>
      <c r="L510" s="1" t="n">
        <v>63.5</v>
      </c>
      <c r="M510" s="1" t="n">
        <v>71.3</v>
      </c>
      <c r="N510" s="1" t="n">
        <v>28.2</v>
      </c>
      <c r="O510" s="1" t="n">
        <v>43.8</v>
      </c>
      <c r="P510" s="1" t="n">
        <v>28</v>
      </c>
      <c r="Q510" s="1" t="n">
        <v>69.4</v>
      </c>
      <c r="R510" s="1" t="n">
        <v>76.7</v>
      </c>
      <c r="S510" s="1" t="n">
        <v>51.1</v>
      </c>
      <c r="T510" s="1" t="n">
        <v>48.9</v>
      </c>
      <c r="U510" s="1" t="n">
        <v>54.4</v>
      </c>
      <c r="V510" s="1" t="n">
        <v>56.6</v>
      </c>
      <c r="W510" s="1" t="n">
        <v>43.4</v>
      </c>
      <c r="AH510" s="1"/>
      <c r="AI510" s="3"/>
    </row>
    <row r="511" customFormat="false" ht="16.15" hidden="true" customHeight="false" outlineLevel="0" collapsed="false">
      <c r="B511" s="1" t="s">
        <v>192</v>
      </c>
      <c r="C511" s="1" t="s">
        <v>783</v>
      </c>
      <c r="D511" s="13" t="n">
        <v>0.770833333333333</v>
      </c>
      <c r="E511" s="1" t="s">
        <v>1247</v>
      </c>
      <c r="F511" s="1" t="s">
        <v>1248</v>
      </c>
      <c r="G511" s="1"/>
      <c r="H511" s="2" t="s">
        <v>1249</v>
      </c>
      <c r="I511" s="1" t="n">
        <v>26.7</v>
      </c>
      <c r="J511" s="1" t="n">
        <v>34.9</v>
      </c>
      <c r="K511" s="1" t="n">
        <v>65.1</v>
      </c>
      <c r="L511" s="1" t="n">
        <v>61.6</v>
      </c>
      <c r="M511" s="1" t="n">
        <v>73.3</v>
      </c>
      <c r="N511" s="1" t="n">
        <v>30.7</v>
      </c>
      <c r="O511" s="1" t="n">
        <v>43.5</v>
      </c>
      <c r="P511" s="1" t="n">
        <v>25.8</v>
      </c>
      <c r="Q511" s="1" t="n">
        <v>69.6</v>
      </c>
      <c r="R511" s="1" t="n">
        <v>83.6</v>
      </c>
      <c r="S511" s="1" t="n">
        <v>61.5</v>
      </c>
      <c r="T511" s="1" t="n">
        <v>38.5</v>
      </c>
      <c r="U511" s="1" t="n">
        <v>44</v>
      </c>
      <c r="V511" s="1" t="n">
        <v>64.6</v>
      </c>
      <c r="W511" s="1" t="n">
        <v>35.4</v>
      </c>
      <c r="Z511" s="1" t="s">
        <v>54</v>
      </c>
      <c r="AH511" s="1"/>
      <c r="AI511" s="3"/>
    </row>
    <row r="512" customFormat="false" ht="16.15" hidden="false" customHeight="false" outlineLevel="0" collapsed="false">
      <c r="B512" s="1" t="s">
        <v>151</v>
      </c>
      <c r="C512" s="1" t="s">
        <v>783</v>
      </c>
      <c r="D512" s="13" t="n">
        <v>0.770833333333333</v>
      </c>
      <c r="E512" s="1" t="s">
        <v>1250</v>
      </c>
      <c r="F512" s="1" t="s">
        <v>1251</v>
      </c>
      <c r="G512" s="1"/>
      <c r="H512" s="2" t="s">
        <v>1252</v>
      </c>
      <c r="I512" s="1" t="n">
        <v>31.5</v>
      </c>
      <c r="J512" s="1" t="n">
        <v>29.1</v>
      </c>
      <c r="K512" s="1" t="n">
        <v>70.9</v>
      </c>
      <c r="L512" s="1" t="n">
        <v>60.6</v>
      </c>
      <c r="M512" s="1" t="n">
        <v>68.5</v>
      </c>
      <c r="N512" s="1" t="n">
        <v>28.1</v>
      </c>
      <c r="O512" s="1" t="n">
        <v>51.3</v>
      </c>
      <c r="P512" s="1" t="n">
        <v>20.6</v>
      </c>
      <c r="Q512" s="1" t="n">
        <v>57.7</v>
      </c>
      <c r="R512" s="1" t="n">
        <v>66.1</v>
      </c>
      <c r="S512" s="1" t="n">
        <v>38</v>
      </c>
      <c r="T512" s="1" t="n">
        <v>62</v>
      </c>
      <c r="U512" s="1" t="n">
        <v>67</v>
      </c>
      <c r="V512" s="1" t="n">
        <v>45.8</v>
      </c>
      <c r="W512" s="1" t="n">
        <v>54.2</v>
      </c>
      <c r="AH512" s="1"/>
      <c r="AI512" s="3"/>
    </row>
    <row r="513" customFormat="false" ht="16.15" hidden="false" customHeight="false" outlineLevel="0" collapsed="false">
      <c r="B513" s="1" t="s">
        <v>187</v>
      </c>
      <c r="C513" s="1" t="s">
        <v>783</v>
      </c>
      <c r="D513" s="13" t="n">
        <v>0.791666666666667</v>
      </c>
      <c r="E513" s="1" t="s">
        <v>1253</v>
      </c>
      <c r="F513" s="1" t="s">
        <v>1254</v>
      </c>
      <c r="G513" s="1"/>
      <c r="H513" s="2" t="s">
        <v>1255</v>
      </c>
      <c r="I513" s="1" t="n">
        <v>27.1</v>
      </c>
      <c r="J513" s="1" t="n">
        <v>35.2</v>
      </c>
      <c r="K513" s="1" t="n">
        <v>64.8</v>
      </c>
      <c r="L513" s="1" t="n">
        <v>62.3</v>
      </c>
      <c r="M513" s="1" t="n">
        <v>72.9</v>
      </c>
      <c r="N513" s="1" t="n">
        <v>36.9</v>
      </c>
      <c r="O513" s="1" t="n">
        <v>43.8</v>
      </c>
      <c r="P513" s="1" t="n">
        <v>19.3</v>
      </c>
      <c r="Q513" s="1" t="n">
        <v>67.9</v>
      </c>
      <c r="R513" s="1" t="n">
        <v>82.2</v>
      </c>
      <c r="S513" s="1" t="n">
        <v>59.3</v>
      </c>
      <c r="T513" s="1" t="n">
        <v>40.7</v>
      </c>
      <c r="U513" s="1" t="n">
        <v>46.3</v>
      </c>
      <c r="V513" s="1" t="n">
        <v>62.9</v>
      </c>
      <c r="W513" s="1" t="n">
        <v>37.1</v>
      </c>
      <c r="AH513" s="1"/>
      <c r="AI513" s="3"/>
    </row>
    <row r="514" customFormat="false" ht="16.15" hidden="false" customHeight="false" outlineLevel="0" collapsed="false">
      <c r="B514" s="1" t="s">
        <v>225</v>
      </c>
      <c r="C514" s="1" t="s">
        <v>783</v>
      </c>
      <c r="D514" s="13" t="n">
        <v>0.791666666666667</v>
      </c>
      <c r="E514" s="1" t="s">
        <v>1027</v>
      </c>
      <c r="F514" s="1" t="s">
        <v>1256</v>
      </c>
      <c r="G514" s="1"/>
      <c r="H514" s="2" t="s">
        <v>1257</v>
      </c>
      <c r="I514" s="1" t="n">
        <v>33.2</v>
      </c>
      <c r="J514" s="1" t="n">
        <v>32.6</v>
      </c>
      <c r="K514" s="1" t="n">
        <v>67.4</v>
      </c>
      <c r="L514" s="1" t="n">
        <v>65.8</v>
      </c>
      <c r="M514" s="1" t="n">
        <v>66.8</v>
      </c>
      <c r="N514" s="1" t="s">
        <v>533</v>
      </c>
      <c r="O514" s="1" t="s">
        <v>533</v>
      </c>
      <c r="P514" s="1" t="s">
        <v>533</v>
      </c>
      <c r="Q514" s="1" t="s">
        <v>533</v>
      </c>
      <c r="R514" s="1" t="n">
        <v>62.2</v>
      </c>
      <c r="S514" s="1" t="n">
        <v>33.7</v>
      </c>
      <c r="T514" s="1" t="n">
        <v>66.3</v>
      </c>
      <c r="U514" s="1" t="n">
        <v>70.9</v>
      </c>
      <c r="V514" s="1" t="n">
        <v>42.6</v>
      </c>
      <c r="W514" s="1" t="n">
        <v>57.4</v>
      </c>
      <c r="AH514" s="1"/>
      <c r="AI514" s="3"/>
    </row>
    <row r="515" customFormat="false" ht="16.15" hidden="false" customHeight="false" outlineLevel="0" collapsed="false">
      <c r="B515" s="1" t="s">
        <v>178</v>
      </c>
      <c r="C515" s="1" t="s">
        <v>783</v>
      </c>
      <c r="D515" s="13" t="n">
        <v>0.791666666666667</v>
      </c>
      <c r="E515" s="1" t="s">
        <v>1258</v>
      </c>
      <c r="F515" s="1" t="s">
        <v>1259</v>
      </c>
      <c r="G515" s="1"/>
      <c r="H515" s="2" t="s">
        <v>1088</v>
      </c>
      <c r="I515" s="1" t="n">
        <v>32</v>
      </c>
      <c r="J515" s="1" t="n">
        <v>32.9</v>
      </c>
      <c r="K515" s="1" t="n">
        <v>67.1</v>
      </c>
      <c r="L515" s="1" t="n">
        <v>64.9</v>
      </c>
      <c r="M515" s="1" t="n">
        <v>68</v>
      </c>
      <c r="N515" s="1" t="n">
        <v>26</v>
      </c>
      <c r="O515" s="1" t="n">
        <v>47</v>
      </c>
      <c r="P515" s="1" t="n">
        <v>27</v>
      </c>
      <c r="Q515" s="1" t="n">
        <v>64.4</v>
      </c>
      <c r="R515" s="1" t="n">
        <v>65.6</v>
      </c>
      <c r="S515" s="1" t="n">
        <v>37.4</v>
      </c>
      <c r="T515" s="1" t="n">
        <v>62.6</v>
      </c>
      <c r="U515" s="1" t="n">
        <v>67.5</v>
      </c>
      <c r="V515" s="1" t="n">
        <v>45.6</v>
      </c>
      <c r="W515" s="1" t="n">
        <v>54.4</v>
      </c>
      <c r="AH515" s="1"/>
      <c r="AI515" s="3"/>
    </row>
    <row r="516" customFormat="false" ht="16.15" hidden="false" customHeight="false" outlineLevel="0" collapsed="false">
      <c r="B516" s="1" t="s">
        <v>172</v>
      </c>
      <c r="C516" s="1" t="s">
        <v>783</v>
      </c>
      <c r="D516" s="13" t="n">
        <v>0.802083333333333</v>
      </c>
      <c r="E516" s="1" t="s">
        <v>1260</v>
      </c>
      <c r="F516" s="1" t="s">
        <v>1261</v>
      </c>
      <c r="G516" s="1"/>
      <c r="H516" s="2" t="s">
        <v>1262</v>
      </c>
      <c r="I516" s="1" t="n">
        <v>29.2</v>
      </c>
      <c r="J516" s="1" t="n">
        <v>23.3</v>
      </c>
      <c r="K516" s="1" t="n">
        <v>76.7</v>
      </c>
      <c r="L516" s="1" t="n">
        <v>52.5</v>
      </c>
      <c r="M516" s="1" t="n">
        <v>70.8</v>
      </c>
      <c r="N516" s="1" t="n">
        <v>31</v>
      </c>
      <c r="O516" s="1" t="n">
        <v>45.9</v>
      </c>
      <c r="P516" s="1" t="n">
        <v>23.1</v>
      </c>
      <c r="Q516" s="1" t="n">
        <v>65.7</v>
      </c>
      <c r="R516" s="1" t="n">
        <v>69.8</v>
      </c>
      <c r="S516" s="1" t="n">
        <v>42.3</v>
      </c>
      <c r="T516" s="1" t="n">
        <v>57.7</v>
      </c>
      <c r="U516" s="1" t="n">
        <v>63.6</v>
      </c>
      <c r="V516" s="1" t="n">
        <v>47.6</v>
      </c>
      <c r="W516" s="1" t="n">
        <v>52.4</v>
      </c>
      <c r="AH516" s="1"/>
      <c r="AI516" s="3"/>
    </row>
    <row r="517" customFormat="false" ht="16.15" hidden="true" customHeight="false" outlineLevel="0" collapsed="false">
      <c r="B517" s="1" t="s">
        <v>670</v>
      </c>
      <c r="C517" s="1" t="s">
        <v>783</v>
      </c>
      <c r="D517" s="13" t="n">
        <v>0.8125</v>
      </c>
      <c r="E517" s="1" t="s">
        <v>1263</v>
      </c>
      <c r="F517" s="1" t="s">
        <v>1264</v>
      </c>
      <c r="G517" s="1"/>
      <c r="H517" s="2" t="s">
        <v>1265</v>
      </c>
      <c r="I517" s="1" t="n">
        <v>28.8</v>
      </c>
      <c r="J517" s="1" t="n">
        <v>23.1</v>
      </c>
      <c r="K517" s="1" t="n">
        <v>76.9</v>
      </c>
      <c r="L517" s="1" t="n">
        <v>51.8</v>
      </c>
      <c r="M517" s="1" t="n">
        <v>71.2</v>
      </c>
      <c r="N517" s="1" t="n">
        <v>36.6</v>
      </c>
      <c r="O517" s="1" t="n">
        <v>43.8</v>
      </c>
      <c r="P517" s="1" t="n">
        <v>19.6</v>
      </c>
      <c r="Q517" s="1" t="n">
        <v>68</v>
      </c>
      <c r="R517" s="1" t="n">
        <v>70.8</v>
      </c>
      <c r="S517" s="1" t="n">
        <v>43.5</v>
      </c>
      <c r="T517" s="1" t="n">
        <v>56.5</v>
      </c>
      <c r="U517" s="1" t="n">
        <v>62.5</v>
      </c>
      <c r="V517" s="1" t="n">
        <v>48.4</v>
      </c>
      <c r="W517" s="1" t="n">
        <v>51.6</v>
      </c>
      <c r="Z517" s="1" t="s">
        <v>36</v>
      </c>
      <c r="AC517" s="1" t="n">
        <v>51</v>
      </c>
      <c r="AF517" s="1" t="n">
        <v>48</v>
      </c>
      <c r="AH517" s="1"/>
      <c r="AI517" s="3"/>
    </row>
    <row r="518" customFormat="false" ht="16.15" hidden="false" customHeight="false" outlineLevel="0" collapsed="false">
      <c r="B518" s="1" t="s">
        <v>1191</v>
      </c>
      <c r="C518" s="1" t="s">
        <v>783</v>
      </c>
      <c r="D518" s="13" t="n">
        <v>0.8125</v>
      </c>
      <c r="E518" s="1" t="s">
        <v>1198</v>
      </c>
      <c r="F518" s="1" t="s">
        <v>1199</v>
      </c>
      <c r="G518" s="1"/>
      <c r="H518" s="2" t="s">
        <v>1216</v>
      </c>
      <c r="I518" s="1" t="n">
        <v>30.4</v>
      </c>
      <c r="J518" s="1" t="n">
        <v>26.2</v>
      </c>
      <c r="K518" s="1" t="n">
        <v>73.8</v>
      </c>
      <c r="L518" s="1" t="n">
        <v>56.7</v>
      </c>
      <c r="M518" s="1" t="n">
        <v>69.6</v>
      </c>
      <c r="N518" s="1" t="n">
        <v>33.3</v>
      </c>
      <c r="O518" s="1" t="n">
        <v>47.7</v>
      </c>
      <c r="P518" s="1" t="n">
        <v>19</v>
      </c>
      <c r="Q518" s="1" t="n">
        <v>62.4</v>
      </c>
      <c r="R518" s="1" t="n">
        <v>67.8</v>
      </c>
      <c r="S518" s="1" t="n">
        <v>39.9</v>
      </c>
      <c r="T518" s="1" t="n">
        <v>60.1</v>
      </c>
      <c r="U518" s="1" t="n">
        <v>65.5</v>
      </c>
      <c r="V518" s="1" t="n">
        <v>46.7</v>
      </c>
      <c r="W518" s="1" t="n">
        <v>53.3</v>
      </c>
      <c r="AH518" s="1"/>
      <c r="AI518" s="3"/>
    </row>
    <row r="519" customFormat="false" ht="16.15" hidden="false" customHeight="false" outlineLevel="0" collapsed="false">
      <c r="B519" s="1" t="s">
        <v>167</v>
      </c>
      <c r="C519" s="1" t="s">
        <v>783</v>
      </c>
      <c r="D519" s="13" t="n">
        <v>0.833333333333333</v>
      </c>
      <c r="E519" s="1" t="s">
        <v>1266</v>
      </c>
      <c r="F519" s="1" t="s">
        <v>1267</v>
      </c>
      <c r="G519" s="1"/>
      <c r="H519" s="2" t="s">
        <v>1268</v>
      </c>
      <c r="I519" s="1" t="n">
        <v>32.9</v>
      </c>
      <c r="J519" s="1" t="n">
        <v>31.4</v>
      </c>
      <c r="K519" s="1" t="n">
        <v>68.6</v>
      </c>
      <c r="L519" s="1" t="n">
        <v>64.4</v>
      </c>
      <c r="M519" s="1" t="n">
        <v>67.1</v>
      </c>
      <c r="N519" s="1" t="n">
        <v>24.9</v>
      </c>
      <c r="O519" s="1" t="n">
        <v>50.2</v>
      </c>
      <c r="P519" s="1" t="n">
        <v>24.9</v>
      </c>
      <c r="Q519" s="1" t="n">
        <v>59.6</v>
      </c>
      <c r="R519" s="1" t="n">
        <v>62.6</v>
      </c>
      <c r="S519" s="1" t="n">
        <v>34.2</v>
      </c>
      <c r="T519" s="1" t="n">
        <v>65.8</v>
      </c>
      <c r="U519" s="1" t="n">
        <v>70.5</v>
      </c>
      <c r="V519" s="1" t="n">
        <v>42.9</v>
      </c>
      <c r="W519" s="1" t="n">
        <v>57.1</v>
      </c>
      <c r="AH519" s="1"/>
      <c r="AI519" s="3"/>
    </row>
    <row r="520" customFormat="false" ht="16.15" hidden="false" customHeight="false" outlineLevel="0" collapsed="false">
      <c r="B520" s="1" t="s">
        <v>654</v>
      </c>
      <c r="C520" s="1" t="s">
        <v>783</v>
      </c>
      <c r="D520" s="13" t="n">
        <v>0.833333333333333</v>
      </c>
      <c r="E520" s="1" t="s">
        <v>1269</v>
      </c>
      <c r="F520" s="1" t="s">
        <v>1270</v>
      </c>
      <c r="G520" s="1"/>
      <c r="H520" s="2" t="s">
        <v>1175</v>
      </c>
      <c r="I520" s="1" t="n">
        <v>26.4</v>
      </c>
      <c r="J520" s="1" t="n">
        <v>28.6</v>
      </c>
      <c r="K520" s="1" t="n">
        <v>71.4</v>
      </c>
      <c r="L520" s="1" t="n">
        <v>55</v>
      </c>
      <c r="M520" s="1" t="n">
        <v>73.6</v>
      </c>
      <c r="N520" s="1" t="n">
        <v>41.6</v>
      </c>
      <c r="O520" s="1" t="n">
        <v>37.6</v>
      </c>
      <c r="P520" s="1" t="n">
        <v>20.8</v>
      </c>
      <c r="Q520" s="1" t="n">
        <v>77.1</v>
      </c>
      <c r="R520" s="1" t="n">
        <v>82.8</v>
      </c>
      <c r="S520" s="1" t="n">
        <v>60.2</v>
      </c>
      <c r="T520" s="1" t="n">
        <v>39.8</v>
      </c>
      <c r="U520" s="1" t="n">
        <v>45.7</v>
      </c>
      <c r="V520" s="1" t="n">
        <v>62.8</v>
      </c>
      <c r="W520" s="1" t="n">
        <v>37.2</v>
      </c>
      <c r="AH520" s="1"/>
      <c r="AI520" s="3"/>
    </row>
    <row r="521" customFormat="false" ht="16.15" hidden="true" customHeight="false" outlineLevel="0" collapsed="false">
      <c r="B521" s="1" t="s">
        <v>192</v>
      </c>
      <c r="C521" s="1" t="s">
        <v>783</v>
      </c>
      <c r="D521" s="13" t="n">
        <v>0.833333333333333</v>
      </c>
      <c r="E521" s="1" t="s">
        <v>1271</v>
      </c>
      <c r="F521" s="1" t="s">
        <v>1272</v>
      </c>
      <c r="G521" s="1"/>
      <c r="H521" s="2" t="s">
        <v>1273</v>
      </c>
      <c r="I521" s="1" t="n">
        <v>24.1</v>
      </c>
      <c r="J521" s="1" t="n">
        <v>16.7</v>
      </c>
      <c r="K521" s="1" t="n">
        <v>83.3</v>
      </c>
      <c r="L521" s="1" t="n">
        <v>40.8</v>
      </c>
      <c r="M521" s="1" t="n">
        <v>75.9</v>
      </c>
      <c r="N521" s="1" t="n">
        <v>53.9</v>
      </c>
      <c r="O521" s="1" t="n">
        <v>34.7</v>
      </c>
      <c r="P521" s="1" t="n">
        <v>11.3</v>
      </c>
      <c r="Q521" s="1" t="n">
        <v>76.1</v>
      </c>
      <c r="R521" s="1" t="n">
        <v>80.9</v>
      </c>
      <c r="S521" s="1" t="n">
        <v>57.5</v>
      </c>
      <c r="T521" s="1" t="n">
        <v>42.5</v>
      </c>
      <c r="U521" s="1" t="n">
        <v>50.3</v>
      </c>
      <c r="V521" s="1" t="n">
        <v>55.4</v>
      </c>
      <c r="W521" s="1" t="n">
        <v>44.6</v>
      </c>
      <c r="Z521" s="1" t="s">
        <v>54</v>
      </c>
      <c r="AH521" s="1"/>
      <c r="AI521" s="3"/>
    </row>
    <row r="522" customFormat="false" ht="16.15" hidden="true" customHeight="false" outlineLevel="0" collapsed="false">
      <c r="B522" s="1" t="s">
        <v>192</v>
      </c>
      <c r="C522" s="1" t="s">
        <v>783</v>
      </c>
      <c r="D522" s="13" t="n">
        <v>0.833333333333333</v>
      </c>
      <c r="E522" s="1" t="s">
        <v>1274</v>
      </c>
      <c r="F522" s="1" t="s">
        <v>1275</v>
      </c>
      <c r="G522" s="1"/>
      <c r="H522" s="2" t="s">
        <v>1143</v>
      </c>
      <c r="I522" s="1" t="n">
        <v>25.3</v>
      </c>
      <c r="J522" s="1" t="n">
        <v>24.3</v>
      </c>
      <c r="K522" s="1" t="n">
        <v>75.7</v>
      </c>
      <c r="L522" s="1" t="n">
        <v>49.6</v>
      </c>
      <c r="M522" s="1" t="n">
        <v>74.7</v>
      </c>
      <c r="N522" s="1" t="n">
        <v>39</v>
      </c>
      <c r="O522" s="1" t="n">
        <v>36.9</v>
      </c>
      <c r="P522" s="1" t="n">
        <v>24.1</v>
      </c>
      <c r="Q522" s="1" t="n">
        <v>79.2</v>
      </c>
      <c r="R522" s="1" t="n">
        <v>84.7</v>
      </c>
      <c r="S522" s="1" t="n">
        <v>63.3</v>
      </c>
      <c r="T522" s="1" t="n">
        <v>36.7</v>
      </c>
      <c r="U522" s="1" t="n">
        <v>42.9</v>
      </c>
      <c r="V522" s="1" t="n">
        <v>64</v>
      </c>
      <c r="W522" s="1" t="n">
        <v>36</v>
      </c>
      <c r="Z522" s="1" t="s">
        <v>54</v>
      </c>
      <c r="AH522" s="1"/>
      <c r="AI522" s="3"/>
    </row>
    <row r="523" customFormat="false" ht="16.15" hidden="true" customHeight="false" outlineLevel="0" collapsed="false">
      <c r="B523" s="1" t="s">
        <v>192</v>
      </c>
      <c r="C523" s="1" t="s">
        <v>783</v>
      </c>
      <c r="D523" s="13" t="n">
        <v>0.833333333333333</v>
      </c>
      <c r="E523" s="1" t="s">
        <v>1276</v>
      </c>
      <c r="F523" s="1" t="s">
        <v>1277</v>
      </c>
      <c r="G523" s="1"/>
      <c r="H523" s="2" t="s">
        <v>1257</v>
      </c>
      <c r="I523" s="1" t="n">
        <v>25.6</v>
      </c>
      <c r="J523" s="1" t="n">
        <v>40.1</v>
      </c>
      <c r="K523" s="1" t="n">
        <v>59.9</v>
      </c>
      <c r="L523" s="1" t="n">
        <v>65.8</v>
      </c>
      <c r="M523" s="1" t="n">
        <v>74.4</v>
      </c>
      <c r="N523" s="1" t="n">
        <v>28</v>
      </c>
      <c r="O523" s="1" t="n">
        <v>35.6</v>
      </c>
      <c r="P523" s="1" t="n">
        <v>36.4</v>
      </c>
      <c r="Q523" s="1" t="n">
        <v>82</v>
      </c>
      <c r="R523" s="1" t="n">
        <v>89.5</v>
      </c>
      <c r="S523" s="1" t="n">
        <v>72</v>
      </c>
      <c r="T523" s="1" t="n">
        <v>28</v>
      </c>
      <c r="U523" s="1" t="n">
        <v>33.2</v>
      </c>
      <c r="V523" s="1" t="n">
        <v>72.6</v>
      </c>
      <c r="W523" s="1" t="n">
        <v>27.4</v>
      </c>
      <c r="Z523" s="1" t="s">
        <v>54</v>
      </c>
      <c r="AH523" s="1"/>
      <c r="AI523" s="3"/>
    </row>
    <row r="524" customFormat="false" ht="16.15" hidden="true" customHeight="false" outlineLevel="0" collapsed="false">
      <c r="B524" s="1" t="s">
        <v>192</v>
      </c>
      <c r="C524" s="1" t="s">
        <v>783</v>
      </c>
      <c r="D524" s="13" t="n">
        <v>0.833333333333333</v>
      </c>
      <c r="E524" s="1" t="s">
        <v>1278</v>
      </c>
      <c r="F524" s="1" t="s">
        <v>1279</v>
      </c>
      <c r="G524" s="1"/>
      <c r="H524" s="2" t="s">
        <v>1280</v>
      </c>
      <c r="I524" s="1" t="n">
        <v>24.7</v>
      </c>
      <c r="J524" s="1" t="n">
        <v>25.1</v>
      </c>
      <c r="K524" s="1" t="n">
        <v>74.9</v>
      </c>
      <c r="L524" s="1" t="n">
        <v>49.8</v>
      </c>
      <c r="M524" s="1" t="n">
        <v>75.3</v>
      </c>
      <c r="N524" s="1" t="n">
        <v>41.6</v>
      </c>
      <c r="O524" s="1" t="n">
        <v>35</v>
      </c>
      <c r="P524" s="1" t="n">
        <v>23.3</v>
      </c>
      <c r="Q524" s="1" t="n">
        <v>81.7</v>
      </c>
      <c r="R524" s="1" t="n">
        <v>89.1</v>
      </c>
      <c r="S524" s="1" t="n">
        <v>71.2</v>
      </c>
      <c r="T524" s="1" t="n">
        <v>28.8</v>
      </c>
      <c r="U524" s="1" t="n">
        <v>34.6</v>
      </c>
      <c r="V524" s="1" t="n">
        <v>70.3</v>
      </c>
      <c r="W524" s="1" t="n">
        <v>29.7</v>
      </c>
      <c r="Z524" s="1" t="s">
        <v>54</v>
      </c>
      <c r="AH524" s="1"/>
      <c r="AI524" s="3"/>
    </row>
    <row r="525" customFormat="false" ht="16.15" hidden="false" customHeight="false" outlineLevel="0" collapsed="false">
      <c r="B525" s="1" t="s">
        <v>228</v>
      </c>
      <c r="C525" s="1" t="s">
        <v>783</v>
      </c>
      <c r="D525" s="13" t="n">
        <v>0.833333333333333</v>
      </c>
      <c r="E525" s="1" t="s">
        <v>1281</v>
      </c>
      <c r="F525" s="1" t="s">
        <v>1282</v>
      </c>
      <c r="G525" s="1"/>
      <c r="H525" s="2" t="s">
        <v>1283</v>
      </c>
      <c r="I525" s="1" t="n">
        <v>24.6</v>
      </c>
      <c r="J525" s="1" t="n">
        <v>23.5</v>
      </c>
      <c r="K525" s="1" t="n">
        <v>76.5</v>
      </c>
      <c r="L525" s="1" t="n">
        <v>48.1</v>
      </c>
      <c r="M525" s="1" t="n">
        <v>75.4</v>
      </c>
      <c r="N525" s="1" t="n">
        <v>45.1</v>
      </c>
      <c r="O525" s="1" t="n">
        <v>35.1</v>
      </c>
      <c r="P525" s="1" t="n">
        <v>19.9</v>
      </c>
      <c r="Q525" s="1" t="n">
        <v>80.4</v>
      </c>
      <c r="R525" s="1" t="n">
        <v>87.6</v>
      </c>
      <c r="S525" s="1" t="n">
        <v>68.5</v>
      </c>
      <c r="T525" s="1" t="n">
        <v>31.5</v>
      </c>
      <c r="U525" s="1" t="n">
        <v>37.6</v>
      </c>
      <c r="V525" s="1" t="n">
        <v>67.7</v>
      </c>
      <c r="W525" s="1" t="n">
        <v>32.3</v>
      </c>
      <c r="AH525" s="1"/>
      <c r="AI525" s="3"/>
    </row>
    <row r="526" customFormat="false" ht="16.15" hidden="false" customHeight="false" outlineLevel="0" collapsed="false">
      <c r="B526" s="1" t="s">
        <v>731</v>
      </c>
      <c r="C526" s="1" t="s">
        <v>783</v>
      </c>
      <c r="D526" s="13" t="n">
        <v>0.833333333333333</v>
      </c>
      <c r="E526" s="1" t="s">
        <v>1284</v>
      </c>
      <c r="F526" s="1" t="s">
        <v>1285</v>
      </c>
      <c r="G526" s="1"/>
      <c r="H526" s="2" t="s">
        <v>988</v>
      </c>
      <c r="I526" s="1" t="n">
        <v>27.6</v>
      </c>
      <c r="J526" s="1" t="n">
        <v>35.8</v>
      </c>
      <c r="K526" s="1" t="n">
        <v>64.2</v>
      </c>
      <c r="L526" s="1" t="n">
        <v>63.3</v>
      </c>
      <c r="M526" s="1" t="n">
        <v>72.4</v>
      </c>
      <c r="N526" s="1" t="n">
        <v>19.6</v>
      </c>
      <c r="O526" s="1" t="n">
        <v>43</v>
      </c>
      <c r="P526" s="1" t="n">
        <v>37.4</v>
      </c>
      <c r="Q526" s="1" t="n">
        <v>69.6</v>
      </c>
      <c r="R526" s="1" t="n">
        <v>80.7</v>
      </c>
      <c r="S526" s="1" t="n">
        <v>56.9</v>
      </c>
      <c r="T526" s="1" t="n">
        <v>43.1</v>
      </c>
      <c r="U526" s="1" t="n">
        <v>48.7</v>
      </c>
      <c r="V526" s="1" t="n">
        <v>61</v>
      </c>
      <c r="W526" s="1" t="n">
        <v>39</v>
      </c>
      <c r="AH526" s="1"/>
      <c r="AI526" s="3"/>
    </row>
    <row r="527" customFormat="false" ht="16.15" hidden="false" customHeight="false" outlineLevel="0" collapsed="false">
      <c r="B527" s="1" t="s">
        <v>1191</v>
      </c>
      <c r="C527" s="1" t="s">
        <v>783</v>
      </c>
      <c r="D527" s="13" t="n">
        <v>0.833333333333333</v>
      </c>
      <c r="E527" s="1" t="s">
        <v>1203</v>
      </c>
      <c r="F527" s="1" t="s">
        <v>1208</v>
      </c>
      <c r="G527" s="1"/>
      <c r="H527" s="2" t="s">
        <v>1286</v>
      </c>
      <c r="I527" s="1" t="n">
        <v>27.6</v>
      </c>
      <c r="J527" s="1" t="n">
        <v>19.5</v>
      </c>
      <c r="K527" s="1" t="n">
        <v>80.5</v>
      </c>
      <c r="L527" s="1" t="n">
        <v>47.1</v>
      </c>
      <c r="M527" s="1" t="n">
        <v>72.4</v>
      </c>
      <c r="N527" s="1" t="n">
        <v>38</v>
      </c>
      <c r="O527" s="1" t="n">
        <v>43.8</v>
      </c>
      <c r="P527" s="1" t="n">
        <v>18.2</v>
      </c>
      <c r="Q527" s="1" t="n">
        <v>67.5</v>
      </c>
      <c r="R527" s="1" t="n">
        <v>71.1</v>
      </c>
      <c r="S527" s="1" t="n">
        <v>44</v>
      </c>
      <c r="T527" s="1" t="n">
        <v>56</v>
      </c>
      <c r="U527" s="1" t="n">
        <v>62.7</v>
      </c>
      <c r="V527" s="1" t="n">
        <v>47</v>
      </c>
      <c r="W527" s="1" t="n">
        <v>53</v>
      </c>
      <c r="AH527" s="1"/>
      <c r="AI527" s="3"/>
    </row>
    <row r="528" customFormat="false" ht="16.15" hidden="false" customHeight="false" outlineLevel="0" collapsed="false">
      <c r="B528" s="1" t="s">
        <v>667</v>
      </c>
      <c r="C528" s="1" t="s">
        <v>783</v>
      </c>
      <c r="D528" s="13" t="n">
        <v>0.84375</v>
      </c>
      <c r="E528" s="1" t="s">
        <v>1287</v>
      </c>
      <c r="F528" s="1" t="s">
        <v>1288</v>
      </c>
      <c r="G528" s="1"/>
      <c r="H528" s="2" t="s">
        <v>1289</v>
      </c>
      <c r="I528" s="1" t="n">
        <v>26.3</v>
      </c>
      <c r="J528" s="1" t="n">
        <v>20.7</v>
      </c>
      <c r="K528" s="1" t="n">
        <v>79.3</v>
      </c>
      <c r="L528" s="1" t="n">
        <v>47</v>
      </c>
      <c r="M528" s="1" t="n">
        <v>73.7</v>
      </c>
      <c r="N528" s="1" t="n">
        <v>36.4</v>
      </c>
      <c r="O528" s="1" t="n">
        <v>45.1</v>
      </c>
      <c r="P528" s="1" t="n">
        <v>18.5</v>
      </c>
      <c r="Q528" s="1" t="n">
        <v>65.8</v>
      </c>
      <c r="R528" s="1" t="n">
        <v>76.7</v>
      </c>
      <c r="S528" s="1" t="n">
        <v>51.3</v>
      </c>
      <c r="T528" s="1" t="n">
        <v>48.7</v>
      </c>
      <c r="U528" s="1" t="n">
        <v>55.5</v>
      </c>
      <c r="V528" s="1" t="n">
        <v>53.2</v>
      </c>
      <c r="W528" s="1" t="n">
        <v>46.8</v>
      </c>
      <c r="AH528" s="1"/>
      <c r="AI528" s="3"/>
    </row>
    <row r="529" customFormat="false" ht="16.15" hidden="false" customHeight="false" outlineLevel="0" collapsed="false">
      <c r="B529" s="1" t="s">
        <v>222</v>
      </c>
      <c r="C529" s="1" t="s">
        <v>783</v>
      </c>
      <c r="D529" s="13" t="n">
        <v>0.84375</v>
      </c>
      <c r="E529" s="1" t="s">
        <v>1290</v>
      </c>
      <c r="F529" s="1" t="s">
        <v>1291</v>
      </c>
      <c r="G529" s="1"/>
      <c r="H529" s="2" t="s">
        <v>796</v>
      </c>
      <c r="I529" s="1" t="n">
        <v>26.4</v>
      </c>
      <c r="J529" s="1" t="n">
        <v>18.5</v>
      </c>
      <c r="K529" s="1" t="n">
        <v>81.5</v>
      </c>
      <c r="L529" s="1" t="n">
        <v>44.9</v>
      </c>
      <c r="M529" s="1" t="n">
        <v>73.6</v>
      </c>
      <c r="N529" s="1" t="n">
        <v>48.6</v>
      </c>
      <c r="O529" s="1" t="n">
        <v>39.2</v>
      </c>
      <c r="P529" s="1" t="n">
        <v>12.3</v>
      </c>
      <c r="Q529" s="1" t="n">
        <v>71</v>
      </c>
      <c r="R529" s="1" t="n">
        <v>74.1</v>
      </c>
      <c r="S529" s="1" t="n">
        <v>47.7</v>
      </c>
      <c r="T529" s="1" t="n">
        <v>52.3</v>
      </c>
      <c r="U529" s="1" t="n">
        <v>59.4</v>
      </c>
      <c r="V529" s="1" t="n">
        <v>49.2</v>
      </c>
      <c r="W529" s="1" t="n">
        <v>50.8</v>
      </c>
      <c r="AH529" s="1"/>
      <c r="AI529" s="3"/>
    </row>
    <row r="530" customFormat="false" ht="16.15" hidden="false" customHeight="false" outlineLevel="0" collapsed="false">
      <c r="B530" s="1" t="s">
        <v>175</v>
      </c>
      <c r="C530" s="1" t="s">
        <v>783</v>
      </c>
      <c r="D530" s="13" t="n">
        <v>0.854166666666667</v>
      </c>
      <c r="E530" s="1" t="s">
        <v>1292</v>
      </c>
      <c r="F530" s="1" t="s">
        <v>1293</v>
      </c>
      <c r="G530" s="1"/>
      <c r="H530" s="2" t="s">
        <v>1052</v>
      </c>
      <c r="I530" s="1" t="n">
        <v>32.8</v>
      </c>
      <c r="J530" s="1" t="n">
        <v>31.4</v>
      </c>
      <c r="K530" s="1" t="n">
        <v>68.6</v>
      </c>
      <c r="L530" s="1" t="n">
        <v>64.2</v>
      </c>
      <c r="M530" s="1" t="n">
        <v>67.2</v>
      </c>
      <c r="N530" s="1" t="n">
        <v>15.4</v>
      </c>
      <c r="O530" s="1" t="n">
        <v>52</v>
      </c>
      <c r="P530" s="1" t="n">
        <v>32.5</v>
      </c>
      <c r="Q530" s="1" t="n">
        <v>56.1</v>
      </c>
      <c r="R530" s="1" t="n">
        <v>62.9</v>
      </c>
      <c r="S530" s="1" t="n">
        <v>34.5</v>
      </c>
      <c r="T530" s="1" t="n">
        <v>65.5</v>
      </c>
      <c r="U530" s="1" t="n">
        <v>70.2</v>
      </c>
      <c r="V530" s="1" t="n">
        <v>43.2</v>
      </c>
      <c r="W530" s="1" t="n">
        <v>56.8</v>
      </c>
      <c r="AH530" s="1"/>
      <c r="AI530" s="3"/>
    </row>
    <row r="531" customFormat="false" ht="16.15" hidden="false" customHeight="false" outlineLevel="0" collapsed="false">
      <c r="B531" s="1" t="s">
        <v>936</v>
      </c>
      <c r="C531" s="1" t="s">
        <v>783</v>
      </c>
      <c r="D531" s="13" t="n">
        <v>0.854166666666667</v>
      </c>
      <c r="E531" s="1" t="s">
        <v>1294</v>
      </c>
      <c r="F531" s="1" t="s">
        <v>1295</v>
      </c>
      <c r="G531" s="1"/>
      <c r="H531" s="2" t="s">
        <v>1062</v>
      </c>
      <c r="I531" s="1" t="n">
        <v>31.7</v>
      </c>
      <c r="J531" s="1" t="n">
        <v>31.9</v>
      </c>
      <c r="K531" s="1" t="n">
        <v>68.1</v>
      </c>
      <c r="L531" s="1" t="n">
        <v>63.6</v>
      </c>
      <c r="M531" s="1" t="n">
        <v>68.3</v>
      </c>
      <c r="N531" s="1" t="s">
        <v>533</v>
      </c>
      <c r="O531" s="1" t="s">
        <v>533</v>
      </c>
      <c r="P531" s="1" t="s">
        <v>533</v>
      </c>
      <c r="Q531" s="1" t="s">
        <v>533</v>
      </c>
      <c r="R531" s="1" t="n">
        <v>66.5</v>
      </c>
      <c r="S531" s="1" t="n">
        <v>38.4</v>
      </c>
      <c r="T531" s="1" t="n">
        <v>61.6</v>
      </c>
      <c r="U531" s="1" t="n">
        <v>66.5</v>
      </c>
      <c r="V531" s="1" t="n">
        <v>46.4</v>
      </c>
      <c r="W531" s="1" t="n">
        <v>53.6</v>
      </c>
      <c r="AH531" s="1"/>
      <c r="AI531" s="3"/>
    </row>
    <row r="532" customFormat="false" ht="16.15" hidden="false" customHeight="false" outlineLevel="0" collapsed="false">
      <c r="B532" s="1" t="s">
        <v>1191</v>
      </c>
      <c r="C532" s="1" t="s">
        <v>783</v>
      </c>
      <c r="D532" s="13" t="n">
        <v>0.854166666666667</v>
      </c>
      <c r="E532" s="1" t="s">
        <v>1196</v>
      </c>
      <c r="F532" s="1" t="s">
        <v>1205</v>
      </c>
      <c r="G532" s="1"/>
      <c r="H532" s="2" t="s">
        <v>1296</v>
      </c>
      <c r="I532" s="1" t="n">
        <v>27.3</v>
      </c>
      <c r="J532" s="1" t="n">
        <v>18.3</v>
      </c>
      <c r="K532" s="1" t="n">
        <v>81.7</v>
      </c>
      <c r="L532" s="1" t="n">
        <v>45.6</v>
      </c>
      <c r="M532" s="1" t="n">
        <v>72.7</v>
      </c>
      <c r="N532" s="1" t="n">
        <v>40.5</v>
      </c>
      <c r="O532" s="1" t="n">
        <v>43.3</v>
      </c>
      <c r="P532" s="1" t="n">
        <v>16.2</v>
      </c>
      <c r="Q532" s="1" t="n">
        <v>67.5</v>
      </c>
      <c r="R532" s="1" t="n">
        <v>70.7</v>
      </c>
      <c r="S532" s="1" t="n">
        <v>43.5</v>
      </c>
      <c r="T532" s="1" t="n">
        <v>56.5</v>
      </c>
      <c r="U532" s="1" t="n">
        <v>63.4</v>
      </c>
      <c r="V532" s="1" t="n">
        <v>45.9</v>
      </c>
      <c r="W532" s="1" t="n">
        <v>54.1</v>
      </c>
      <c r="AH532" s="1"/>
      <c r="AI532" s="3"/>
    </row>
    <row r="533" customFormat="false" ht="16.15" hidden="false" customHeight="false" outlineLevel="0" collapsed="false">
      <c r="B533" s="1" t="s">
        <v>184</v>
      </c>
      <c r="C533" s="1" t="s">
        <v>783</v>
      </c>
      <c r="D533" s="13" t="n">
        <v>0.875</v>
      </c>
      <c r="E533" s="1" t="s">
        <v>1297</v>
      </c>
      <c r="F533" s="1" t="s">
        <v>1298</v>
      </c>
      <c r="G533" s="1"/>
      <c r="H533" s="2" t="s">
        <v>1299</v>
      </c>
      <c r="I533" s="1" t="n">
        <v>25.2</v>
      </c>
      <c r="J533" s="1" t="n">
        <v>21.5</v>
      </c>
      <c r="K533" s="1" t="n">
        <v>78.5</v>
      </c>
      <c r="L533" s="1" t="n">
        <v>46.8</v>
      </c>
      <c r="M533" s="1" t="n">
        <v>74.8</v>
      </c>
      <c r="N533" s="1" t="n">
        <v>48.9</v>
      </c>
      <c r="O533" s="1" t="n">
        <v>40.1</v>
      </c>
      <c r="P533" s="1" t="n">
        <v>11</v>
      </c>
      <c r="Q533" s="1" t="n">
        <v>69</v>
      </c>
      <c r="R533" s="1" t="n">
        <v>82.1</v>
      </c>
      <c r="S533" s="1" t="n">
        <v>59.2</v>
      </c>
      <c r="T533" s="1" t="n">
        <v>40.8</v>
      </c>
      <c r="U533" s="1" t="n">
        <v>47.5</v>
      </c>
      <c r="V533" s="1" t="n">
        <v>59.7</v>
      </c>
      <c r="W533" s="1" t="n">
        <v>40.3</v>
      </c>
      <c r="AH533" s="1"/>
      <c r="AI533" s="3"/>
    </row>
    <row r="534" customFormat="false" ht="16.15" hidden="false" customHeight="false" outlineLevel="0" collapsed="false">
      <c r="B534" s="1" t="s">
        <v>225</v>
      </c>
      <c r="C534" s="1" t="s">
        <v>783</v>
      </c>
      <c r="D534" s="13" t="n">
        <v>0.875</v>
      </c>
      <c r="E534" s="1" t="s">
        <v>1300</v>
      </c>
      <c r="F534" s="1" t="s">
        <v>1301</v>
      </c>
      <c r="G534" s="1"/>
      <c r="H534" s="2" t="s">
        <v>1302</v>
      </c>
      <c r="I534" s="1" t="n">
        <v>22.8</v>
      </c>
      <c r="J534" s="1" t="n">
        <v>13.5</v>
      </c>
      <c r="K534" s="1" t="n">
        <v>86.5</v>
      </c>
      <c r="L534" s="1" t="n">
        <v>36.3</v>
      </c>
      <c r="M534" s="1" t="n">
        <v>77.2</v>
      </c>
      <c r="N534" s="1" t="s">
        <v>533</v>
      </c>
      <c r="O534" s="1" t="s">
        <v>533</v>
      </c>
      <c r="P534" s="1" t="s">
        <v>533</v>
      </c>
      <c r="Q534" s="1" t="s">
        <v>533</v>
      </c>
      <c r="R534" s="1" t="n">
        <v>81</v>
      </c>
      <c r="S534" s="1" t="n">
        <v>57.6</v>
      </c>
      <c r="T534" s="1" t="n">
        <v>42.4</v>
      </c>
      <c r="U534" s="1" t="n">
        <v>51.1</v>
      </c>
      <c r="V534" s="1" t="n">
        <v>52.7</v>
      </c>
      <c r="W534" s="1" t="n">
        <v>47.3</v>
      </c>
      <c r="AH534" s="1"/>
      <c r="AI534" s="3"/>
    </row>
    <row r="535" customFormat="false" ht="16.15" hidden="false" customHeight="false" outlineLevel="0" collapsed="false">
      <c r="B535" s="1" t="s">
        <v>214</v>
      </c>
      <c r="C535" s="1" t="s">
        <v>783</v>
      </c>
      <c r="D535" s="13" t="n">
        <v>0.875</v>
      </c>
      <c r="E535" s="1" t="s">
        <v>1303</v>
      </c>
      <c r="F535" s="1" t="s">
        <v>1304</v>
      </c>
      <c r="G535" s="1"/>
      <c r="H535" s="2" t="s">
        <v>1305</v>
      </c>
      <c r="I535" s="1" t="n">
        <v>19.8</v>
      </c>
      <c r="J535" s="1" t="n">
        <v>7</v>
      </c>
      <c r="K535" s="1" t="n">
        <v>93</v>
      </c>
      <c r="L535" s="1" t="n">
        <v>26.8</v>
      </c>
      <c r="M535" s="1" t="n">
        <v>80.2</v>
      </c>
      <c r="N535" s="1" t="n">
        <v>64.9</v>
      </c>
      <c r="O535" s="1" t="n">
        <v>26.4</v>
      </c>
      <c r="P535" s="1" t="n">
        <v>8.7</v>
      </c>
      <c r="Q535" s="1" t="n">
        <v>84.9</v>
      </c>
      <c r="R535" s="1" t="n">
        <v>85.6</v>
      </c>
      <c r="S535" s="1" t="n">
        <v>65.4</v>
      </c>
      <c r="T535" s="1" t="n">
        <v>34.6</v>
      </c>
      <c r="U535" s="1" t="n">
        <v>45.8</v>
      </c>
      <c r="V535" s="1" t="n">
        <v>49.9</v>
      </c>
      <c r="W535" s="1" t="n">
        <v>50.1</v>
      </c>
      <c r="AH535" s="1"/>
      <c r="AI535" s="3"/>
    </row>
    <row r="536" customFormat="false" ht="16.15" hidden="false" customHeight="false" outlineLevel="0" collapsed="false">
      <c r="B536" s="1" t="s">
        <v>161</v>
      </c>
      <c r="C536" s="1" t="s">
        <v>783</v>
      </c>
      <c r="D536" s="13" t="n">
        <v>0.875</v>
      </c>
      <c r="E536" s="1" t="s">
        <v>1306</v>
      </c>
      <c r="F536" s="1" t="s">
        <v>1307</v>
      </c>
      <c r="G536" s="1"/>
      <c r="H536" s="2" t="s">
        <v>1308</v>
      </c>
      <c r="I536" s="1" t="n">
        <v>26.7</v>
      </c>
      <c r="J536" s="1" t="n">
        <v>27.2</v>
      </c>
      <c r="K536" s="1" t="n">
        <v>72.8</v>
      </c>
      <c r="L536" s="1" t="n">
        <v>54</v>
      </c>
      <c r="M536" s="1" t="n">
        <v>73.3</v>
      </c>
      <c r="N536" s="1" t="n">
        <v>27.4</v>
      </c>
      <c r="O536" s="1" t="n">
        <v>42.9</v>
      </c>
      <c r="P536" s="1" t="n">
        <v>29.7</v>
      </c>
      <c r="Q536" s="1" t="n">
        <v>70.8</v>
      </c>
      <c r="R536" s="1" t="n">
        <v>80.6</v>
      </c>
      <c r="S536" s="1" t="n">
        <v>56.7</v>
      </c>
      <c r="T536" s="1" t="n">
        <v>43.3</v>
      </c>
      <c r="U536" s="1" t="n">
        <v>49.3</v>
      </c>
      <c r="V536" s="1" t="n">
        <v>59.8</v>
      </c>
      <c r="W536" s="1" t="n">
        <v>40.2</v>
      </c>
      <c r="AH536" s="1"/>
      <c r="AI536" s="3"/>
    </row>
    <row r="537" customFormat="false" ht="16.15" hidden="false" customHeight="false" outlineLevel="0" collapsed="false">
      <c r="B537" s="1" t="s">
        <v>172</v>
      </c>
      <c r="C537" s="1" t="s">
        <v>783</v>
      </c>
      <c r="D537" s="13" t="n">
        <v>0.895833333333333</v>
      </c>
      <c r="E537" s="1" t="s">
        <v>1309</v>
      </c>
      <c r="F537" s="1" t="s">
        <v>1310</v>
      </c>
      <c r="G537" s="1"/>
      <c r="H537" s="2" t="s">
        <v>1076</v>
      </c>
      <c r="I537" s="1" t="n">
        <v>29.4</v>
      </c>
      <c r="J537" s="1" t="n">
        <v>22.8</v>
      </c>
      <c r="K537" s="1" t="n">
        <v>77.2</v>
      </c>
      <c r="L537" s="1" t="n">
        <v>52.3</v>
      </c>
      <c r="M537" s="1" t="n">
        <v>70.6</v>
      </c>
      <c r="N537" s="1" t="n">
        <v>33.8</v>
      </c>
      <c r="O537" s="1" t="n">
        <v>43.5</v>
      </c>
      <c r="P537" s="1" t="n">
        <v>22.7</v>
      </c>
      <c r="Q537" s="1" t="n">
        <v>69.2</v>
      </c>
      <c r="R537" s="1" t="n">
        <v>68.5</v>
      </c>
      <c r="S537" s="1" t="n">
        <v>40.8</v>
      </c>
      <c r="T537" s="1" t="n">
        <v>59.2</v>
      </c>
      <c r="U537" s="1" t="n">
        <v>65.1</v>
      </c>
      <c r="V537" s="1" t="n">
        <v>46.2</v>
      </c>
      <c r="W537" s="1" t="n">
        <v>53.8</v>
      </c>
      <c r="AH537" s="1"/>
      <c r="AI537" s="3"/>
    </row>
    <row r="538" customFormat="false" ht="16.15" hidden="false" customHeight="false" outlineLevel="0" collapsed="false">
      <c r="B538" s="1" t="s">
        <v>731</v>
      </c>
      <c r="C538" s="1" t="s">
        <v>783</v>
      </c>
      <c r="D538" s="13" t="n">
        <v>0.916666666666667</v>
      </c>
      <c r="E538" s="1" t="s">
        <v>1311</v>
      </c>
      <c r="F538" s="1" t="s">
        <v>1312</v>
      </c>
      <c r="G538" s="1"/>
      <c r="H538" s="2" t="s">
        <v>1161</v>
      </c>
      <c r="I538" s="1" t="n">
        <v>27</v>
      </c>
      <c r="J538" s="1" t="n">
        <v>49.5</v>
      </c>
      <c r="K538" s="1" t="n">
        <v>50.5</v>
      </c>
      <c r="L538" s="1" t="n">
        <v>76.6</v>
      </c>
      <c r="M538" s="1" t="n">
        <v>73</v>
      </c>
      <c r="N538" s="1" t="n">
        <v>15.1</v>
      </c>
      <c r="O538" s="1" t="n">
        <v>39.1</v>
      </c>
      <c r="P538" s="1" t="n">
        <v>45.8</v>
      </c>
      <c r="Q538" s="1" t="n">
        <v>73.6</v>
      </c>
      <c r="R538" s="1" t="n">
        <v>80.7</v>
      </c>
      <c r="S538" s="1" t="n">
        <v>57</v>
      </c>
      <c r="T538" s="1" t="n">
        <v>43</v>
      </c>
      <c r="U538" s="1" t="n">
        <v>49.4</v>
      </c>
      <c r="V538" s="1" t="n">
        <v>59</v>
      </c>
      <c r="W538" s="1" t="n">
        <v>41</v>
      </c>
      <c r="AH538" s="1"/>
      <c r="AI538" s="3"/>
    </row>
    <row r="539" customFormat="false" ht="16.15" hidden="false" customHeight="false" outlineLevel="0" collapsed="false">
      <c r="B539" s="1" t="s">
        <v>667</v>
      </c>
      <c r="C539" s="1" t="s">
        <v>783</v>
      </c>
      <c r="D539" s="13" t="n">
        <v>0.930555555555556</v>
      </c>
      <c r="E539" s="1" t="s">
        <v>1313</v>
      </c>
      <c r="F539" s="1" t="s">
        <v>1314</v>
      </c>
      <c r="G539" s="1"/>
      <c r="H539" s="2" t="s">
        <v>1252</v>
      </c>
      <c r="I539" s="1" t="n">
        <v>32</v>
      </c>
      <c r="J539" s="1" t="n">
        <v>28.5</v>
      </c>
      <c r="K539" s="1" t="n">
        <v>71.5</v>
      </c>
      <c r="L539" s="1" t="n">
        <v>60.6</v>
      </c>
      <c r="M539" s="1" t="n">
        <v>68</v>
      </c>
      <c r="N539" s="1" t="n">
        <v>28</v>
      </c>
      <c r="O539" s="1" t="n">
        <v>50.1</v>
      </c>
      <c r="P539" s="1" t="n">
        <v>21.9</v>
      </c>
      <c r="Q539" s="1" t="n">
        <v>59.6</v>
      </c>
      <c r="R539" s="1" t="n">
        <v>64.2</v>
      </c>
      <c r="S539" s="1" t="n">
        <v>35.9</v>
      </c>
      <c r="T539" s="1" t="n">
        <v>64.1</v>
      </c>
      <c r="U539" s="1" t="n">
        <v>69.1</v>
      </c>
      <c r="V539" s="1" t="n">
        <v>43.9</v>
      </c>
      <c r="W539" s="1" t="n">
        <v>56.1</v>
      </c>
      <c r="AH539" s="1"/>
      <c r="AI539" s="3"/>
    </row>
    <row r="540" customFormat="false" ht="16.15" hidden="false" customHeight="false" outlineLevel="0" collapsed="false">
      <c r="B540" s="1" t="s">
        <v>214</v>
      </c>
      <c r="C540" s="1" t="s">
        <v>783</v>
      </c>
      <c r="D540" s="13" t="n">
        <v>0.965277777777778</v>
      </c>
      <c r="E540" s="1" t="s">
        <v>1315</v>
      </c>
      <c r="F540" s="1" t="s">
        <v>1316</v>
      </c>
      <c r="G540" s="1"/>
      <c r="H540" s="2" t="s">
        <v>917</v>
      </c>
      <c r="I540" s="1" t="n">
        <v>22.5</v>
      </c>
      <c r="J540" s="1" t="n">
        <v>13.9</v>
      </c>
      <c r="K540" s="1" t="n">
        <v>86.1</v>
      </c>
      <c r="L540" s="1" t="n">
        <v>36.4</v>
      </c>
      <c r="M540" s="1" t="n">
        <v>77.5</v>
      </c>
      <c r="N540" s="1" t="n">
        <v>55.2</v>
      </c>
      <c r="O540" s="1" t="n">
        <v>32</v>
      </c>
      <c r="P540" s="1" t="n">
        <v>12.8</v>
      </c>
      <c r="Q540" s="1" t="n">
        <v>80.8</v>
      </c>
      <c r="R540" s="1" t="n">
        <v>88</v>
      </c>
      <c r="S540" s="1" t="n">
        <v>69.4</v>
      </c>
      <c r="T540" s="1" t="n">
        <v>30.6</v>
      </c>
      <c r="U540" s="1" t="n">
        <v>38.5</v>
      </c>
      <c r="V540" s="1" t="n">
        <v>62.7</v>
      </c>
      <c r="W540" s="1" t="n">
        <v>37.3</v>
      </c>
      <c r="AH540" s="1"/>
      <c r="AI540" s="3"/>
    </row>
    <row r="541" customFormat="false" ht="16.15" hidden="true" customHeight="false" outlineLevel="0" collapsed="false">
      <c r="B541" s="1" t="s">
        <v>192</v>
      </c>
      <c r="C541" s="1" t="s">
        <v>783</v>
      </c>
      <c r="D541" s="13" t="n">
        <v>0.979166666666667</v>
      </c>
      <c r="E541" s="1" t="s">
        <v>1317</v>
      </c>
      <c r="F541" s="1" t="s">
        <v>1318</v>
      </c>
      <c r="G541" s="1"/>
      <c r="H541" s="2" t="s">
        <v>1319</v>
      </c>
      <c r="I541" s="1" t="n">
        <v>25.3</v>
      </c>
      <c r="J541" s="1" t="n">
        <v>23.1</v>
      </c>
      <c r="K541" s="1" t="n">
        <v>76.9</v>
      </c>
      <c r="L541" s="1" t="n">
        <v>48.4</v>
      </c>
      <c r="M541" s="1" t="n">
        <v>74.7</v>
      </c>
      <c r="N541" s="1" t="n">
        <v>46</v>
      </c>
      <c r="O541" s="1" t="n">
        <v>36.2</v>
      </c>
      <c r="P541" s="1" t="n">
        <v>17.9</v>
      </c>
      <c r="Q541" s="1" t="n">
        <v>78</v>
      </c>
      <c r="R541" s="1" t="n">
        <v>83.4</v>
      </c>
      <c r="S541" s="1" t="n">
        <v>61.2</v>
      </c>
      <c r="T541" s="1" t="n">
        <v>38.8</v>
      </c>
      <c r="U541" s="1" t="n">
        <v>45.2</v>
      </c>
      <c r="V541" s="1" t="n">
        <v>61.9</v>
      </c>
      <c r="W541" s="1" t="n">
        <v>38.1</v>
      </c>
      <c r="Z541" s="1" t="s">
        <v>54</v>
      </c>
      <c r="AH541" s="1"/>
      <c r="AI541" s="3"/>
    </row>
    <row r="1048348" customFormat="false" ht="12.8" hidden="true" customHeight="false" outlineLevel="0" collapsed="false"/>
    <row r="1048349" customFormat="false" ht="12.8" hidden="true" customHeight="false" outlineLevel="0" collapsed="false"/>
    <row r="1048350" customFormat="false" ht="12.8" hidden="true" customHeight="false" outlineLevel="0" collapsed="false"/>
    <row r="1048351" customFormat="false" ht="12.8" hidden="true" customHeight="false" outlineLevel="0" collapsed="false"/>
    <row r="1048352" customFormat="false" ht="12.8" hidden="true" customHeight="false" outlineLevel="0" collapsed="false"/>
    <row r="1048353" customFormat="false" ht="12.8" hidden="true" customHeight="false" outlineLevel="0" collapsed="false"/>
    <row r="1048354" customFormat="false" ht="12.8" hidden="true" customHeight="false" outlineLevel="0" collapsed="false"/>
    <row r="1048355" customFormat="false" ht="12.8" hidden="true" customHeight="false" outlineLevel="0" collapsed="false"/>
    <row r="1048356" customFormat="false" ht="12.8" hidden="true" customHeight="false" outlineLevel="0" collapsed="false"/>
    <row r="1048357" customFormat="false" ht="12.8" hidden="true" customHeight="false" outlineLevel="0" collapsed="false"/>
    <row r="1048358" customFormat="false" ht="12.8" hidden="true" customHeight="false" outlineLevel="0" collapsed="false"/>
    <row r="1048359" customFormat="false" ht="12.8" hidden="true" customHeight="false" outlineLevel="0" collapsed="false"/>
    <row r="1048360" customFormat="false" ht="12.8" hidden="true" customHeight="false" outlineLevel="0" collapsed="false"/>
    <row r="1048361" customFormat="false" ht="12.8" hidden="true" customHeight="false" outlineLevel="0" collapsed="false"/>
    <row r="1048362" customFormat="false" ht="12.8" hidden="true" customHeight="false" outlineLevel="0" collapsed="false"/>
    <row r="1048363" customFormat="false" ht="12.8" hidden="true" customHeight="false" outlineLevel="0" collapsed="false"/>
    <row r="1048364" customFormat="false" ht="12.8" hidden="true" customHeight="false" outlineLevel="0" collapsed="false"/>
    <row r="1048365" customFormat="false" ht="12.8" hidden="true" customHeight="false" outlineLevel="0" collapsed="false"/>
    <row r="1048366" customFormat="false" ht="12.8" hidden="true" customHeight="false" outlineLevel="0" collapsed="false"/>
    <row r="1048367" customFormat="false" ht="12.8" hidden="true" customHeight="false" outlineLevel="0" collapsed="false"/>
    <row r="1048368" customFormat="false" ht="12.8" hidden="true" customHeight="false" outlineLevel="0" collapsed="false"/>
    <row r="1048369" customFormat="false" ht="12.8" hidden="true" customHeight="false" outlineLevel="0" collapsed="false"/>
    <row r="1048370" customFormat="false" ht="12.8" hidden="true" customHeight="false" outlineLevel="0" collapsed="false"/>
    <row r="1048371" customFormat="false" ht="12.8" hidden="true" customHeight="false" outlineLevel="0" collapsed="false"/>
    <row r="1048372" customFormat="false" ht="12.8" hidden="true" customHeight="false" outlineLevel="0" collapsed="false"/>
    <row r="1048373" customFormat="false" ht="12.8" hidden="true" customHeight="false" outlineLevel="0" collapsed="false"/>
    <row r="1048374" customFormat="false" ht="12.8" hidden="true" customHeight="false" outlineLevel="0" collapsed="false"/>
    <row r="1048375" customFormat="false" ht="12.8" hidden="true" customHeight="false" outlineLevel="0" collapsed="false"/>
    <row r="1048376" customFormat="false" ht="12.8" hidden="true" customHeight="false" outlineLevel="0" collapsed="false"/>
    <row r="1048377" customFormat="false" ht="12.8" hidden="true" customHeight="false" outlineLevel="0" collapsed="false"/>
    <row r="1048378" customFormat="false" ht="12.8" hidden="true" customHeight="false" outlineLevel="0" collapsed="false"/>
    <row r="1048379" customFormat="false" ht="12.8" hidden="true" customHeight="false" outlineLevel="0" collapsed="false"/>
    <row r="1048380" customFormat="false" ht="12.8" hidden="true" customHeight="false" outlineLevel="0" collapsed="false"/>
    <row r="1048381" customFormat="false" ht="12.8" hidden="true" customHeight="false" outlineLevel="0" collapsed="false"/>
    <row r="1048382" customFormat="false" ht="12.8" hidden="true" customHeight="false" outlineLevel="0" collapsed="false"/>
    <row r="1048383" customFormat="false" ht="12.8" hidden="true" customHeight="false" outlineLevel="0" collapsed="false"/>
    <row r="1048384" customFormat="false" ht="12.8" hidden="true" customHeight="false" outlineLevel="0" collapsed="false"/>
    <row r="1048385" customFormat="false" ht="12.8" hidden="true" customHeight="false" outlineLevel="0" collapsed="false"/>
    <row r="1048386" customFormat="false" ht="12.8" hidden="true" customHeight="false" outlineLevel="0" collapsed="false"/>
    <row r="1048387" customFormat="false" ht="12.8" hidden="true" customHeight="false" outlineLevel="0" collapsed="false"/>
    <row r="1048388" customFormat="false" ht="12.8" hidden="true" customHeight="false" outlineLevel="0" collapsed="false"/>
    <row r="1048389" customFormat="false" ht="12.8" hidden="true" customHeight="false" outlineLevel="0" collapsed="false"/>
    <row r="1048390" customFormat="false" ht="12.8" hidden="true" customHeight="false" outlineLevel="0" collapsed="false"/>
    <row r="1048391" customFormat="false" ht="12.8" hidden="true" customHeight="false" outlineLevel="0" collapsed="false"/>
    <row r="1048392" customFormat="false" ht="12.8" hidden="true" customHeight="false" outlineLevel="0" collapsed="false"/>
    <row r="1048393" customFormat="false" ht="12.8" hidden="true" customHeight="false" outlineLevel="0" collapsed="false"/>
    <row r="1048394" customFormat="false" ht="12.8" hidden="true" customHeight="false" outlineLevel="0" collapsed="false"/>
    <row r="1048395" customFormat="false" ht="12.8" hidden="true" customHeight="false" outlineLevel="0" collapsed="false"/>
    <row r="1048396" customFormat="false" ht="12.8" hidden="true" customHeight="false" outlineLevel="0" collapsed="false"/>
    <row r="1048397" customFormat="false" ht="12.8" hidden="true" customHeight="false" outlineLevel="0" collapsed="false"/>
    <row r="1048398" customFormat="false" ht="12.8" hidden="true" customHeight="false" outlineLevel="0" collapsed="false"/>
    <row r="1048399" customFormat="false" ht="12.8" hidden="true" customHeight="false" outlineLevel="0" collapsed="false"/>
    <row r="1048400" customFormat="false" ht="12.8" hidden="true" customHeight="false" outlineLevel="0" collapsed="false"/>
    <row r="1048401" customFormat="false" ht="12.8" hidden="true" customHeight="false" outlineLevel="0" collapsed="false"/>
    <row r="1048402" customFormat="false" ht="12.8" hidden="true" customHeight="false" outlineLevel="0" collapsed="false"/>
    <row r="1048403" customFormat="false" ht="12.8" hidden="true" customHeight="false" outlineLevel="0" collapsed="false"/>
    <row r="1048404" customFormat="false" ht="12.8" hidden="true" customHeight="false" outlineLevel="0" collapsed="false"/>
    <row r="1048405" customFormat="false" ht="12.8" hidden="true" customHeight="false" outlineLevel="0" collapsed="false"/>
    <row r="1048406" customFormat="false" ht="12.8" hidden="true" customHeight="false" outlineLevel="0" collapsed="false"/>
    <row r="1048407" customFormat="false" ht="12.8" hidden="true" customHeight="false" outlineLevel="0" collapsed="false"/>
    <row r="1048408" customFormat="false" ht="12.8" hidden="true" customHeight="false" outlineLevel="0" collapsed="false"/>
    <row r="1048409" customFormat="false" ht="12.8" hidden="true" customHeight="false" outlineLevel="0" collapsed="false"/>
    <row r="1048410" customFormat="false" ht="12.8" hidden="true" customHeight="false" outlineLevel="0" collapsed="false"/>
    <row r="1048411" customFormat="false" ht="12.8" hidden="true" customHeight="false" outlineLevel="0" collapsed="false"/>
    <row r="1048412" customFormat="false" ht="12.8" hidden="true" customHeight="false" outlineLevel="0" collapsed="false"/>
    <row r="1048413" customFormat="false" ht="12.8" hidden="true" customHeight="false" outlineLevel="0" collapsed="false"/>
    <row r="1048414" customFormat="false" ht="12.8" hidden="true" customHeight="false" outlineLevel="0" collapsed="false"/>
    <row r="1048415" customFormat="false" ht="12.8" hidden="true" customHeight="false" outlineLevel="0" collapsed="false"/>
    <row r="1048416" customFormat="false" ht="12.8" hidden="true" customHeight="false" outlineLevel="0" collapsed="false"/>
    <row r="1048417" customFormat="false" ht="12.8" hidden="true" customHeight="false" outlineLevel="0" collapsed="false"/>
    <row r="1048418" customFormat="false" ht="12.8" hidden="true" customHeight="false" outlineLevel="0" collapsed="false"/>
    <row r="1048419" customFormat="false" ht="12.8" hidden="true" customHeight="false" outlineLevel="0" collapsed="false"/>
    <row r="1048420" customFormat="false" ht="12.8" hidden="true" customHeight="false" outlineLevel="0" collapsed="false"/>
    <row r="1048421" customFormat="false" ht="12.8" hidden="true" customHeight="false" outlineLevel="0" collapsed="false"/>
    <row r="1048422" customFormat="false" ht="12.8" hidden="true" customHeight="false" outlineLevel="0" collapsed="false"/>
    <row r="1048423" customFormat="false" ht="12.8" hidden="true" customHeight="false" outlineLevel="0" collapsed="false"/>
    <row r="1048424" customFormat="false" ht="12.8" hidden="true" customHeight="false" outlineLevel="0" collapsed="false"/>
    <row r="1048425" customFormat="false" ht="12.8" hidden="true" customHeight="false" outlineLevel="0" collapsed="false"/>
    <row r="1048426" customFormat="false" ht="12.8" hidden="true" customHeight="false" outlineLevel="0" collapsed="false"/>
    <row r="1048427" customFormat="false" ht="12.8" hidden="true" customHeight="false" outlineLevel="0" collapsed="false"/>
    <row r="1048428" customFormat="false" ht="12.8" hidden="true" customHeight="false" outlineLevel="0" collapsed="false"/>
    <row r="1048429" customFormat="false" ht="12.8" hidden="true" customHeight="false" outlineLevel="0" collapsed="false"/>
    <row r="1048430" customFormat="false" ht="12.8" hidden="true" customHeight="false" outlineLevel="0" collapsed="false"/>
    <row r="1048431" customFormat="false" ht="12.8" hidden="true" customHeight="false" outlineLevel="0" collapsed="false"/>
    <row r="1048432" customFormat="false" ht="12.8" hidden="true" customHeight="false" outlineLevel="0" collapsed="false"/>
    <row r="1048433" customFormat="false" ht="12.8" hidden="true" customHeight="false" outlineLevel="0" collapsed="false"/>
    <row r="1048434" customFormat="false" ht="12.8" hidden="true" customHeight="false" outlineLevel="0" collapsed="false"/>
    <row r="1048435" customFormat="false" ht="12.8" hidden="true" customHeight="false" outlineLevel="0" collapsed="false"/>
    <row r="1048436" customFormat="false" ht="12.8" hidden="true" customHeight="false" outlineLevel="0" collapsed="false"/>
    <row r="1048437" customFormat="false" ht="12.8" hidden="true" customHeight="false" outlineLevel="0" collapsed="false"/>
    <row r="1048438" customFormat="false" ht="12.8" hidden="true" customHeight="false" outlineLevel="0" collapsed="false"/>
    <row r="1048439" customFormat="false" ht="12.8" hidden="true" customHeight="false" outlineLevel="0" collapsed="false"/>
    <row r="1048440" customFormat="false" ht="12.8" hidden="true" customHeight="false" outlineLevel="0" collapsed="false"/>
    <row r="1048441" customFormat="false" ht="12.8" hidden="true" customHeight="false" outlineLevel="0" collapsed="false"/>
    <row r="1048442" customFormat="false" ht="12.8" hidden="true" customHeight="false" outlineLevel="0" collapsed="false"/>
    <row r="1048443" customFormat="false" ht="12.8" hidden="true" customHeight="false" outlineLevel="0" collapsed="false"/>
    <row r="1048444" customFormat="false" ht="12.8" hidden="true" customHeight="false" outlineLevel="0" collapsed="false"/>
    <row r="1048445" customFormat="false" ht="12.8" hidden="true" customHeight="false" outlineLevel="0" collapsed="false"/>
    <row r="1048446" customFormat="false" ht="12.8" hidden="true" customHeight="false" outlineLevel="0" collapsed="false"/>
    <row r="1048447" customFormat="false" ht="12.8" hidden="true" customHeight="false" outlineLevel="0" collapsed="false"/>
    <row r="1048448" customFormat="false" ht="12.8" hidden="true" customHeight="false" outlineLevel="0" collapsed="false"/>
    <row r="1048449" customFormat="false" ht="12.8" hidden="true" customHeight="false" outlineLevel="0" collapsed="false"/>
    <row r="1048450" customFormat="false" ht="12.8" hidden="true" customHeight="false" outlineLevel="0" collapsed="false"/>
    <row r="1048451" customFormat="false" ht="12.8" hidden="true" customHeight="false" outlineLevel="0" collapsed="false"/>
    <row r="1048452" customFormat="false" ht="12.8" hidden="true" customHeight="false" outlineLevel="0" collapsed="false"/>
    <row r="1048453" customFormat="false" ht="12.8" hidden="true" customHeight="false" outlineLevel="0" collapsed="false"/>
    <row r="1048454" customFormat="false" ht="12.8" hidden="true" customHeight="false" outlineLevel="0" collapsed="false"/>
    <row r="1048455" customFormat="false" ht="12.8" hidden="true" customHeight="false" outlineLevel="0" collapsed="false"/>
    <row r="1048456" customFormat="false" ht="12.8" hidden="true" customHeight="false" outlineLevel="0" collapsed="false"/>
    <row r="1048457" customFormat="false" ht="12.8" hidden="true" customHeight="false" outlineLevel="0" collapsed="false"/>
    <row r="1048458" customFormat="false" ht="12.8" hidden="true" customHeight="false" outlineLevel="0" collapsed="false"/>
    <row r="1048459" customFormat="false" ht="12.8" hidden="true" customHeight="false" outlineLevel="0" collapsed="false"/>
    <row r="1048460" customFormat="false" ht="12.8" hidden="true" customHeight="false" outlineLevel="0" collapsed="false"/>
    <row r="1048461" customFormat="false" ht="12.8" hidden="true" customHeight="false" outlineLevel="0" collapsed="false"/>
    <row r="1048462" customFormat="false" ht="12.8" hidden="true" customHeight="false" outlineLevel="0" collapsed="false"/>
    <row r="1048463" customFormat="false" ht="12.8" hidden="true" customHeight="false" outlineLevel="0" collapsed="false"/>
    <row r="1048464" customFormat="false" ht="12.8" hidden="true" customHeight="false" outlineLevel="0" collapsed="false"/>
    <row r="1048465" customFormat="false" ht="12.8" hidden="true" customHeight="false" outlineLevel="0" collapsed="false"/>
    <row r="1048466" customFormat="false" ht="12.8" hidden="true" customHeight="false" outlineLevel="0" collapsed="false"/>
    <row r="1048467" customFormat="false" ht="12.8" hidden="true" customHeight="false" outlineLevel="0" collapsed="false"/>
    <row r="1048468" customFormat="false" ht="12.8" hidden="true" customHeight="false" outlineLevel="0" collapsed="false"/>
    <row r="1048469" customFormat="false" ht="12.8" hidden="true" customHeight="false" outlineLevel="0" collapsed="false"/>
    <row r="1048470" customFormat="false" ht="12.8" hidden="true" customHeight="false" outlineLevel="0" collapsed="false"/>
    <row r="1048471" customFormat="false" ht="12.8" hidden="true" customHeight="false" outlineLevel="0" collapsed="false"/>
    <row r="1048472" customFormat="false" ht="12.8" hidden="true" customHeight="false" outlineLevel="0" collapsed="false"/>
    <row r="1048473" customFormat="false" ht="12.8" hidden="true" customHeight="false" outlineLevel="0" collapsed="false"/>
    <row r="1048474" customFormat="false" ht="12.8" hidden="true" customHeight="false" outlineLevel="0" collapsed="false"/>
    <row r="1048475" customFormat="false" ht="12.8" hidden="true" customHeight="false" outlineLevel="0" collapsed="false"/>
    <row r="1048476" customFormat="false" ht="12.8" hidden="true" customHeight="false" outlineLevel="0" collapsed="false"/>
    <row r="1048477" customFormat="false" ht="12.8" hidden="true" customHeight="false" outlineLevel="0" collapsed="false"/>
    <row r="1048478" customFormat="false" ht="12.8" hidden="true" customHeight="false" outlineLevel="0" collapsed="false"/>
    <row r="1048479" customFormat="false" ht="12.8" hidden="true" customHeight="false" outlineLevel="0" collapsed="false"/>
    <row r="1048480" customFormat="false" ht="12.8" hidden="true" customHeight="false" outlineLevel="0" collapsed="false"/>
    <row r="1048481" customFormat="false" ht="12.8" hidden="true" customHeight="false" outlineLevel="0" collapsed="false"/>
    <row r="1048482" customFormat="false" ht="12.8" hidden="true" customHeight="false" outlineLevel="0" collapsed="false"/>
    <row r="1048483" customFormat="false" ht="12.8" hidden="true" customHeight="false" outlineLevel="0" collapsed="false"/>
    <row r="1048484" customFormat="false" ht="12.8" hidden="true" customHeight="false" outlineLevel="0" collapsed="false"/>
    <row r="1048485" customFormat="false" ht="12.8" hidden="true" customHeight="false" outlineLevel="0" collapsed="false"/>
    <row r="1048486" customFormat="false" ht="12.8" hidden="true" customHeight="false" outlineLevel="0" collapsed="false"/>
    <row r="1048487" customFormat="false" ht="12.8" hidden="true" customHeight="false" outlineLevel="0" collapsed="false"/>
    <row r="1048488" customFormat="false" ht="12.8" hidden="true" customHeight="false" outlineLevel="0" collapsed="false"/>
    <row r="1048489" customFormat="false" ht="12.8" hidden="true" customHeight="false" outlineLevel="0" collapsed="false"/>
    <row r="1048490" customFormat="false" ht="12.8" hidden="true" customHeight="false" outlineLevel="0" collapsed="false"/>
    <row r="1048491" customFormat="false" ht="12.8" hidden="true" customHeight="false" outlineLevel="0" collapsed="false"/>
    <row r="1048492" customFormat="false" ht="12.8" hidden="true" customHeight="false" outlineLevel="0" collapsed="false"/>
    <row r="1048493" customFormat="false" ht="12.8" hidden="true" customHeight="false" outlineLevel="0" collapsed="false"/>
    <row r="1048494" customFormat="false" ht="12.8" hidden="true" customHeight="false" outlineLevel="0" collapsed="false"/>
    <row r="1048495" customFormat="false" ht="12.8" hidden="true" customHeight="false" outlineLevel="0" collapsed="false"/>
    <row r="1048496" customFormat="false" ht="12.8" hidden="true" customHeight="false" outlineLevel="0" collapsed="false"/>
    <row r="1048497" customFormat="false" ht="12.8" hidden="true" customHeight="false" outlineLevel="0" collapsed="false"/>
    <row r="1048498" customFormat="false" ht="12.8" hidden="true" customHeight="false" outlineLevel="0" collapsed="false"/>
    <row r="1048499" customFormat="false" ht="12.8" hidden="true" customHeight="false" outlineLevel="0" collapsed="false"/>
    <row r="1048500" customFormat="false" ht="12.8" hidden="true" customHeight="false" outlineLevel="0" collapsed="false"/>
    <row r="1048501" customFormat="false" ht="12.8" hidden="true" customHeight="false" outlineLevel="0" collapsed="false"/>
    <row r="1048502" customFormat="false" ht="12.8" hidden="true" customHeight="false" outlineLevel="0" collapsed="false"/>
    <row r="1048503" customFormat="false" ht="12.8" hidden="true" customHeight="false" outlineLevel="0" collapsed="false"/>
    <row r="1048504" customFormat="false" ht="12.8" hidden="true" customHeight="false" outlineLevel="0" collapsed="false"/>
    <row r="1048505" customFormat="false" ht="12.8" hidden="true" customHeight="false" outlineLevel="0" collapsed="false"/>
    <row r="1048506" customFormat="false" ht="12.8" hidden="true" customHeight="false" outlineLevel="0" collapsed="false"/>
    <row r="1048507" customFormat="false" ht="12.8" hidden="true" customHeight="false" outlineLevel="0" collapsed="false"/>
    <row r="1048508" customFormat="false" ht="12.8" hidden="true" customHeight="false" outlineLevel="0" collapsed="false"/>
    <row r="1048509" customFormat="false" ht="12.8" hidden="true" customHeight="false" outlineLevel="0" collapsed="false"/>
    <row r="1048510" customFormat="false" ht="12.8" hidden="true" customHeight="false" outlineLevel="0" collapsed="false"/>
    <row r="1048511" customFormat="false" ht="12.8" hidden="true" customHeight="false" outlineLevel="0" collapsed="false"/>
    <row r="1048512" customFormat="false" ht="12.8" hidden="true" customHeight="false" outlineLevel="0" collapsed="false"/>
    <row r="1048513" customFormat="false" ht="12.8" hidden="true" customHeight="false" outlineLevel="0" collapsed="false"/>
    <row r="1048514" customFormat="false" ht="12.8" hidden="true" customHeight="false" outlineLevel="0" collapsed="false"/>
    <row r="1048515" customFormat="false" ht="12.8" hidden="true" customHeight="false" outlineLevel="0" collapsed="false"/>
    <row r="1048516" customFormat="false" ht="12.8" hidden="true" customHeight="false" outlineLevel="0" collapsed="false"/>
    <row r="1048517" customFormat="false" ht="12.8" hidden="true" customHeight="false" outlineLevel="0" collapsed="false"/>
    <row r="1048518" customFormat="false" ht="12.8" hidden="true" customHeight="false" outlineLevel="0" collapsed="false"/>
    <row r="1048519" customFormat="false" ht="12.8" hidden="true" customHeight="false" outlineLevel="0" collapsed="false"/>
    <row r="1048520" customFormat="false" ht="12.8" hidden="true" customHeight="false" outlineLevel="0" collapsed="false"/>
    <row r="1048521" customFormat="false" ht="12.8" hidden="true" customHeight="false" outlineLevel="0" collapsed="false"/>
    <row r="1048522" customFormat="false" ht="12.8" hidden="true" customHeight="false" outlineLevel="0" collapsed="false"/>
    <row r="1048523" customFormat="false" ht="12.8" hidden="true" customHeight="false" outlineLevel="0" collapsed="false"/>
    <row r="1048524" customFormat="false" ht="12.8" hidden="true" customHeight="false" outlineLevel="0" collapsed="false"/>
    <row r="1048525" customFormat="false" ht="12.8" hidden="true" customHeight="false" outlineLevel="0" collapsed="false"/>
    <row r="1048526" customFormat="false" ht="12.8" hidden="true" customHeight="false" outlineLevel="0" collapsed="false"/>
    <row r="1048527" customFormat="false" ht="12.8" hidden="true" customHeight="false" outlineLevel="0" collapsed="false"/>
    <row r="1048528" customFormat="false" ht="12.8" hidden="true" customHeight="false" outlineLevel="0" collapsed="false"/>
    <row r="1048529" customFormat="false" ht="12.8" hidden="true" customHeight="false" outlineLevel="0" collapsed="false"/>
    <row r="1048530" customFormat="false" ht="12.8" hidden="true" customHeight="false" outlineLevel="0" collapsed="false"/>
    <row r="1048531" customFormat="false" ht="12.8" hidden="true" customHeight="false" outlineLevel="0" collapsed="false"/>
    <row r="1048532" customFormat="false" ht="12.8" hidden="true" customHeight="false" outlineLevel="0" collapsed="false"/>
    <row r="1048533" customFormat="false" ht="12.8" hidden="true" customHeight="false" outlineLevel="0" collapsed="false"/>
    <row r="1048534" customFormat="false" ht="12.8" hidden="true" customHeight="false" outlineLevel="0" collapsed="false"/>
    <row r="1048535" customFormat="false" ht="12.8" hidden="true" customHeight="false" outlineLevel="0" collapsed="false"/>
    <row r="1048536" customFormat="false" ht="12.8" hidden="true" customHeight="false" outlineLevel="0" collapsed="false"/>
    <row r="1048537" customFormat="false" ht="12.8" hidden="true" customHeight="false" outlineLevel="0" collapsed="false"/>
    <row r="1048538" customFormat="false" ht="12.8" hidden="true" customHeight="false" outlineLevel="0" collapsed="false"/>
    <row r="1048539" customFormat="false" ht="12.8" hidden="true" customHeight="false" outlineLevel="0" collapsed="false"/>
    <row r="1048540" customFormat="false" ht="12.8" hidden="true" customHeight="false" outlineLevel="0" collapsed="false"/>
    <row r="1048541" customFormat="false" ht="12.8" hidden="true" customHeight="false" outlineLevel="0" collapsed="false"/>
    <row r="1048542" customFormat="false" ht="12.8" hidden="true" customHeight="false" outlineLevel="0" collapsed="false"/>
    <row r="1048543" customFormat="false" ht="12.8" hidden="true" customHeight="false" outlineLevel="0" collapsed="false"/>
    <row r="1048544" customFormat="false" ht="12.8" hidden="true" customHeight="false" outlineLevel="0" collapsed="false"/>
    <row r="1048545" customFormat="false" ht="12.8" hidden="true" customHeight="false" outlineLevel="0" collapsed="false"/>
    <row r="1048546" customFormat="false" ht="12.8" hidden="true" customHeight="false" outlineLevel="0" collapsed="false"/>
    <row r="1048547" customFormat="false" ht="12.8" hidden="true" customHeight="false" outlineLevel="0" collapsed="false"/>
    <row r="1048548" customFormat="false" ht="12.8" hidden="true" customHeight="false" outlineLevel="0" collapsed="false"/>
    <row r="1048549" customFormat="false" ht="12.8" hidden="true" customHeight="false" outlineLevel="0" collapsed="false"/>
    <row r="1048550" customFormat="false" ht="12.8" hidden="true" customHeight="false" outlineLevel="0" collapsed="false"/>
    <row r="1048551" customFormat="false" ht="12.8" hidden="true" customHeight="false" outlineLevel="0" collapsed="false"/>
    <row r="1048552" customFormat="false" ht="12.8" hidden="true" customHeight="false" outlineLevel="0" collapsed="false"/>
    <row r="1048553" customFormat="false" ht="12.8" hidden="true" customHeight="false" outlineLevel="0" collapsed="false"/>
    <row r="1048554" customFormat="false" ht="12.8" hidden="true" customHeight="false" outlineLevel="0" collapsed="false"/>
    <row r="1048555" customFormat="false" ht="12.8" hidden="true" customHeight="false" outlineLevel="0" collapsed="false"/>
    <row r="1048556" customFormat="false" ht="12.8" hidden="true" customHeight="false" outlineLevel="0" collapsed="false"/>
    <row r="1048557" customFormat="false" ht="12.8" hidden="true" customHeight="false" outlineLevel="0" collapsed="false"/>
    <row r="1048558" customFormat="false" ht="12.8" hidden="true" customHeight="false" outlineLevel="0" collapsed="false"/>
    <row r="1048559" customFormat="false" ht="12.8" hidden="true" customHeight="false" outlineLevel="0" collapsed="false"/>
    <row r="1048560" customFormat="false" ht="12.8" hidden="true" customHeight="false" outlineLevel="0" collapsed="false"/>
    <row r="1048561" customFormat="false" ht="12.8" hidden="true" customHeight="false" outlineLevel="0" collapsed="false"/>
    <row r="1048562" customFormat="false" ht="12.8" hidden="true" customHeight="false" outlineLevel="0" collapsed="false"/>
    <row r="1048563" customFormat="false" ht="12.8" hidden="true" customHeight="false" outlineLevel="0" collapsed="false"/>
    <row r="1048564" customFormat="false" ht="12.8" hidden="true" customHeight="false" outlineLevel="0" collapsed="false"/>
    <row r="1048565" customFormat="false" ht="12.8" hidden="true" customHeight="false" outlineLevel="0" collapsed="false"/>
    <row r="1048566" customFormat="false" ht="12.8" hidden="true" customHeight="false" outlineLevel="0" collapsed="false"/>
    <row r="1048567" customFormat="false" ht="12.8" hidden="true" customHeight="false" outlineLevel="0" collapsed="false"/>
    <row r="1048568" customFormat="false" ht="12.8" hidden="true" customHeight="false" outlineLevel="0" collapsed="false"/>
    <row r="1048569" customFormat="false" ht="12.8" hidden="true" customHeight="false" outlineLevel="0" collapsed="false"/>
    <row r="1048570" customFormat="false" ht="12.8" hidden="true" customHeight="false" outlineLevel="0" collapsed="false"/>
    <row r="1048571" customFormat="false" ht="12.8" hidden="true" customHeight="false" outlineLevel="0" collapsed="false"/>
    <row r="1048572" customFormat="false" ht="12.8" hidden="true" customHeight="false" outlineLevel="0" collapsed="false"/>
    <row r="1048573" customFormat="false" ht="12.8" hidden="true" customHeight="false" outlineLevel="0" collapsed="false"/>
    <row r="1048574" customFormat="false" ht="12.8" hidden="true" customHeight="false" outlineLevel="0" collapsed="false"/>
    <row r="1048575" customFormat="false" ht="12.8" hidden="true" customHeight="false" outlineLevel="0" collapsed="false"/>
    <row r="1048576" customFormat="false" ht="12.8" hidden="true" customHeight="false" outlineLevel="0" collapsed="false"/>
  </sheetData>
  <autoFilter ref="A3:AI1048576">
    <filterColumn colId="2">
      <filters>
        <filter val="30/08/2026"/>
      </filters>
    </filterColumn>
    <filterColumn colId="25">
      <filters blank="1"/>
    </filterColumn>
  </autoFilter>
  <conditionalFormatting sqref="AA2:AF2">
    <cfRule type="cellIs" priority="2" operator="lessThan" aboveAverage="0" equalAverage="0" bottom="0" percent="0" rank="0" text="" dxfId="9">
      <formula>0</formula>
    </cfRule>
    <cfRule type="cellIs" priority="3" operator="greaterThan" aboveAverage="0" equalAverage="0" bottom="0" percent="0" rank="0" text="" dxfId="10">
      <formula>0</formula>
    </cfRule>
  </conditionalFormatting>
  <conditionalFormatting sqref="Q1:Y2 Q4:Y1048576">
    <cfRule type="cellIs" priority="4" operator="greaterThan" aboveAverage="0" equalAverage="0" bottom="0" percent="0" rank="0" text="" dxfId="11">
      <formula>80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2" topLeftCell="A15" activePane="bottomLeft" state="frozen"/>
      <selection pane="topLeft" activeCell="A1" activeCellId="0" sqref="A1"/>
      <selection pane="bottomLeft" activeCell="E30" activeCellId="0" sqref="E30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.14"/>
    <col collapsed="false" customWidth="true" hidden="false" outlineLevel="0" max="4" min="3" style="1" width="9.43"/>
    <col collapsed="false" customWidth="true" hidden="false" outlineLevel="0" max="5" min="5" style="1" width="8.29"/>
    <col collapsed="false" customWidth="true" hidden="false" outlineLevel="0" max="6" min="6" style="1" width="9.43"/>
    <col collapsed="false" customWidth="true" hidden="false" outlineLevel="0" max="7" min="7" style="1" width="11.15"/>
    <col collapsed="false" customWidth="true" hidden="false" outlineLevel="0" max="20" min="20" style="1" width="10.43"/>
    <col collapsed="false" customWidth="true" hidden="false" outlineLevel="0" max="22" min="21" style="1" width="12.29"/>
    <col collapsed="false" customWidth="true" hidden="false" outlineLevel="0" max="23" min="23" style="1" width="8.43"/>
    <col collapsed="false" customWidth="true" hidden="false" outlineLevel="0" max="45" min="45" style="1" width="12.72"/>
    <col collapsed="false" customWidth="true" hidden="false" outlineLevel="0" max="51" min="51" style="1" width="12.72"/>
  </cols>
  <sheetData>
    <row r="1" customFormat="false" ht="16.4" hidden="false" customHeight="false" outlineLevel="0" collapsed="false">
      <c r="C1" s="3" t="n">
        <f aca="false">SUM(C3:C35)</f>
        <v>615.46</v>
      </c>
      <c r="D1" s="3" t="n">
        <f aca="false">SUM(D3:D35)</f>
        <v>-578</v>
      </c>
      <c r="E1" s="3" t="n">
        <f aca="false">SUM(E3:E35)</f>
        <v>37.46</v>
      </c>
      <c r="F1" s="3" t="n">
        <f aca="false">SUM(F3:F35)</f>
        <v>259.2</v>
      </c>
    </row>
    <row r="2" customFormat="false" ht="15" hidden="false" customHeight="false" outlineLevel="0" collapsed="false">
      <c r="A2" s="17" t="s">
        <v>1320</v>
      </c>
      <c r="B2" s="17" t="s">
        <v>1321</v>
      </c>
      <c r="C2" s="17" t="s">
        <v>1322</v>
      </c>
      <c r="D2" s="17" t="s">
        <v>1323</v>
      </c>
      <c r="E2" s="17" t="s">
        <v>1324</v>
      </c>
      <c r="F2" s="18" t="s">
        <v>1325</v>
      </c>
      <c r="G2" s="18" t="s">
        <v>1326</v>
      </c>
    </row>
    <row r="3" customFormat="false" ht="15" hidden="false" customHeight="false" outlineLevel="0" collapsed="false">
      <c r="A3" s="19" t="n">
        <v>46051</v>
      </c>
      <c r="B3" s="17"/>
      <c r="C3" s="17"/>
      <c r="D3" s="17"/>
      <c r="E3" s="17"/>
      <c r="F3" s="20" t="n">
        <f aca="false">5+14.9</f>
        <v>19.9</v>
      </c>
      <c r="G3" s="18" t="s">
        <v>26</v>
      </c>
      <c r="H3" s="3"/>
    </row>
    <row r="4" customFormat="false" ht="15" hidden="false" customHeight="false" outlineLevel="0" collapsed="false">
      <c r="A4" s="19" t="n">
        <f aca="false">A3+2</f>
        <v>46053</v>
      </c>
      <c r="B4" s="17"/>
      <c r="C4" s="17"/>
      <c r="D4" s="17"/>
      <c r="E4" s="17"/>
      <c r="F4" s="20" t="n">
        <v>29.85</v>
      </c>
      <c r="G4" s="18" t="s">
        <v>26</v>
      </c>
      <c r="H4" s="3"/>
    </row>
    <row r="5" customFormat="false" ht="15" hidden="false" customHeight="false" outlineLevel="0" collapsed="false">
      <c r="A5" s="19" t="n">
        <v>46233</v>
      </c>
      <c r="B5" s="17"/>
      <c r="C5" s="17"/>
      <c r="D5" s="17"/>
      <c r="E5" s="17"/>
      <c r="F5" s="20" t="n">
        <v>9.95</v>
      </c>
      <c r="G5" s="18" t="s">
        <v>26</v>
      </c>
      <c r="H5" s="3"/>
    </row>
    <row r="6" customFormat="false" ht="15" hidden="false" customHeight="false" outlineLevel="0" collapsed="false">
      <c r="A6" s="19" t="n">
        <v>46241</v>
      </c>
      <c r="B6" s="17"/>
      <c r="C6" s="17"/>
      <c r="D6" s="17"/>
      <c r="E6" s="17"/>
      <c r="F6" s="20" t="n">
        <v>19.9</v>
      </c>
      <c r="G6" s="18" t="s">
        <v>26</v>
      </c>
      <c r="H6" s="3"/>
    </row>
    <row r="7" customFormat="false" ht="15" hidden="false" customHeight="false" outlineLevel="0" collapsed="false">
      <c r="A7" s="19" t="n">
        <f aca="false">A6+1</f>
        <v>46242</v>
      </c>
      <c r="B7" s="17"/>
      <c r="C7" s="17"/>
      <c r="D7" s="17"/>
      <c r="E7" s="17"/>
      <c r="F7" s="20" t="n">
        <v>49.75</v>
      </c>
      <c r="G7" s="18" t="s">
        <v>26</v>
      </c>
      <c r="H7" s="3"/>
    </row>
    <row r="8" customFormat="false" ht="15" hidden="false" customHeight="false" outlineLevel="0" collapsed="false">
      <c r="A8" s="19" t="n">
        <f aca="false">A7+1</f>
        <v>46243</v>
      </c>
      <c r="B8" s="17"/>
      <c r="C8" s="17"/>
      <c r="D8" s="17"/>
      <c r="E8" s="17"/>
      <c r="F8" s="20" t="n">
        <f aca="false">29.85</f>
        <v>29.85</v>
      </c>
      <c r="G8" s="18" t="s">
        <v>26</v>
      </c>
      <c r="H8" s="3"/>
    </row>
    <row r="9" customFormat="false" ht="16.4" hidden="false" customHeight="false" outlineLevel="0" collapsed="false">
      <c r="A9" s="19" t="n">
        <v>46249</v>
      </c>
      <c r="B9" s="21" t="n">
        <v>0.416666666666667</v>
      </c>
      <c r="C9" s="20" t="n">
        <v>20</v>
      </c>
      <c r="D9" s="20" t="n">
        <v>-24</v>
      </c>
      <c r="E9" s="20" t="n">
        <f aca="false">SUM(C9:D9)</f>
        <v>-4</v>
      </c>
      <c r="F9" s="20"/>
      <c r="G9" s="18" t="s">
        <v>26</v>
      </c>
    </row>
    <row r="10" customFormat="false" ht="16.4" hidden="false" customHeight="false" outlineLevel="0" collapsed="false">
      <c r="A10" s="19" t="n">
        <v>46249</v>
      </c>
      <c r="B10" s="21" t="n">
        <v>0.908333333333333</v>
      </c>
      <c r="C10" s="20" t="n">
        <v>44.66</v>
      </c>
      <c r="D10" s="20" t="n">
        <v>-50</v>
      </c>
      <c r="E10" s="20" t="n">
        <f aca="false">SUM(C10:D10)</f>
        <v>-5.34</v>
      </c>
      <c r="F10" s="20"/>
      <c r="G10" s="18" t="s">
        <v>26</v>
      </c>
    </row>
    <row r="11" customFormat="false" ht="16.4" hidden="false" customHeight="false" outlineLevel="0" collapsed="false">
      <c r="A11" s="19" t="n">
        <v>46250</v>
      </c>
      <c r="B11" s="21" t="n">
        <v>0.497222222222222</v>
      </c>
      <c r="C11" s="20" t="n">
        <v>25.93</v>
      </c>
      <c r="D11" s="20" t="n">
        <v>-23</v>
      </c>
      <c r="E11" s="20" t="n">
        <f aca="false">SUM(C11:D11)</f>
        <v>2.93</v>
      </c>
      <c r="F11" s="20"/>
      <c r="G11" s="18" t="s">
        <v>26</v>
      </c>
    </row>
    <row r="12" customFormat="false" ht="16.4" hidden="false" customHeight="false" outlineLevel="0" collapsed="false">
      <c r="A12" s="19" t="n">
        <v>46252</v>
      </c>
      <c r="B12" s="21" t="n">
        <v>0.574305555555556</v>
      </c>
      <c r="C12" s="20" t="n">
        <v>58.8</v>
      </c>
      <c r="D12" s="20" t="n">
        <v>-52</v>
      </c>
      <c r="E12" s="20" t="n">
        <f aca="false">SUM(C12:D12)</f>
        <v>6.8</v>
      </c>
      <c r="F12" s="20"/>
      <c r="G12" s="18" t="s">
        <v>26</v>
      </c>
    </row>
    <row r="13" customFormat="false" ht="15" hidden="false" customHeight="false" outlineLevel="0" collapsed="false">
      <c r="A13" s="19" t="n">
        <v>46252</v>
      </c>
      <c r="B13" s="17"/>
      <c r="C13" s="20"/>
      <c r="D13" s="20"/>
      <c r="E13" s="20"/>
      <c r="F13" s="20" t="n">
        <v>25</v>
      </c>
      <c r="G13" s="18" t="s">
        <v>30</v>
      </c>
    </row>
    <row r="14" customFormat="false" ht="15" hidden="false" customHeight="false" outlineLevel="0" collapsed="false">
      <c r="A14" s="19" t="n">
        <v>46252</v>
      </c>
      <c r="B14" s="17"/>
      <c r="C14" s="20"/>
      <c r="D14" s="20"/>
      <c r="E14" s="20"/>
      <c r="F14" s="20" t="n">
        <v>25</v>
      </c>
      <c r="G14" s="18" t="s">
        <v>30</v>
      </c>
    </row>
    <row r="15" customFormat="false" ht="16.4" hidden="false" customHeight="false" outlineLevel="0" collapsed="false">
      <c r="A15" s="19" t="n">
        <v>46255</v>
      </c>
      <c r="B15" s="21" t="n">
        <v>0.875694444444444</v>
      </c>
      <c r="C15" s="20" t="n">
        <v>57.28</v>
      </c>
      <c r="D15" s="20" t="n">
        <v>-45</v>
      </c>
      <c r="E15" s="20" t="n">
        <f aca="false">SUM(C15:D15)</f>
        <v>12.28</v>
      </c>
      <c r="F15" s="20"/>
      <c r="G15" s="18" t="s">
        <v>26</v>
      </c>
    </row>
    <row r="16" customFormat="false" ht="16.4" hidden="false" customHeight="false" outlineLevel="0" collapsed="false">
      <c r="A16" s="19" t="n">
        <v>46256</v>
      </c>
      <c r="B16" s="21" t="n">
        <v>0.703472222222222</v>
      </c>
      <c r="C16" s="20" t="n">
        <v>63.98</v>
      </c>
      <c r="D16" s="20" t="n">
        <v>-47</v>
      </c>
      <c r="E16" s="20" t="n">
        <f aca="false">SUM(C16:D16)</f>
        <v>16.98</v>
      </c>
      <c r="F16" s="20"/>
      <c r="G16" s="18" t="s">
        <v>26</v>
      </c>
    </row>
    <row r="17" customFormat="false" ht="16.4" hidden="false" customHeight="false" outlineLevel="0" collapsed="false">
      <c r="A17" s="19" t="n">
        <v>46256</v>
      </c>
      <c r="B17" s="21" t="n">
        <v>0.757638888888889</v>
      </c>
      <c r="C17" s="20" t="n">
        <v>8.25</v>
      </c>
      <c r="D17" s="20" t="n">
        <v>-5</v>
      </c>
      <c r="E17" s="20" t="n">
        <f aca="false">SUM(C17:D17)</f>
        <v>3.25</v>
      </c>
      <c r="F17" s="20"/>
      <c r="G17" s="18" t="s">
        <v>26</v>
      </c>
    </row>
    <row r="18" customFormat="false" ht="16.4" hidden="false" customHeight="false" outlineLevel="0" collapsed="false">
      <c r="A18" s="19" t="n">
        <v>46256</v>
      </c>
      <c r="B18" s="21" t="n">
        <v>0.939583333333333</v>
      </c>
      <c r="C18" s="20" t="n">
        <v>26.57</v>
      </c>
      <c r="D18" s="20" t="n">
        <v>-28</v>
      </c>
      <c r="E18" s="20" t="n">
        <f aca="false">SUM(C18:D18)</f>
        <v>-1.43</v>
      </c>
      <c r="F18" s="20"/>
      <c r="G18" s="18" t="s">
        <v>26</v>
      </c>
    </row>
    <row r="19" customFormat="false" ht="15" hidden="false" customHeight="false" outlineLevel="0" collapsed="false">
      <c r="A19" s="19" t="n">
        <v>46257</v>
      </c>
      <c r="B19" s="17"/>
      <c r="C19" s="20"/>
      <c r="D19" s="20"/>
      <c r="E19" s="20"/>
      <c r="F19" s="20" t="n">
        <v>25</v>
      </c>
      <c r="G19" s="18" t="s">
        <v>30</v>
      </c>
    </row>
    <row r="20" customFormat="false" ht="15" hidden="false" customHeight="false" outlineLevel="0" collapsed="false">
      <c r="A20" s="19" t="n">
        <v>46257</v>
      </c>
      <c r="B20" s="17"/>
      <c r="C20" s="20"/>
      <c r="D20" s="20"/>
      <c r="E20" s="20"/>
      <c r="F20" s="20" t="n">
        <v>25</v>
      </c>
      <c r="G20" s="18" t="s">
        <v>30</v>
      </c>
    </row>
    <row r="21" customFormat="false" ht="16.4" hidden="false" customHeight="false" outlineLevel="0" collapsed="false">
      <c r="A21" s="19" t="n">
        <v>46257</v>
      </c>
      <c r="B21" s="21" t="n">
        <v>0.869444444444445</v>
      </c>
      <c r="C21" s="20" t="n">
        <v>82.44</v>
      </c>
      <c r="D21" s="20" t="n">
        <v>-70</v>
      </c>
      <c r="E21" s="20" t="n">
        <f aca="false">SUM(C21:D21)</f>
        <v>12.44</v>
      </c>
      <c r="F21" s="20"/>
      <c r="G21" s="18" t="s">
        <v>26</v>
      </c>
    </row>
    <row r="22" customFormat="false" ht="16.4" hidden="false" customHeight="false" outlineLevel="0" collapsed="false">
      <c r="A22" s="19" t="n">
        <v>46258</v>
      </c>
      <c r="B22" s="21" t="n">
        <v>0.561111111111111</v>
      </c>
      <c r="C22" s="20" t="n">
        <v>8.73</v>
      </c>
      <c r="D22" s="20" t="n">
        <v>-52</v>
      </c>
      <c r="E22" s="20" t="n">
        <f aca="false">SUM(C22:D22)</f>
        <v>-43.27</v>
      </c>
      <c r="F22" s="20"/>
      <c r="G22" s="18" t="s">
        <v>26</v>
      </c>
    </row>
    <row r="23" customFormat="false" ht="16.4" hidden="false" customHeight="false" outlineLevel="0" collapsed="false">
      <c r="A23" s="19" t="n">
        <v>46261</v>
      </c>
      <c r="B23" s="21" t="n">
        <v>0.729861111111111</v>
      </c>
      <c r="C23" s="20" t="n">
        <v>50.76</v>
      </c>
      <c r="D23" s="20" t="n">
        <v>-50</v>
      </c>
      <c r="E23" s="20" t="n">
        <f aca="false">SUM(C23:D23)</f>
        <v>0.759999999999998</v>
      </c>
      <c r="F23" s="20"/>
      <c r="G23" s="18" t="s">
        <v>26</v>
      </c>
    </row>
    <row r="24" customFormat="false" ht="16.4" hidden="false" customHeight="false" outlineLevel="0" collapsed="false">
      <c r="A24" s="19" t="n">
        <v>46262</v>
      </c>
      <c r="B24" s="21" t="n">
        <v>0.671527777777778</v>
      </c>
      <c r="C24" s="20" t="n">
        <v>14.66</v>
      </c>
      <c r="D24" s="20" t="n">
        <v>-9</v>
      </c>
      <c r="E24" s="20" t="n">
        <f aca="false">SUM(C24:D24)</f>
        <v>5.66</v>
      </c>
      <c r="F24" s="20"/>
      <c r="G24" s="18" t="s">
        <v>26</v>
      </c>
    </row>
    <row r="25" customFormat="false" ht="16.15" hidden="false" customHeight="false" outlineLevel="0" collapsed="false">
      <c r="A25" s="19" t="n">
        <v>46263</v>
      </c>
      <c r="B25" s="21" t="n">
        <v>0.471527777777778</v>
      </c>
      <c r="C25" s="20" t="n">
        <v>61.75</v>
      </c>
      <c r="D25" s="20" t="n">
        <v>-39</v>
      </c>
      <c r="E25" s="20" t="n">
        <f aca="false">SUM(C25:D25)</f>
        <v>22.75</v>
      </c>
      <c r="F25" s="20"/>
      <c r="G25" s="18" t="s">
        <v>26</v>
      </c>
    </row>
    <row r="26" customFormat="false" ht="16.15" hidden="false" customHeight="false" outlineLevel="0" collapsed="false">
      <c r="A26" s="19" t="n">
        <v>46263</v>
      </c>
      <c r="B26" s="21" t="n">
        <v>0.689583333333333</v>
      </c>
      <c r="C26" s="20" t="n">
        <v>38.19</v>
      </c>
      <c r="D26" s="20" t="n">
        <v>-33</v>
      </c>
      <c r="E26" s="20" t="n">
        <f aca="false">SUM(C26:D26)</f>
        <v>5.19</v>
      </c>
      <c r="F26" s="20"/>
      <c r="G26" s="18" t="s">
        <v>26</v>
      </c>
    </row>
    <row r="27" customFormat="false" ht="16.15" hidden="false" customHeight="false" outlineLevel="0" collapsed="false">
      <c r="A27" s="19" t="n">
        <v>46263</v>
      </c>
      <c r="B27" s="21" t="n">
        <v>0.951388888888889</v>
      </c>
      <c r="C27" s="20" t="n">
        <v>53.46</v>
      </c>
      <c r="D27" s="20" t="n">
        <v>-51</v>
      </c>
      <c r="E27" s="20" t="n">
        <f aca="false">SUM(C27:D27)</f>
        <v>2.46</v>
      </c>
      <c r="F27" s="20"/>
      <c r="G27" s="18" t="s">
        <v>26</v>
      </c>
    </row>
  </sheetData>
  <conditionalFormatting sqref="E15:E18 E21:E27">
    <cfRule type="cellIs" priority="2" operator="greaterThan" aboveAverage="0" equalAverage="0" bottom="0" percent="0" rank="0" text="" dxfId="12">
      <formula>0</formula>
    </cfRule>
    <cfRule type="cellIs" priority="3" operator="lessThan" aboveAverage="0" equalAverage="0" bottom="0" percent="0" rank="0" text="" dxfId="13">
      <formula>0</formula>
    </cfRule>
  </conditionalFormatting>
  <conditionalFormatting sqref="C1:E1">
    <cfRule type="cellIs" priority="4" operator="greaterThan" aboveAverage="0" equalAverage="0" bottom="0" percent="0" rank="0" text="" dxfId="14">
      <formula>0</formula>
    </cfRule>
    <cfRule type="cellIs" priority="5" operator="lessThan" aboveAverage="0" equalAverage="0" bottom="0" percent="0" rank="0" text="" dxfId="15">
      <formula>0</formula>
    </cfRule>
  </conditionalFormatting>
  <conditionalFormatting sqref="H3:H8">
    <cfRule type="cellIs" priority="6" operator="greaterThan" aboveAverage="0" equalAverage="0" bottom="0" percent="0" rank="0" text="" dxfId="16">
      <formula>0</formula>
    </cfRule>
    <cfRule type="cellIs" priority="7" operator="lessThan" aboveAverage="0" equalAverage="0" bottom="0" percent="0" rank="0" text="" dxfId="17">
      <formula>0</formula>
    </cfRule>
  </conditionalFormatting>
  <conditionalFormatting sqref="E9:E12">
    <cfRule type="cellIs" priority="8" operator="greaterThan" aboveAverage="0" equalAverage="0" bottom="0" percent="0" rank="0" text="" dxfId="18">
      <formula>0</formula>
    </cfRule>
    <cfRule type="cellIs" priority="9" operator="lessThan" aboveAverage="0" equalAverage="0" bottom="0" percent="0" rank="0" text="" dxfId="19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35"/>
  <sheetViews>
    <sheetView showFormulas="false" showGridLines="true" showRowColHeaders="true" showZeros="true" rightToLeft="false" tabSelected="false" showOutlineSymbols="true" defaultGridColor="true" view="normal" topLeftCell="R1" colorId="64" zoomScale="120" zoomScaleNormal="120" zoomScalePageLayoutView="100" workbookViewId="0">
      <selection pane="topLeft" activeCell="Z8" activeCellId="0" sqref="Z8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3.14"/>
    <col collapsed="false" customWidth="true" hidden="false" outlineLevel="0" max="2" min="2" style="1" width="10.43"/>
    <col collapsed="false" customWidth="true" hidden="false" outlineLevel="0" max="3" min="3" style="1" width="7.15"/>
    <col collapsed="false" customWidth="true" hidden="false" outlineLevel="0" max="4" min="4" style="1" width="16.43"/>
    <col collapsed="false" customWidth="true" hidden="false" outlineLevel="0" max="5" min="5" style="1" width="22.7"/>
    <col collapsed="false" customWidth="true" hidden="false" outlineLevel="0" max="7" min="6" style="1" width="5.71"/>
    <col collapsed="false" customWidth="true" hidden="false" outlineLevel="0" max="8" min="8" style="1" width="12.29"/>
    <col collapsed="false" customWidth="true" hidden="false" outlineLevel="0" max="9" min="9" style="1" width="8.43"/>
    <col collapsed="false" customWidth="true" hidden="false" outlineLevel="0" max="11" min="11" style="1" width="11.43"/>
    <col collapsed="false" customWidth="true" hidden="false" outlineLevel="0" max="14" min="12" style="1" width="10.14"/>
    <col collapsed="false" customWidth="true" hidden="false" outlineLevel="0" max="15" min="15" style="1" width="11.15"/>
    <col collapsed="false" customWidth="true" hidden="false" outlineLevel="0" max="16" min="16" style="16" width="22.7"/>
    <col collapsed="false" customWidth="true" hidden="false" outlineLevel="0" max="17" min="17" style="1" width="24.43"/>
    <col collapsed="false" customWidth="true" hidden="false" outlineLevel="0" max="18" min="18" style="1" width="7"/>
    <col collapsed="false" customWidth="true" hidden="false" outlineLevel="0" max="19" min="19" style="16" width="10.14"/>
    <col collapsed="false" customWidth="true" hidden="false" outlineLevel="0" max="25" min="24" style="1" width="10.09"/>
  </cols>
  <sheetData>
    <row r="1" customFormat="false" ht="15" hidden="false" customHeight="false" outlineLevel="0" collapsed="false">
      <c r="A1" s="6" t="s">
        <v>1327</v>
      </c>
      <c r="B1" s="7" t="s">
        <v>1320</v>
      </c>
      <c r="C1" s="7" t="s">
        <v>1321</v>
      </c>
      <c r="D1" s="7" t="s">
        <v>1328</v>
      </c>
      <c r="E1" s="7" t="s">
        <v>1329</v>
      </c>
      <c r="F1" s="11" t="s">
        <v>19</v>
      </c>
      <c r="G1" s="11" t="s">
        <v>20</v>
      </c>
      <c r="H1" s="11" t="s">
        <v>1330</v>
      </c>
      <c r="I1" s="11" t="s">
        <v>1331</v>
      </c>
      <c r="J1" s="11" t="s">
        <v>23</v>
      </c>
      <c r="K1" s="11" t="s">
        <v>30</v>
      </c>
      <c r="L1" s="12" t="s">
        <v>1332</v>
      </c>
      <c r="M1" s="11" t="s">
        <v>31</v>
      </c>
      <c r="O1" s="22" t="s">
        <v>1320</v>
      </c>
      <c r="P1" s="22" t="s">
        <v>1328</v>
      </c>
      <c r="Q1" s="22" t="s">
        <v>1329</v>
      </c>
      <c r="R1" s="22" t="s">
        <v>1333</v>
      </c>
      <c r="S1" s="22" t="s">
        <v>1334</v>
      </c>
      <c r="T1" s="23" t="s">
        <v>1332</v>
      </c>
      <c r="U1" s="23" t="s">
        <v>1335</v>
      </c>
      <c r="V1" s="24" t="s">
        <v>1324</v>
      </c>
      <c r="X1" s="25" t="s">
        <v>1336</v>
      </c>
      <c r="AC1" s="1" t="n">
        <v>55.61</v>
      </c>
    </row>
    <row r="2" customFormat="false" ht="16.15" hidden="false" customHeight="false" outlineLevel="0" collapsed="false">
      <c r="A2" s="1" t="s">
        <v>667</v>
      </c>
      <c r="B2" s="1" t="s">
        <v>33</v>
      </c>
      <c r="C2" s="13" t="n">
        <v>0.9375</v>
      </c>
      <c r="D2" s="14" t="s">
        <v>765</v>
      </c>
      <c r="E2" s="14" t="s">
        <v>1313</v>
      </c>
      <c r="F2" s="16" t="n">
        <v>2.31481481481482</v>
      </c>
      <c r="G2" s="16" t="n">
        <v>1.76056338028169</v>
      </c>
      <c r="H2" s="16" t="n">
        <v>1.57232704402516</v>
      </c>
      <c r="I2" s="16" t="n">
        <v>2.16919739696312</v>
      </c>
      <c r="J2" s="16" t="n">
        <v>1.85528756957328</v>
      </c>
      <c r="K2" s="14" t="s">
        <v>20</v>
      </c>
      <c r="L2" s="3" t="n">
        <v>3.48</v>
      </c>
      <c r="M2" s="1" t="n">
        <v>1.8</v>
      </c>
      <c r="N2" s="3"/>
      <c r="O2" s="26" t="n">
        <v>46254</v>
      </c>
      <c r="P2" s="27" t="s">
        <v>75</v>
      </c>
      <c r="Q2" s="27" t="s">
        <v>406</v>
      </c>
      <c r="R2" s="28" t="s">
        <v>20</v>
      </c>
      <c r="S2" s="27" t="n">
        <v>2</v>
      </c>
      <c r="T2" s="29" t="n">
        <v>2.77</v>
      </c>
      <c r="U2" s="28" t="s">
        <v>1337</v>
      </c>
      <c r="V2" s="20" t="n">
        <f aca="false">IF(U2="Loss",-T2,T2*S2-T2)</f>
        <v>-2.77</v>
      </c>
    </row>
    <row r="3" customFormat="false" ht="16.15" hidden="false" customHeight="false" outlineLevel="0" collapsed="false">
      <c r="N3" s="3"/>
      <c r="O3" s="26" t="n">
        <v>46254</v>
      </c>
      <c r="P3" s="27" t="s">
        <v>91</v>
      </c>
      <c r="Q3" s="27" t="s">
        <v>56</v>
      </c>
      <c r="R3" s="28" t="s">
        <v>20</v>
      </c>
      <c r="S3" s="27" t="n">
        <v>1.83</v>
      </c>
      <c r="T3" s="29" t="n">
        <v>3.32</v>
      </c>
      <c r="U3" s="28" t="s">
        <v>1337</v>
      </c>
      <c r="V3" s="20" t="n">
        <f aca="false">IF(U3="Loss",-T3,T3*S3-T3)</f>
        <v>-3.32</v>
      </c>
      <c r="X3" s="16" t="s">
        <v>1338</v>
      </c>
      <c r="Y3" s="14" t="s">
        <v>1339</v>
      </c>
      <c r="Z3" s="14" t="s">
        <v>1340</v>
      </c>
      <c r="AA3" s="14" t="s">
        <v>1341</v>
      </c>
      <c r="AB3" s="14" t="s">
        <v>1324</v>
      </c>
    </row>
    <row r="4" customFormat="false" ht="16.15" hidden="false" customHeight="false" outlineLevel="0" collapsed="false">
      <c r="N4" s="3"/>
      <c r="O4" s="26" t="n">
        <v>46254</v>
      </c>
      <c r="P4" s="27" t="s">
        <v>91</v>
      </c>
      <c r="Q4" s="27" t="s">
        <v>56</v>
      </c>
      <c r="R4" s="28" t="s">
        <v>317</v>
      </c>
      <c r="S4" s="27" t="n">
        <v>1.97</v>
      </c>
      <c r="T4" s="29" t="n">
        <v>2.84</v>
      </c>
      <c r="U4" s="28" t="s">
        <v>1337</v>
      </c>
      <c r="V4" s="20" t="n">
        <f aca="false">IF(U4="Loss",-T4,T4*S4-T4)</f>
        <v>-2.84</v>
      </c>
      <c r="X4" s="16" t="n">
        <v>100</v>
      </c>
      <c r="Y4" s="1" t="n">
        <v>385.12</v>
      </c>
      <c r="Z4" s="1" t="n">
        <v>131</v>
      </c>
      <c r="AA4" s="1" t="n">
        <v>2.94</v>
      </c>
      <c r="AB4" s="1" t="n">
        <v>-41.05</v>
      </c>
    </row>
    <row r="5" customFormat="false" ht="16.15" hidden="false" customHeight="false" outlineLevel="0" collapsed="false">
      <c r="N5" s="3"/>
      <c r="O5" s="26" t="n">
        <v>46254</v>
      </c>
      <c r="P5" s="27" t="s">
        <v>435</v>
      </c>
      <c r="Q5" s="27" t="s">
        <v>1342</v>
      </c>
      <c r="R5" s="28" t="s">
        <v>19</v>
      </c>
      <c r="S5" s="27" t="n">
        <v>2.47</v>
      </c>
      <c r="T5" s="29" t="n">
        <v>2.77</v>
      </c>
      <c r="U5" s="28" t="s">
        <v>1343</v>
      </c>
      <c r="V5" s="20" t="n">
        <f aca="false">IF(U5="Loss",-T5,T5*S5-T5)</f>
        <v>4.0719</v>
      </c>
      <c r="X5" s="14" t="s">
        <v>1344</v>
      </c>
      <c r="Y5" s="14" t="s">
        <v>1345</v>
      </c>
    </row>
    <row r="6" customFormat="false" ht="16.15" hidden="false" customHeight="false" outlineLevel="0" collapsed="false">
      <c r="N6" s="3"/>
      <c r="O6" s="26" t="n">
        <v>46254</v>
      </c>
      <c r="P6" s="27" t="s">
        <v>435</v>
      </c>
      <c r="Q6" s="27" t="s">
        <v>1342</v>
      </c>
      <c r="R6" s="28" t="s">
        <v>22</v>
      </c>
      <c r="S6" s="27" t="n">
        <v>2.08</v>
      </c>
      <c r="T6" s="29" t="n">
        <v>2.77</v>
      </c>
      <c r="U6" s="28" t="s">
        <v>1343</v>
      </c>
      <c r="V6" s="20" t="n">
        <f aca="false">IF(U6="Loss",-T6,T6*S6-T6)</f>
        <v>2.9916</v>
      </c>
      <c r="X6" s="30" t="n">
        <f aca="false">AB4/X4</f>
        <v>-0.4105</v>
      </c>
      <c r="Y6" s="30" t="n">
        <f aca="false">AB4/Y4</f>
        <v>-0.106590153718322</v>
      </c>
    </row>
    <row r="7" customFormat="false" ht="16.15" hidden="false" customHeight="false" outlineLevel="0" collapsed="false">
      <c r="N7" s="3"/>
      <c r="O7" s="26" t="n">
        <v>46254</v>
      </c>
      <c r="P7" s="27" t="s">
        <v>369</v>
      </c>
      <c r="Q7" s="27" t="s">
        <v>848</v>
      </c>
      <c r="R7" s="28" t="s">
        <v>19</v>
      </c>
      <c r="S7" s="27" t="n">
        <v>2.16</v>
      </c>
      <c r="T7" s="29" t="n">
        <v>2.77</v>
      </c>
      <c r="U7" s="28" t="s">
        <v>1343</v>
      </c>
      <c r="V7" s="20" t="n">
        <f aca="false">IF(U7="Loss",-T7,T7*S7-T7)</f>
        <v>3.2132</v>
      </c>
    </row>
    <row r="8" customFormat="false" ht="16.15" hidden="false" customHeight="false" outlineLevel="0" collapsed="false">
      <c r="N8" s="3"/>
      <c r="O8" s="26" t="n">
        <v>46254</v>
      </c>
      <c r="P8" s="27" t="s">
        <v>369</v>
      </c>
      <c r="Q8" s="27" t="s">
        <v>848</v>
      </c>
      <c r="R8" s="28" t="s">
        <v>22</v>
      </c>
      <c r="S8" s="27" t="n">
        <v>2</v>
      </c>
      <c r="T8" s="29" t="n">
        <v>2.77</v>
      </c>
      <c r="U8" s="28" t="s">
        <v>1337</v>
      </c>
      <c r="V8" s="20" t="n">
        <f aca="false">IF(U8="Loss",-T8,T8*S8-T8)</f>
        <v>-2.77</v>
      </c>
    </row>
    <row r="9" customFormat="false" ht="16.15" hidden="false" customHeight="false" outlineLevel="0" collapsed="false">
      <c r="N9" s="3"/>
      <c r="O9" s="26" t="n">
        <v>46254</v>
      </c>
      <c r="P9" s="27" t="s">
        <v>198</v>
      </c>
      <c r="Q9" s="27" t="s">
        <v>1221</v>
      </c>
      <c r="R9" s="28" t="s">
        <v>19</v>
      </c>
      <c r="S9" s="27" t="n">
        <v>2.34</v>
      </c>
      <c r="T9" s="29" t="n">
        <v>2.77</v>
      </c>
      <c r="U9" s="28" t="s">
        <v>1337</v>
      </c>
      <c r="V9" s="20" t="n">
        <f aca="false">IF(U9="Loss",-T9,T9*S9-T9)</f>
        <v>-2.77</v>
      </c>
    </row>
    <row r="10" customFormat="false" ht="16.15" hidden="false" customHeight="false" outlineLevel="0" collapsed="false">
      <c r="N10" s="3"/>
      <c r="O10" s="26" t="n">
        <v>46255</v>
      </c>
      <c r="P10" s="27" t="s">
        <v>245</v>
      </c>
      <c r="Q10" s="27" t="s">
        <v>250</v>
      </c>
      <c r="R10" s="28" t="s">
        <v>20</v>
      </c>
      <c r="S10" s="27" t="n">
        <v>2.22</v>
      </c>
      <c r="T10" s="29" t="n">
        <v>2.77</v>
      </c>
      <c r="U10" s="28" t="s">
        <v>1337</v>
      </c>
      <c r="V10" s="20" t="n">
        <f aca="false">IF(U10="Loss",-T10,T10*S10-T10)</f>
        <v>-2.77</v>
      </c>
    </row>
    <row r="11" customFormat="false" ht="16.15" hidden="false" customHeight="false" outlineLevel="0" collapsed="false">
      <c r="N11" s="3"/>
      <c r="O11" s="26" t="n">
        <v>46255</v>
      </c>
      <c r="P11" s="27" t="s">
        <v>77</v>
      </c>
      <c r="Q11" s="27" t="s">
        <v>972</v>
      </c>
      <c r="R11" s="28" t="s">
        <v>20</v>
      </c>
      <c r="S11" s="27" t="n">
        <v>2.67</v>
      </c>
      <c r="T11" s="29" t="n">
        <v>2.77</v>
      </c>
      <c r="U11" s="28" t="s">
        <v>1343</v>
      </c>
      <c r="V11" s="20" t="n">
        <f aca="false">IF(U11="Loss",-T11,T11*S11-T11)</f>
        <v>4.6259</v>
      </c>
    </row>
    <row r="12" customFormat="false" ht="16.15" hidden="false" customHeight="false" outlineLevel="0" collapsed="false">
      <c r="N12" s="3"/>
      <c r="O12" s="26" t="n">
        <v>46255</v>
      </c>
      <c r="P12" s="27" t="s">
        <v>77</v>
      </c>
      <c r="Q12" s="27" t="s">
        <v>972</v>
      </c>
      <c r="R12" s="28" t="s">
        <v>317</v>
      </c>
      <c r="S12" s="27" t="n">
        <v>1.96</v>
      </c>
      <c r="T12" s="29" t="n">
        <v>2.87</v>
      </c>
      <c r="U12" s="28" t="s">
        <v>1343</v>
      </c>
      <c r="V12" s="20" t="n">
        <f aca="false">IF(U12="Loss",-T12,T12*S12-T12)</f>
        <v>2.7552</v>
      </c>
    </row>
    <row r="13" customFormat="false" ht="16.15" hidden="false" customHeight="false" outlineLevel="0" collapsed="false">
      <c r="N13" s="31"/>
      <c r="O13" s="26" t="n">
        <v>46255</v>
      </c>
      <c r="P13" s="27" t="s">
        <v>374</v>
      </c>
      <c r="Q13" s="27" t="s">
        <v>74</v>
      </c>
      <c r="R13" s="28" t="s">
        <v>20</v>
      </c>
      <c r="S13" s="27" t="n">
        <v>1.93</v>
      </c>
      <c r="T13" s="29" t="n">
        <v>3.15</v>
      </c>
      <c r="U13" s="28" t="s">
        <v>1337</v>
      </c>
      <c r="V13" s="20" t="n">
        <f aca="false">IF(U13="Loss",-T13,T13*S13-T13)</f>
        <v>-3.15</v>
      </c>
    </row>
    <row r="14" customFormat="false" ht="16.15" hidden="false" customHeight="false" outlineLevel="0" collapsed="false">
      <c r="N14" s="3"/>
      <c r="O14" s="26" t="n">
        <v>46255</v>
      </c>
      <c r="P14" s="27" t="s">
        <v>374</v>
      </c>
      <c r="Q14" s="27" t="s">
        <v>74</v>
      </c>
      <c r="R14" s="28" t="s">
        <v>317</v>
      </c>
      <c r="S14" s="27" t="n">
        <v>1.87</v>
      </c>
      <c r="T14" s="29" t="n">
        <v>2.96</v>
      </c>
      <c r="U14" s="28" t="s">
        <v>1343</v>
      </c>
      <c r="V14" s="20" t="n">
        <f aca="false">IF(U14="Loss",-T14,T14*S14-T14)</f>
        <v>2.5752</v>
      </c>
    </row>
    <row r="15" customFormat="false" ht="16.15" hidden="false" customHeight="false" outlineLevel="0" collapsed="false">
      <c r="N15" s="3"/>
      <c r="O15" s="26" t="n">
        <v>46255</v>
      </c>
      <c r="P15" s="27" t="s">
        <v>59</v>
      </c>
      <c r="Q15" s="27" t="s">
        <v>1346</v>
      </c>
      <c r="R15" s="28" t="s">
        <v>19</v>
      </c>
      <c r="S15" s="27" t="n">
        <v>2.21</v>
      </c>
      <c r="T15" s="29" t="n">
        <v>2.77</v>
      </c>
      <c r="U15" s="28" t="s">
        <v>1343</v>
      </c>
      <c r="V15" s="20" t="n">
        <f aca="false">IF(U15="Loss",-T15,T15*S15-T15)</f>
        <v>3.3517</v>
      </c>
    </row>
    <row r="16" customFormat="false" ht="16.15" hidden="false" customHeight="false" outlineLevel="0" collapsed="false">
      <c r="N16" s="3"/>
      <c r="O16" s="26" t="n">
        <v>46255</v>
      </c>
      <c r="P16" s="27" t="s">
        <v>59</v>
      </c>
      <c r="Q16" s="27" t="s">
        <v>1346</v>
      </c>
      <c r="R16" s="28" t="s">
        <v>22</v>
      </c>
      <c r="S16" s="27" t="n">
        <v>1.97</v>
      </c>
      <c r="T16" s="29" t="n">
        <v>2.85</v>
      </c>
      <c r="U16" s="28" t="s">
        <v>1337</v>
      </c>
      <c r="V16" s="20" t="n">
        <f aca="false">IF(U16="Loss",-T16,T16*S16-T16)</f>
        <v>-2.85</v>
      </c>
    </row>
    <row r="17" customFormat="false" ht="16.15" hidden="false" customHeight="false" outlineLevel="0" collapsed="false">
      <c r="N17" s="3"/>
      <c r="O17" s="26" t="n">
        <v>46255</v>
      </c>
      <c r="P17" s="27" t="s">
        <v>863</v>
      </c>
      <c r="Q17" s="27" t="s">
        <v>439</v>
      </c>
      <c r="R17" s="28" t="s">
        <v>22</v>
      </c>
      <c r="S17" s="27" t="n">
        <v>1.8</v>
      </c>
      <c r="T17" s="29" t="n">
        <v>3.44</v>
      </c>
      <c r="U17" s="28" t="s">
        <v>1337</v>
      </c>
      <c r="V17" s="20" t="n">
        <f aca="false">IF(U17="Loss",-T17,T17*S17-T17)</f>
        <v>-3.44</v>
      </c>
    </row>
    <row r="18" customFormat="false" ht="16.15" hidden="false" customHeight="false" outlineLevel="0" collapsed="false">
      <c r="N18" s="3"/>
      <c r="O18" s="26" t="n">
        <v>46255</v>
      </c>
      <c r="P18" s="27" t="s">
        <v>1121</v>
      </c>
      <c r="Q18" s="27" t="s">
        <v>463</v>
      </c>
      <c r="R18" s="28" t="s">
        <v>19</v>
      </c>
      <c r="S18" s="27" t="n">
        <v>2.11</v>
      </c>
      <c r="T18" s="29" t="n">
        <v>2.77</v>
      </c>
      <c r="U18" s="28" t="s">
        <v>1343</v>
      </c>
      <c r="V18" s="20" t="n">
        <f aca="false">IF(U18="Loss",-T18,T18*S18-T18)</f>
        <v>3.0747</v>
      </c>
    </row>
    <row r="19" customFormat="false" ht="16.15" hidden="false" customHeight="false" outlineLevel="0" collapsed="false">
      <c r="N19" s="16"/>
      <c r="O19" s="26" t="n">
        <v>46255</v>
      </c>
      <c r="P19" s="27" t="s">
        <v>1051</v>
      </c>
      <c r="Q19" s="27" t="s">
        <v>1215</v>
      </c>
      <c r="R19" s="28" t="s">
        <v>19</v>
      </c>
      <c r="S19" s="27" t="n">
        <v>2.03</v>
      </c>
      <c r="T19" s="29" t="n">
        <v>2.77</v>
      </c>
      <c r="U19" s="28" t="s">
        <v>1343</v>
      </c>
      <c r="V19" s="20" t="n">
        <f aca="false">IF(U19="Loss",-T19,T19*S19-T19)</f>
        <v>2.8531</v>
      </c>
    </row>
    <row r="20" customFormat="false" ht="16.15" hidden="false" customHeight="false" outlineLevel="0" collapsed="false">
      <c r="N20" s="16"/>
      <c r="O20" s="26" t="n">
        <v>46256</v>
      </c>
      <c r="P20" s="27" t="s">
        <v>244</v>
      </c>
      <c r="Q20" s="27" t="s">
        <v>243</v>
      </c>
      <c r="R20" s="28" t="s">
        <v>317</v>
      </c>
      <c r="S20" s="27" t="n">
        <v>2.5</v>
      </c>
      <c r="T20" s="29" t="n">
        <v>2.76</v>
      </c>
      <c r="U20" s="28" t="s">
        <v>1337</v>
      </c>
      <c r="V20" s="20" t="n">
        <f aca="false">IF(U20="Loss",-T20,T20*S20-T20)</f>
        <v>-2.76</v>
      </c>
    </row>
    <row r="21" customFormat="false" ht="16.15" hidden="false" customHeight="false" outlineLevel="0" collapsed="false">
      <c r="N21" s="16"/>
      <c r="O21" s="26" t="n">
        <v>46256</v>
      </c>
      <c r="P21" s="27" t="s">
        <v>239</v>
      </c>
      <c r="Q21" s="27" t="s">
        <v>240</v>
      </c>
      <c r="R21" s="28" t="s">
        <v>22</v>
      </c>
      <c r="S21" s="27" t="n">
        <v>1.78</v>
      </c>
      <c r="T21" s="29" t="n">
        <v>3.5</v>
      </c>
      <c r="U21" s="28" t="s">
        <v>1343</v>
      </c>
      <c r="V21" s="20" t="n">
        <f aca="false">IF(U21="Loss",-T21,T21*S21-T21)</f>
        <v>2.73</v>
      </c>
    </row>
    <row r="22" customFormat="false" ht="16.15" hidden="false" customHeight="false" outlineLevel="0" collapsed="false">
      <c r="N22" s="16"/>
      <c r="O22" s="26" t="n">
        <v>46256</v>
      </c>
      <c r="P22" s="27" t="s">
        <v>247</v>
      </c>
      <c r="Q22" s="27" t="s">
        <v>248</v>
      </c>
      <c r="R22" s="28" t="s">
        <v>20</v>
      </c>
      <c r="S22" s="27" t="n">
        <v>2.12</v>
      </c>
      <c r="T22" s="29" t="n">
        <v>2.76</v>
      </c>
      <c r="U22" s="28" t="s">
        <v>1343</v>
      </c>
      <c r="V22" s="20" t="n">
        <f aca="false">IF(U22="Loss",-T22,T22*S22-T22)</f>
        <v>3.0912</v>
      </c>
    </row>
    <row r="23" customFormat="false" ht="16.15" hidden="false" customHeight="false" outlineLevel="0" collapsed="false">
      <c r="N23" s="16"/>
      <c r="O23" s="26" t="n">
        <v>46256</v>
      </c>
      <c r="P23" s="27" t="s">
        <v>247</v>
      </c>
      <c r="Q23" s="27" t="s">
        <v>248</v>
      </c>
      <c r="R23" s="28" t="s">
        <v>317</v>
      </c>
      <c r="S23" s="27" t="n">
        <v>2.26</v>
      </c>
      <c r="T23" s="29" t="n">
        <v>2.76</v>
      </c>
      <c r="U23" s="28" t="s">
        <v>1343</v>
      </c>
      <c r="V23" s="20" t="n">
        <f aca="false">IF(U23="Loss",-T23,T23*S23-T23)</f>
        <v>3.4776</v>
      </c>
    </row>
    <row r="24" customFormat="false" ht="16.15" hidden="false" customHeight="false" outlineLevel="0" collapsed="false">
      <c r="N24" s="16"/>
      <c r="O24" s="26" t="n">
        <v>46256</v>
      </c>
      <c r="P24" s="27" t="s">
        <v>798</v>
      </c>
      <c r="Q24" s="27" t="s">
        <v>810</v>
      </c>
      <c r="R24" s="28" t="s">
        <v>20</v>
      </c>
      <c r="S24" s="27" t="n">
        <v>2.01</v>
      </c>
      <c r="T24" s="29" t="n">
        <v>2.76</v>
      </c>
      <c r="U24" s="28" t="s">
        <v>1343</v>
      </c>
      <c r="V24" s="20" t="n">
        <f aca="false">IF(U24="Loss",-T24,T24*S24-T24)</f>
        <v>2.7876</v>
      </c>
    </row>
    <row r="25" customFormat="false" ht="16.15" hidden="false" customHeight="false" outlineLevel="0" collapsed="false">
      <c r="N25" s="16"/>
      <c r="O25" s="26" t="n">
        <v>46256</v>
      </c>
      <c r="P25" s="27" t="s">
        <v>1347</v>
      </c>
      <c r="Q25" s="27" t="s">
        <v>1348</v>
      </c>
      <c r="R25" s="28" t="s">
        <v>20</v>
      </c>
      <c r="S25" s="27" t="n">
        <v>1.729</v>
      </c>
      <c r="T25" s="29" t="n">
        <v>3.78</v>
      </c>
      <c r="U25" s="28" t="s">
        <v>1337</v>
      </c>
      <c r="V25" s="20" t="n">
        <f aca="false">IF(U25="Loss",-T25,T25*S25-T25)</f>
        <v>-3.78</v>
      </c>
    </row>
    <row r="26" customFormat="false" ht="16.15" hidden="false" customHeight="false" outlineLevel="0" collapsed="false">
      <c r="N26" s="16"/>
      <c r="O26" s="26" t="n">
        <v>46256</v>
      </c>
      <c r="P26" s="27" t="s">
        <v>807</v>
      </c>
      <c r="Q26" s="27" t="s">
        <v>791</v>
      </c>
      <c r="R26" s="28" t="s">
        <v>20</v>
      </c>
      <c r="S26" s="27" t="n">
        <v>2.3</v>
      </c>
      <c r="T26" s="29" t="n">
        <v>2.76</v>
      </c>
      <c r="U26" s="28" t="s">
        <v>1343</v>
      </c>
      <c r="V26" s="20" t="n">
        <f aca="false">IF(U26="Loss",-T26,T26*S26-T26)</f>
        <v>3.588</v>
      </c>
    </row>
    <row r="27" customFormat="false" ht="16.15" hidden="false" customHeight="false" outlineLevel="0" collapsed="false">
      <c r="O27" s="26" t="n">
        <v>46256</v>
      </c>
      <c r="P27" s="27" t="s">
        <v>251</v>
      </c>
      <c r="Q27" s="27" t="s">
        <v>246</v>
      </c>
      <c r="R27" s="28" t="s">
        <v>22</v>
      </c>
      <c r="S27" s="27" t="n">
        <v>2.29</v>
      </c>
      <c r="T27" s="29" t="n">
        <v>2.76</v>
      </c>
      <c r="U27" s="28" t="s">
        <v>1337</v>
      </c>
      <c r="V27" s="20" t="n">
        <f aca="false">IF(U27="Loss",-T27,T27*S27-T27)</f>
        <v>-2.76</v>
      </c>
    </row>
    <row r="28" customFormat="false" ht="16.15" hidden="false" customHeight="false" outlineLevel="0" collapsed="false">
      <c r="O28" s="26" t="n">
        <v>46256</v>
      </c>
      <c r="P28" s="27" t="s">
        <v>436</v>
      </c>
      <c r="Q28" s="27" t="s">
        <v>437</v>
      </c>
      <c r="R28" s="28" t="s">
        <v>20</v>
      </c>
      <c r="S28" s="27" t="n">
        <v>1.96</v>
      </c>
      <c r="T28" s="29" t="n">
        <v>2.88</v>
      </c>
      <c r="U28" s="28" t="s">
        <v>1343</v>
      </c>
      <c r="V28" s="20" t="n">
        <f aca="false">IF(U28="Loss",-T28,T28*S28-T28)</f>
        <v>2.7648</v>
      </c>
    </row>
    <row r="29" customFormat="false" ht="16.15" hidden="false" customHeight="false" outlineLevel="0" collapsed="false">
      <c r="O29" s="26" t="n">
        <v>46256</v>
      </c>
      <c r="P29" s="27" t="s">
        <v>102</v>
      </c>
      <c r="Q29" s="27" t="s">
        <v>847</v>
      </c>
      <c r="R29" s="28" t="s">
        <v>19</v>
      </c>
      <c r="S29" s="27" t="n">
        <v>2.16</v>
      </c>
      <c r="T29" s="29" t="n">
        <v>2.76</v>
      </c>
      <c r="U29" s="28" t="s">
        <v>1337</v>
      </c>
      <c r="V29" s="20" t="n">
        <f aca="false">IF(U29="Loss",-T29,T29*S29-T29)</f>
        <v>-2.76</v>
      </c>
    </row>
    <row r="30" customFormat="false" ht="16.15" hidden="false" customHeight="false" outlineLevel="0" collapsed="false">
      <c r="O30" s="26" t="n">
        <v>46256</v>
      </c>
      <c r="P30" s="27" t="s">
        <v>102</v>
      </c>
      <c r="Q30" s="27" t="s">
        <v>847</v>
      </c>
      <c r="R30" s="28" t="s">
        <v>22</v>
      </c>
      <c r="S30" s="27" t="n">
        <v>1.84</v>
      </c>
      <c r="T30" s="29" t="n">
        <v>3.28</v>
      </c>
      <c r="U30" s="28" t="s">
        <v>1337</v>
      </c>
      <c r="V30" s="20" t="n">
        <f aca="false">IF(U30="Loss",-T30,T30*S30-T30)</f>
        <v>-3.28</v>
      </c>
    </row>
    <row r="31" customFormat="false" ht="16.15" hidden="false" customHeight="false" outlineLevel="0" collapsed="false">
      <c r="O31" s="26" t="n">
        <v>46256</v>
      </c>
      <c r="P31" s="27" t="s">
        <v>1090</v>
      </c>
      <c r="Q31" s="27" t="s">
        <v>61</v>
      </c>
      <c r="R31" s="28" t="s">
        <v>19</v>
      </c>
      <c r="S31" s="27" t="n">
        <v>2.11</v>
      </c>
      <c r="T31" s="29" t="n">
        <v>2.76</v>
      </c>
      <c r="U31" s="28" t="s">
        <v>1343</v>
      </c>
      <c r="V31" s="20" t="n">
        <f aca="false">IF(U31="Loss",-T31,T31*S31-T31)</f>
        <v>3.0636</v>
      </c>
    </row>
    <row r="32" customFormat="false" ht="16.15" hidden="false" customHeight="false" outlineLevel="0" collapsed="false">
      <c r="O32" s="26" t="n">
        <v>46257</v>
      </c>
      <c r="P32" s="27" t="s">
        <v>92</v>
      </c>
      <c r="Q32" s="27" t="s">
        <v>60</v>
      </c>
      <c r="R32" s="28" t="s">
        <v>19</v>
      </c>
      <c r="S32" s="27" t="n">
        <v>2.33</v>
      </c>
      <c r="T32" s="29" t="n">
        <v>2.85</v>
      </c>
      <c r="U32" s="28" t="s">
        <v>1343</v>
      </c>
      <c r="V32" s="20" t="n">
        <f aca="false">IF(U32="Loss",-T32,T32*S32-T32)</f>
        <v>3.7905</v>
      </c>
    </row>
    <row r="33" customFormat="false" ht="16.15" hidden="false" customHeight="false" outlineLevel="0" collapsed="false">
      <c r="O33" s="26" t="n">
        <v>46257</v>
      </c>
      <c r="P33" s="27" t="s">
        <v>92</v>
      </c>
      <c r="Q33" s="27" t="s">
        <v>60</v>
      </c>
      <c r="R33" s="28" t="s">
        <v>22</v>
      </c>
      <c r="S33" s="27" t="n">
        <v>1.97</v>
      </c>
      <c r="T33" s="29" t="n">
        <v>2.77</v>
      </c>
      <c r="U33" s="28" t="s">
        <v>1343</v>
      </c>
      <c r="V33" s="20" t="n">
        <f aca="false">IF(U33="Loss",-T33,T33*S33-T33)</f>
        <v>2.6869</v>
      </c>
    </row>
    <row r="34" customFormat="false" ht="16.15" hidden="false" customHeight="false" outlineLevel="0" collapsed="false">
      <c r="O34" s="26" t="n">
        <v>46257</v>
      </c>
      <c r="P34" s="27" t="s">
        <v>803</v>
      </c>
      <c r="Q34" s="27" t="s">
        <v>794</v>
      </c>
      <c r="R34" s="28" t="s">
        <v>20</v>
      </c>
      <c r="S34" s="27" t="n">
        <v>2.26</v>
      </c>
      <c r="T34" s="29" t="n">
        <v>2.76</v>
      </c>
      <c r="U34" s="28" t="s">
        <v>1343</v>
      </c>
      <c r="V34" s="20" t="n">
        <f aca="false">IF(U34="Loss",-T34,T34*S34-T34)</f>
        <v>3.4776</v>
      </c>
    </row>
    <row r="35" customFormat="false" ht="16.15" hidden="false" customHeight="false" outlineLevel="0" collapsed="false">
      <c r="O35" s="26" t="n">
        <v>46257</v>
      </c>
      <c r="P35" s="27" t="s">
        <v>809</v>
      </c>
      <c r="Q35" s="27" t="s">
        <v>792</v>
      </c>
      <c r="R35" s="28" t="s">
        <v>20</v>
      </c>
      <c r="S35" s="27" t="n">
        <v>2.68</v>
      </c>
      <c r="T35" s="29" t="n">
        <v>2.76</v>
      </c>
      <c r="U35" s="28" t="s">
        <v>1337</v>
      </c>
      <c r="V35" s="20" t="n">
        <f aca="false">IF(U35="Loss",-T35,T35*S35-T35)</f>
        <v>-2.76</v>
      </c>
    </row>
    <row r="36" customFormat="false" ht="16.15" hidden="false" customHeight="false" outlineLevel="0" collapsed="false">
      <c r="O36" s="26" t="n">
        <v>46257</v>
      </c>
      <c r="P36" s="27" t="s">
        <v>809</v>
      </c>
      <c r="Q36" s="27" t="s">
        <v>792</v>
      </c>
      <c r="R36" s="28" t="s">
        <v>317</v>
      </c>
      <c r="S36" s="27" t="n">
        <v>2.69</v>
      </c>
      <c r="T36" s="29" t="n">
        <v>2.76</v>
      </c>
      <c r="U36" s="28" t="s">
        <v>1343</v>
      </c>
      <c r="V36" s="20" t="n">
        <f aca="false">IF(U36="Loss",-T36,T36*S36-T36)</f>
        <v>4.6644</v>
      </c>
    </row>
    <row r="37" customFormat="false" ht="16.15" hidden="false" customHeight="false" outlineLevel="0" collapsed="false">
      <c r="O37" s="26" t="n">
        <v>46257</v>
      </c>
      <c r="P37" s="27" t="s">
        <v>370</v>
      </c>
      <c r="Q37" s="27" t="s">
        <v>1349</v>
      </c>
      <c r="R37" s="28" t="s">
        <v>20</v>
      </c>
      <c r="S37" s="27" t="n">
        <v>2.16</v>
      </c>
      <c r="T37" s="29" t="n">
        <v>2.76</v>
      </c>
      <c r="U37" s="28" t="s">
        <v>1343</v>
      </c>
      <c r="V37" s="20" t="n">
        <f aca="false">IF(U37="Loss",-T37,T37*S37-T37)</f>
        <v>3.2016</v>
      </c>
    </row>
    <row r="38" customFormat="false" ht="16.15" hidden="false" customHeight="false" outlineLevel="0" collapsed="false">
      <c r="O38" s="26" t="n">
        <v>46257</v>
      </c>
      <c r="P38" s="27" t="s">
        <v>384</v>
      </c>
      <c r="Q38" s="27" t="s">
        <v>57</v>
      </c>
      <c r="R38" s="28" t="s">
        <v>19</v>
      </c>
      <c r="S38" s="27" t="n">
        <v>2.32</v>
      </c>
      <c r="T38" s="29" t="n">
        <v>2.76</v>
      </c>
      <c r="U38" s="28" t="s">
        <v>1337</v>
      </c>
      <c r="V38" s="20" t="n">
        <f aca="false">IF(U38="Loss",-T38,T38*S38-T38)</f>
        <v>-2.76</v>
      </c>
    </row>
    <row r="39" customFormat="false" ht="16.15" hidden="false" customHeight="false" outlineLevel="0" collapsed="false">
      <c r="O39" s="26" t="n">
        <v>46257</v>
      </c>
      <c r="P39" s="27" t="s">
        <v>111</v>
      </c>
      <c r="Q39" s="27" t="s">
        <v>1059</v>
      </c>
      <c r="R39" s="28" t="s">
        <v>20</v>
      </c>
      <c r="S39" s="27" t="n">
        <v>2.59</v>
      </c>
      <c r="T39" s="29" t="n">
        <v>2.76</v>
      </c>
      <c r="U39" s="28" t="s">
        <v>1343</v>
      </c>
      <c r="V39" s="20" t="n">
        <f aca="false">IF(U39="Loss",-T39,T39*S39-T39)</f>
        <v>4.3884</v>
      </c>
    </row>
    <row r="40" customFormat="false" ht="16.15" hidden="false" customHeight="false" outlineLevel="0" collapsed="false">
      <c r="O40" s="26" t="n">
        <v>46257</v>
      </c>
      <c r="P40" s="27" t="s">
        <v>92</v>
      </c>
      <c r="Q40" s="27" t="s">
        <v>60</v>
      </c>
      <c r="R40" s="28" t="s">
        <v>19</v>
      </c>
      <c r="S40" s="27" t="n">
        <v>2.39</v>
      </c>
      <c r="T40" s="29" t="n">
        <v>2.76</v>
      </c>
      <c r="U40" s="28" t="s">
        <v>1343</v>
      </c>
      <c r="V40" s="20" t="n">
        <f aca="false">IF(U40="Loss",-T40,T40*S40-T40)</f>
        <v>3.8364</v>
      </c>
    </row>
    <row r="41" customFormat="false" ht="16.15" hidden="false" customHeight="false" outlineLevel="0" collapsed="false">
      <c r="O41" s="26" t="n">
        <v>46257</v>
      </c>
      <c r="P41" s="27" t="s">
        <v>92</v>
      </c>
      <c r="Q41" s="27" t="s">
        <v>60</v>
      </c>
      <c r="R41" s="28" t="s">
        <v>22</v>
      </c>
      <c r="S41" s="27" t="n">
        <v>2</v>
      </c>
      <c r="T41" s="29" t="n">
        <v>2.76</v>
      </c>
      <c r="U41" s="28" t="s">
        <v>1343</v>
      </c>
      <c r="V41" s="20" t="n">
        <f aca="false">IF(U41="Loss",-T41,T41*S41-T41)</f>
        <v>2.76</v>
      </c>
    </row>
    <row r="42" customFormat="false" ht="16.15" hidden="false" customHeight="false" outlineLevel="0" collapsed="false">
      <c r="O42" s="26" t="n">
        <v>46257</v>
      </c>
      <c r="P42" s="27" t="s">
        <v>444</v>
      </c>
      <c r="Q42" s="27" t="s">
        <v>865</v>
      </c>
      <c r="R42" s="28" t="s">
        <v>20</v>
      </c>
      <c r="S42" s="27" t="n">
        <v>2.23</v>
      </c>
      <c r="T42" s="29" t="n">
        <v>2.76</v>
      </c>
      <c r="U42" s="28" t="s">
        <v>1337</v>
      </c>
      <c r="V42" s="20" t="n">
        <f aca="false">IF(U42="Loss",-T42,T42*S42-T42)</f>
        <v>-2.76</v>
      </c>
    </row>
    <row r="43" customFormat="false" ht="16.15" hidden="false" customHeight="false" outlineLevel="0" collapsed="false">
      <c r="O43" s="26" t="n">
        <v>46257</v>
      </c>
      <c r="P43" s="27" t="s">
        <v>1350</v>
      </c>
      <c r="Q43" s="27" t="s">
        <v>866</v>
      </c>
      <c r="R43" s="28" t="s">
        <v>22</v>
      </c>
      <c r="S43" s="27" t="n">
        <v>1.92</v>
      </c>
      <c r="T43" s="29" t="n">
        <v>2.99</v>
      </c>
      <c r="U43" s="28" t="s">
        <v>1343</v>
      </c>
      <c r="V43" s="20" t="n">
        <f aca="false">IF(U43="Loss",-T43,T43*S43-T43)</f>
        <v>2.7508</v>
      </c>
    </row>
    <row r="44" customFormat="false" ht="16.15" hidden="false" customHeight="false" outlineLevel="0" collapsed="false">
      <c r="O44" s="26" t="n">
        <v>46257</v>
      </c>
      <c r="P44" s="27" t="s">
        <v>450</v>
      </c>
      <c r="Q44" s="27" t="s">
        <v>447</v>
      </c>
      <c r="R44" s="28" t="s">
        <v>20</v>
      </c>
      <c r="S44" s="27" t="n">
        <v>2.06</v>
      </c>
      <c r="T44" s="29" t="n">
        <v>2.76</v>
      </c>
      <c r="U44" s="28" t="s">
        <v>1337</v>
      </c>
      <c r="V44" s="20" t="n">
        <f aca="false">IF(U44="Loss",-T44,T44*S44-T44)</f>
        <v>-2.76</v>
      </c>
    </row>
    <row r="45" customFormat="false" ht="16.15" hidden="false" customHeight="false" outlineLevel="0" collapsed="false">
      <c r="O45" s="26" t="n">
        <v>46257</v>
      </c>
      <c r="P45" s="27" t="s">
        <v>431</v>
      </c>
      <c r="Q45" s="27" t="s">
        <v>1083</v>
      </c>
      <c r="R45" s="28" t="s">
        <v>19</v>
      </c>
      <c r="S45" s="27" t="n">
        <v>1.869</v>
      </c>
      <c r="T45" s="29" t="n">
        <v>3.17</v>
      </c>
      <c r="U45" s="28" t="s">
        <v>1337</v>
      </c>
      <c r="V45" s="20" t="n">
        <f aca="false">IF(U45="Loss",-T45,T45*S45-T45)</f>
        <v>-3.17</v>
      </c>
    </row>
    <row r="46" customFormat="false" ht="16.15" hidden="false" customHeight="false" outlineLevel="0" collapsed="false">
      <c r="O46" s="26" t="n">
        <v>46257</v>
      </c>
      <c r="P46" s="27" t="s">
        <v>1351</v>
      </c>
      <c r="Q46" s="27" t="s">
        <v>1034</v>
      </c>
      <c r="R46" s="28" t="s">
        <v>20</v>
      </c>
      <c r="S46" s="27" t="n">
        <v>1.826</v>
      </c>
      <c r="T46" s="29" t="n">
        <v>3.34</v>
      </c>
      <c r="U46" s="28" t="s">
        <v>1343</v>
      </c>
      <c r="V46" s="20" t="n">
        <f aca="false">IF(U46="Loss",-T46,T46*S46-T46)</f>
        <v>2.75884</v>
      </c>
    </row>
    <row r="47" customFormat="false" ht="16.15" hidden="false" customHeight="false" outlineLevel="0" collapsed="false">
      <c r="O47" s="26" t="n">
        <v>46257</v>
      </c>
      <c r="P47" s="27" t="s">
        <v>1352</v>
      </c>
      <c r="Q47" s="27" t="s">
        <v>68</v>
      </c>
      <c r="R47" s="28" t="s">
        <v>22</v>
      </c>
      <c r="S47" s="27" t="n">
        <v>1.98</v>
      </c>
      <c r="T47" s="29" t="n">
        <v>2.81</v>
      </c>
      <c r="U47" s="28" t="s">
        <v>1343</v>
      </c>
      <c r="V47" s="20" t="n">
        <f aca="false">IF(U47="Loss",-T47,T47*S47-T47)</f>
        <v>2.7538</v>
      </c>
    </row>
    <row r="48" customFormat="false" ht="16.15" hidden="false" customHeight="false" outlineLevel="0" collapsed="false">
      <c r="O48" s="26" t="n">
        <v>46257</v>
      </c>
      <c r="P48" s="27" t="s">
        <v>80</v>
      </c>
      <c r="Q48" s="27" t="s">
        <v>120</v>
      </c>
      <c r="R48" s="28" t="s">
        <v>19</v>
      </c>
      <c r="S48" s="27" t="n">
        <v>1.925</v>
      </c>
      <c r="T48" s="29" t="n">
        <v>2.99</v>
      </c>
      <c r="U48" s="28" t="s">
        <v>1337</v>
      </c>
      <c r="V48" s="20" t="n">
        <f aca="false">IF(U48="Loss",-T48,T48*S48-T48)</f>
        <v>-2.99</v>
      </c>
    </row>
    <row r="49" customFormat="false" ht="16.15" hidden="false" customHeight="false" outlineLevel="0" collapsed="false">
      <c r="O49" s="26" t="n">
        <v>46257</v>
      </c>
      <c r="P49" s="27" t="s">
        <v>80</v>
      </c>
      <c r="Q49" s="27" t="s">
        <v>120</v>
      </c>
      <c r="R49" s="28" t="s">
        <v>22</v>
      </c>
      <c r="S49" s="27" t="n">
        <v>1.909</v>
      </c>
      <c r="T49" s="29" t="n">
        <v>3.04</v>
      </c>
      <c r="U49" s="28" t="s">
        <v>1337</v>
      </c>
      <c r="V49" s="20" t="n">
        <f aca="false">IF(U49="Loss",-T49,T49*S49-T49)</f>
        <v>-3.04</v>
      </c>
    </row>
    <row r="50" customFormat="false" ht="16.15" hidden="false" customHeight="false" outlineLevel="0" collapsed="false">
      <c r="O50" s="26" t="n">
        <v>46257</v>
      </c>
      <c r="P50" s="27" t="s">
        <v>722</v>
      </c>
      <c r="Q50" s="27" t="s">
        <v>1297</v>
      </c>
      <c r="R50" s="28" t="s">
        <v>19</v>
      </c>
      <c r="S50" s="27" t="n">
        <v>2.3</v>
      </c>
      <c r="T50" s="29" t="n">
        <v>2.76</v>
      </c>
      <c r="U50" s="28" t="s">
        <v>1337</v>
      </c>
      <c r="V50" s="20" t="n">
        <f aca="false">IF(U50="Loss",-T50,T50*S50-T50)</f>
        <v>-2.76</v>
      </c>
    </row>
    <row r="51" customFormat="false" ht="16.15" hidden="false" customHeight="false" outlineLevel="0" collapsed="false">
      <c r="O51" s="26" t="n">
        <v>46257</v>
      </c>
      <c r="P51" s="27" t="s">
        <v>722</v>
      </c>
      <c r="Q51" s="27" t="s">
        <v>1297</v>
      </c>
      <c r="R51" s="28" t="s">
        <v>22</v>
      </c>
      <c r="S51" s="27" t="n">
        <v>1.97</v>
      </c>
      <c r="T51" s="29" t="n">
        <v>2.85</v>
      </c>
      <c r="U51" s="28" t="s">
        <v>1343</v>
      </c>
      <c r="V51" s="20" t="n">
        <f aca="false">IF(U51="Loss",-T51,T51*S51-T51)</f>
        <v>2.7645</v>
      </c>
    </row>
    <row r="52" customFormat="false" ht="16.15" hidden="false" customHeight="false" outlineLevel="0" collapsed="false">
      <c r="O52" s="26" t="n">
        <v>46257</v>
      </c>
      <c r="P52" s="27" t="s">
        <v>1081</v>
      </c>
      <c r="Q52" s="27" t="s">
        <v>1353</v>
      </c>
      <c r="R52" s="28" t="s">
        <v>20</v>
      </c>
      <c r="S52" s="27" t="n">
        <v>5.95</v>
      </c>
      <c r="T52" s="29" t="n">
        <v>2.76</v>
      </c>
      <c r="U52" s="28" t="s">
        <v>1337</v>
      </c>
      <c r="V52" s="20" t="n">
        <f aca="false">IF(U52="Loss",-T52,T52*S52-T52)</f>
        <v>-2.76</v>
      </c>
    </row>
    <row r="53" customFormat="false" ht="16.15" hidden="false" customHeight="false" outlineLevel="0" collapsed="false">
      <c r="O53" s="26" t="n">
        <v>46257</v>
      </c>
      <c r="P53" s="27" t="s">
        <v>1214</v>
      </c>
      <c r="Q53" s="27" t="s">
        <v>1306</v>
      </c>
      <c r="R53" s="28" t="s">
        <v>317</v>
      </c>
      <c r="S53" s="27" t="n">
        <v>1.98</v>
      </c>
      <c r="T53" s="29" t="n">
        <v>2.82</v>
      </c>
      <c r="U53" s="28" t="s">
        <v>1337</v>
      </c>
      <c r="V53" s="20" t="n">
        <f aca="false">IF(U53="Loss",-T53,T53*S53-T53)</f>
        <v>-2.82</v>
      </c>
    </row>
    <row r="54" customFormat="false" ht="16.15" hidden="false" customHeight="false" outlineLevel="0" collapsed="false">
      <c r="O54" s="26" t="n">
        <v>46257</v>
      </c>
      <c r="P54" s="27" t="s">
        <v>1354</v>
      </c>
      <c r="Q54" s="27" t="s">
        <v>1355</v>
      </c>
      <c r="R54" s="28" t="s">
        <v>19</v>
      </c>
      <c r="S54" s="27" t="n">
        <v>2.32</v>
      </c>
      <c r="T54" s="29" t="n">
        <v>2.76</v>
      </c>
      <c r="U54" s="28" t="s">
        <v>1337</v>
      </c>
      <c r="V54" s="20" t="n">
        <f aca="false">IF(U54="Loss",-T54,T54*S54-T54)</f>
        <v>-2.76</v>
      </c>
    </row>
    <row r="55" customFormat="false" ht="16.15" hidden="false" customHeight="false" outlineLevel="0" collapsed="false">
      <c r="O55" s="26" t="n">
        <v>46257</v>
      </c>
      <c r="P55" s="27" t="s">
        <v>1354</v>
      </c>
      <c r="Q55" s="27" t="s">
        <v>1355</v>
      </c>
      <c r="R55" s="28" t="s">
        <v>22</v>
      </c>
      <c r="S55" s="27" t="n">
        <v>1.97</v>
      </c>
      <c r="T55" s="29" t="n">
        <v>2.85</v>
      </c>
      <c r="U55" s="28" t="s">
        <v>1337</v>
      </c>
      <c r="V55" s="20" t="n">
        <f aca="false">IF(U55="Loss",-T55,T55*S55-T55)</f>
        <v>-2.85</v>
      </c>
    </row>
    <row r="56" customFormat="false" ht="16.15" hidden="false" customHeight="false" outlineLevel="0" collapsed="false">
      <c r="O56" s="26" t="n">
        <v>46257</v>
      </c>
      <c r="P56" s="27" t="s">
        <v>1124</v>
      </c>
      <c r="Q56" s="27" t="s">
        <v>596</v>
      </c>
      <c r="R56" s="28" t="s">
        <v>20</v>
      </c>
      <c r="S56" s="27" t="n">
        <v>2.49</v>
      </c>
      <c r="T56" s="29" t="n">
        <v>2.76</v>
      </c>
      <c r="U56" s="28" t="s">
        <v>1337</v>
      </c>
      <c r="V56" s="20" t="n">
        <f aca="false">IF(U56="Loss",-T56,T56*S56-T56)</f>
        <v>-2.76</v>
      </c>
    </row>
    <row r="57" customFormat="false" ht="16.15" hidden="false" customHeight="false" outlineLevel="0" collapsed="false">
      <c r="O57" s="26" t="n">
        <v>46257</v>
      </c>
      <c r="P57" s="27" t="s">
        <v>1151</v>
      </c>
      <c r="Q57" s="27" t="s">
        <v>1152</v>
      </c>
      <c r="R57" s="28" t="s">
        <v>22</v>
      </c>
      <c r="S57" s="27" t="n">
        <v>1.98</v>
      </c>
      <c r="T57" s="29" t="n">
        <v>2.82</v>
      </c>
      <c r="U57" s="28" t="s">
        <v>1337</v>
      </c>
      <c r="V57" s="20" t="n">
        <f aca="false">IF(U57="Loss",-T57,T57*S57-T57)</f>
        <v>-2.82</v>
      </c>
    </row>
    <row r="58" customFormat="false" ht="16.15" hidden="false" customHeight="false" outlineLevel="0" collapsed="false">
      <c r="O58" s="26" t="n">
        <v>46257</v>
      </c>
      <c r="P58" s="27" t="s">
        <v>183</v>
      </c>
      <c r="Q58" s="27" t="s">
        <v>197</v>
      </c>
      <c r="R58" s="28" t="s">
        <v>317</v>
      </c>
      <c r="S58" s="27" t="n">
        <v>2.05</v>
      </c>
      <c r="T58" s="29" t="n">
        <v>2.76</v>
      </c>
      <c r="U58" s="28" t="s">
        <v>1337</v>
      </c>
      <c r="V58" s="20" t="n">
        <f aca="false">IF(U58="Loss",-T58,T58*S58-T58)</f>
        <v>-2.76</v>
      </c>
    </row>
    <row r="59" customFormat="false" ht="16.15" hidden="false" customHeight="false" outlineLevel="0" collapsed="false">
      <c r="O59" s="26" t="n">
        <v>46257</v>
      </c>
      <c r="P59" s="27" t="s">
        <v>643</v>
      </c>
      <c r="Q59" s="27" t="s">
        <v>628</v>
      </c>
      <c r="R59" s="28" t="s">
        <v>19</v>
      </c>
      <c r="S59" s="27" t="n">
        <v>2.25</v>
      </c>
      <c r="T59" s="29" t="n">
        <v>2.76</v>
      </c>
      <c r="U59" s="28" t="s">
        <v>1337</v>
      </c>
      <c r="V59" s="20" t="n">
        <f aca="false">IF(U59="Loss",-T59,T59*S59-T59)</f>
        <v>-2.76</v>
      </c>
    </row>
    <row r="60" customFormat="false" ht="16.15" hidden="false" customHeight="false" outlineLevel="0" collapsed="false">
      <c r="O60" s="26" t="n">
        <v>46257</v>
      </c>
      <c r="P60" s="27" t="s">
        <v>643</v>
      </c>
      <c r="Q60" s="27" t="s">
        <v>628</v>
      </c>
      <c r="R60" s="28" t="s">
        <v>22</v>
      </c>
      <c r="S60" s="27" t="n">
        <v>2.06</v>
      </c>
      <c r="T60" s="29" t="n">
        <v>2.76</v>
      </c>
      <c r="U60" s="28" t="s">
        <v>1343</v>
      </c>
      <c r="V60" s="20" t="n">
        <f aca="false">IF(U60="Loss",-T60,T60*S60-T60)</f>
        <v>2.9256</v>
      </c>
    </row>
    <row r="61" customFormat="false" ht="16.15" hidden="false" customHeight="false" outlineLevel="0" collapsed="false">
      <c r="O61" s="26" t="n">
        <v>46257</v>
      </c>
      <c r="P61" s="27" t="s">
        <v>635</v>
      </c>
      <c r="Q61" s="27" t="s">
        <v>638</v>
      </c>
      <c r="R61" s="28" t="s">
        <v>19</v>
      </c>
      <c r="S61" s="27" t="n">
        <v>2.51</v>
      </c>
      <c r="T61" s="29" t="n">
        <v>2.76</v>
      </c>
      <c r="U61" s="28" t="s">
        <v>1337</v>
      </c>
      <c r="V61" s="20" t="n">
        <f aca="false">IF(U61="Loss",-T61,T61*S61-T61)</f>
        <v>-2.76</v>
      </c>
    </row>
    <row r="62" customFormat="false" ht="16.15" hidden="false" customHeight="false" outlineLevel="0" collapsed="false">
      <c r="O62" s="26" t="n">
        <v>46257</v>
      </c>
      <c r="P62" s="27" t="s">
        <v>635</v>
      </c>
      <c r="Q62" s="27" t="s">
        <v>638</v>
      </c>
      <c r="R62" s="28" t="s">
        <v>22</v>
      </c>
      <c r="S62" s="27" t="n">
        <v>2.13</v>
      </c>
      <c r="T62" s="29" t="n">
        <v>2.76</v>
      </c>
      <c r="U62" s="28" t="s">
        <v>1337</v>
      </c>
      <c r="V62" s="20" t="n">
        <f aca="false">IF(U62="Loss",-T62,T62*S62-T62)</f>
        <v>-2.76</v>
      </c>
    </row>
    <row r="63" customFormat="false" ht="16.15" hidden="false" customHeight="false" outlineLevel="0" collapsed="false">
      <c r="O63" s="26" t="n">
        <v>46257</v>
      </c>
      <c r="P63" s="27" t="s">
        <v>647</v>
      </c>
      <c r="Q63" s="27" t="s">
        <v>632</v>
      </c>
      <c r="R63" s="28" t="s">
        <v>19</v>
      </c>
      <c r="S63" s="27" t="n">
        <v>1.98</v>
      </c>
      <c r="T63" s="29" t="n">
        <v>2.82</v>
      </c>
      <c r="U63" s="28" t="s">
        <v>1343</v>
      </c>
      <c r="V63" s="20" t="n">
        <f aca="false">IF(U63="Loss",-T63,T63*S63-T63)</f>
        <v>2.7636</v>
      </c>
    </row>
    <row r="64" customFormat="false" ht="16.15" hidden="false" customHeight="false" outlineLevel="0" collapsed="false">
      <c r="O64" s="26" t="n">
        <v>46257</v>
      </c>
      <c r="P64" s="27" t="s">
        <v>647</v>
      </c>
      <c r="Q64" s="27" t="s">
        <v>632</v>
      </c>
      <c r="R64" s="28" t="s">
        <v>22</v>
      </c>
      <c r="S64" s="27" t="n">
        <v>2</v>
      </c>
      <c r="T64" s="29" t="n">
        <v>2.76</v>
      </c>
      <c r="U64" s="28" t="s">
        <v>1343</v>
      </c>
      <c r="V64" s="20" t="n">
        <f aca="false">IF(U64="Loss",-T64,T64*S64-T64)</f>
        <v>2.76</v>
      </c>
    </row>
    <row r="65" customFormat="false" ht="16.15" hidden="false" customHeight="false" outlineLevel="0" collapsed="false">
      <c r="O65" s="26" t="n">
        <v>46257</v>
      </c>
      <c r="P65" s="27" t="s">
        <v>1160</v>
      </c>
      <c r="Q65" s="27" t="s">
        <v>1242</v>
      </c>
      <c r="R65" s="28" t="s">
        <v>20</v>
      </c>
      <c r="S65" s="27" t="n">
        <v>1.97</v>
      </c>
      <c r="T65" s="29" t="n">
        <v>2.85</v>
      </c>
      <c r="U65" s="28" t="s">
        <v>1337</v>
      </c>
      <c r="V65" s="20" t="n">
        <f aca="false">IF(U65="Loss",-T65,T65*S65-T65)</f>
        <v>-2.85</v>
      </c>
    </row>
    <row r="66" customFormat="false" ht="16.15" hidden="false" customHeight="false" outlineLevel="0" collapsed="false">
      <c r="O66" s="26" t="n">
        <v>46257</v>
      </c>
      <c r="P66" s="27" t="s">
        <v>1160</v>
      </c>
      <c r="Q66" s="27" t="s">
        <v>1242</v>
      </c>
      <c r="R66" s="28" t="s">
        <v>317</v>
      </c>
      <c r="S66" s="27" t="n">
        <v>2.19</v>
      </c>
      <c r="T66" s="29" t="n">
        <v>2.76</v>
      </c>
      <c r="U66" s="28" t="s">
        <v>1337</v>
      </c>
      <c r="V66" s="20" t="n">
        <f aca="false">IF(U66="Loss",-T66,T66*S66-T66)</f>
        <v>-2.76</v>
      </c>
    </row>
    <row r="67" customFormat="false" ht="16.15" hidden="false" customHeight="false" outlineLevel="0" collapsed="false">
      <c r="O67" s="26" t="n">
        <v>46257</v>
      </c>
      <c r="P67" s="27" t="s">
        <v>1356</v>
      </c>
      <c r="Q67" s="27" t="s">
        <v>750</v>
      </c>
      <c r="R67" s="28" t="s">
        <v>19</v>
      </c>
      <c r="S67" s="27" t="n">
        <v>2.35</v>
      </c>
      <c r="T67" s="29" t="n">
        <v>2.76</v>
      </c>
      <c r="U67" s="28" t="s">
        <v>1337</v>
      </c>
      <c r="V67" s="20" t="n">
        <f aca="false">IF(U67="Loss",-T67,T67*S67-T67)</f>
        <v>-2.76</v>
      </c>
    </row>
    <row r="68" customFormat="false" ht="16.15" hidden="false" customHeight="false" outlineLevel="0" collapsed="false">
      <c r="O68" s="26" t="n">
        <v>46257</v>
      </c>
      <c r="P68" s="27" t="s">
        <v>1356</v>
      </c>
      <c r="Q68" s="27" t="s">
        <v>750</v>
      </c>
      <c r="R68" s="28" t="s">
        <v>22</v>
      </c>
      <c r="S68" s="27" t="n">
        <v>1.909</v>
      </c>
      <c r="T68" s="29" t="n">
        <v>3.04</v>
      </c>
      <c r="U68" s="28" t="s">
        <v>1343</v>
      </c>
      <c r="V68" s="20" t="n">
        <f aca="false">IF(U68="Loss",-T68,T68*S68-T68)</f>
        <v>2.76336</v>
      </c>
    </row>
    <row r="69" customFormat="false" ht="16.15" hidden="false" customHeight="false" outlineLevel="0" collapsed="false">
      <c r="O69" s="26" t="n">
        <v>46257</v>
      </c>
      <c r="P69" s="27" t="s">
        <v>585</v>
      </c>
      <c r="Q69" s="27" t="s">
        <v>1240</v>
      </c>
      <c r="R69" s="28" t="s">
        <v>19</v>
      </c>
      <c r="S69" s="27" t="n">
        <v>2.16</v>
      </c>
      <c r="T69" s="29" t="n">
        <v>2.76</v>
      </c>
      <c r="U69" s="28" t="s">
        <v>1337</v>
      </c>
      <c r="V69" s="20" t="n">
        <f aca="false">IF(U69="Loss",-T69,T69*S69-T69)</f>
        <v>-2.76</v>
      </c>
    </row>
    <row r="70" customFormat="false" ht="16.15" hidden="false" customHeight="false" outlineLevel="0" collapsed="false">
      <c r="O70" s="26" t="n">
        <v>46257</v>
      </c>
      <c r="P70" s="27" t="s">
        <v>1357</v>
      </c>
      <c r="Q70" s="27" t="s">
        <v>186</v>
      </c>
      <c r="R70" s="28" t="s">
        <v>19</v>
      </c>
      <c r="S70" s="27" t="n">
        <v>1.943</v>
      </c>
      <c r="T70" s="29" t="n">
        <v>2.93</v>
      </c>
      <c r="U70" s="28" t="s">
        <v>1337</v>
      </c>
      <c r="V70" s="20" t="n">
        <f aca="false">IF(U70="Loss",-T70,T70*S70-T70)</f>
        <v>-2.93</v>
      </c>
    </row>
    <row r="71" customFormat="false" ht="16.15" hidden="false" customHeight="false" outlineLevel="0" collapsed="false">
      <c r="O71" s="26" t="n">
        <v>46257</v>
      </c>
      <c r="P71" s="27" t="s">
        <v>1357</v>
      </c>
      <c r="Q71" s="27" t="s">
        <v>186</v>
      </c>
      <c r="R71" s="28" t="s">
        <v>22</v>
      </c>
      <c r="S71" s="27" t="n">
        <v>1.746</v>
      </c>
      <c r="T71" s="29" t="n">
        <v>3.7</v>
      </c>
      <c r="U71" s="28" t="s">
        <v>1337</v>
      </c>
      <c r="V71" s="20" t="n">
        <f aca="false">IF(U71="Loss",-T71,T71*S71-T71)</f>
        <v>-3.7</v>
      </c>
    </row>
    <row r="72" customFormat="false" ht="16.15" hidden="false" customHeight="false" outlineLevel="0" collapsed="false">
      <c r="O72" s="26" t="n">
        <v>46257</v>
      </c>
      <c r="P72" s="27" t="s">
        <v>658</v>
      </c>
      <c r="Q72" s="27" t="s">
        <v>592</v>
      </c>
      <c r="R72" s="28" t="s">
        <v>20</v>
      </c>
      <c r="S72" s="27" t="n">
        <v>2.12</v>
      </c>
      <c r="T72" s="29" t="n">
        <v>2.76</v>
      </c>
      <c r="U72" s="28" t="s">
        <v>1337</v>
      </c>
      <c r="V72" s="20" t="n">
        <f aca="false">IF(U72="Loss",-T72,T72*S72-T72)</f>
        <v>-2.76</v>
      </c>
    </row>
    <row r="73" customFormat="false" ht="16.15" hidden="false" customHeight="false" outlineLevel="0" collapsed="false">
      <c r="O73" s="26" t="n">
        <v>46257</v>
      </c>
      <c r="P73" s="27" t="s">
        <v>584</v>
      </c>
      <c r="Q73" s="27" t="s">
        <v>765</v>
      </c>
      <c r="R73" s="28" t="s">
        <v>22</v>
      </c>
      <c r="S73" s="27" t="n">
        <v>2.02</v>
      </c>
      <c r="T73" s="29" t="n">
        <v>2.76</v>
      </c>
      <c r="U73" s="28" t="s">
        <v>1343</v>
      </c>
      <c r="V73" s="20" t="n">
        <f aca="false">IF(U73="Loss",-T73,T73*S73-T73)</f>
        <v>2.8152</v>
      </c>
    </row>
    <row r="74" customFormat="false" ht="16.15" hidden="false" customHeight="false" outlineLevel="0" collapsed="false">
      <c r="O74" s="26" t="n">
        <v>46257</v>
      </c>
      <c r="P74" s="27" t="s">
        <v>1044</v>
      </c>
      <c r="Q74" s="27" t="s">
        <v>698</v>
      </c>
      <c r="R74" s="28" t="s">
        <v>20</v>
      </c>
      <c r="S74" s="27" t="n">
        <v>2.86</v>
      </c>
      <c r="T74" s="29" t="n">
        <v>2.76</v>
      </c>
      <c r="U74" s="28" t="s">
        <v>1337</v>
      </c>
      <c r="V74" s="20" t="n">
        <f aca="false">IF(U74="Loss",-T74,T74*S74-T74)</f>
        <v>-2.76</v>
      </c>
    </row>
    <row r="75" customFormat="false" ht="16.15" hidden="false" customHeight="false" outlineLevel="0" collapsed="false">
      <c r="O75" s="26" t="n">
        <v>46257</v>
      </c>
      <c r="P75" s="27" t="s">
        <v>1044</v>
      </c>
      <c r="Q75" s="27" t="s">
        <v>698</v>
      </c>
      <c r="R75" s="28" t="s">
        <v>317</v>
      </c>
      <c r="S75" s="27" t="n">
        <v>2.84</v>
      </c>
      <c r="T75" s="29" t="n">
        <v>2.76</v>
      </c>
      <c r="U75" s="28" t="s">
        <v>1337</v>
      </c>
      <c r="V75" s="20" t="n">
        <f aca="false">IF(U75="Loss",-T75,T75*S75-T75)</f>
        <v>-2.76</v>
      </c>
    </row>
    <row r="76" customFormat="false" ht="16.15" hidden="false" customHeight="false" outlineLevel="0" collapsed="false">
      <c r="O76" s="26" t="n">
        <v>46257</v>
      </c>
      <c r="P76" s="27" t="s">
        <v>682</v>
      </c>
      <c r="Q76" s="27" t="s">
        <v>1168</v>
      </c>
      <c r="R76" s="28" t="s">
        <v>317</v>
      </c>
      <c r="S76" s="27" t="n">
        <v>1.943</v>
      </c>
      <c r="T76" s="29" t="n">
        <v>2.93</v>
      </c>
      <c r="U76" s="28" t="s">
        <v>1337</v>
      </c>
      <c r="V76" s="20" t="n">
        <f aca="false">IF(U76="Loss",-T76,T76*S76-T76)</f>
        <v>-2.93</v>
      </c>
    </row>
    <row r="77" customFormat="false" ht="16.15" hidden="false" customHeight="false" outlineLevel="0" collapsed="false">
      <c r="O77" s="26" t="n">
        <v>46257</v>
      </c>
      <c r="P77" s="27" t="s">
        <v>1157</v>
      </c>
      <c r="Q77" s="27" t="s">
        <v>1156</v>
      </c>
      <c r="R77" s="28" t="s">
        <v>19</v>
      </c>
      <c r="S77" s="27" t="n">
        <v>2.44</v>
      </c>
      <c r="T77" s="29" t="n">
        <v>2.76</v>
      </c>
      <c r="U77" s="28" t="s">
        <v>1337</v>
      </c>
      <c r="V77" s="20" t="n">
        <f aca="false">IF(U77="Loss",-T77,T77*S77-T77)</f>
        <v>-2.76</v>
      </c>
    </row>
    <row r="78" customFormat="false" ht="16.15" hidden="false" customHeight="false" outlineLevel="0" collapsed="false">
      <c r="O78" s="26" t="n">
        <v>46257</v>
      </c>
      <c r="P78" s="27" t="s">
        <v>753</v>
      </c>
      <c r="Q78" s="27" t="s">
        <v>1225</v>
      </c>
      <c r="R78" s="28" t="s">
        <v>317</v>
      </c>
      <c r="S78" s="27" t="n">
        <v>1.806</v>
      </c>
      <c r="T78" s="29" t="n">
        <v>3.43</v>
      </c>
      <c r="U78" s="28" t="s">
        <v>1343</v>
      </c>
      <c r="V78" s="20" t="n">
        <f aca="false">IF(U78="Loss",-T78,T78*S78-T78)</f>
        <v>2.76458</v>
      </c>
    </row>
    <row r="79" customFormat="false" ht="16.15" hidden="false" customHeight="false" outlineLevel="0" collapsed="false">
      <c r="O79" s="26" t="n">
        <v>46257</v>
      </c>
      <c r="P79" s="27" t="s">
        <v>733</v>
      </c>
      <c r="Q79" s="27" t="s">
        <v>760</v>
      </c>
      <c r="R79" s="28" t="s">
        <v>20</v>
      </c>
      <c r="S79" s="27" t="n">
        <v>1.917</v>
      </c>
      <c r="T79" s="29" t="n">
        <v>3.01</v>
      </c>
      <c r="U79" s="28" t="s">
        <v>1343</v>
      </c>
      <c r="V79" s="20" t="n">
        <f aca="false">IF(U79="Loss",-T79,T79*S79-T79)</f>
        <v>2.76017</v>
      </c>
    </row>
    <row r="80" customFormat="false" ht="16.15" hidden="false" customHeight="false" outlineLevel="0" collapsed="false">
      <c r="O80" s="26" t="n">
        <v>46257</v>
      </c>
      <c r="P80" s="27" t="s">
        <v>1291</v>
      </c>
      <c r="Q80" s="27" t="s">
        <v>705</v>
      </c>
      <c r="R80" s="28" t="s">
        <v>19</v>
      </c>
      <c r="S80" s="27" t="n">
        <v>1.99</v>
      </c>
      <c r="T80" s="29" t="n">
        <v>2.79</v>
      </c>
      <c r="U80" s="28" t="s">
        <v>1337</v>
      </c>
      <c r="V80" s="20" t="n">
        <f aca="false">IF(U80="Loss",-T80,T80*S80-T80)</f>
        <v>-2.79</v>
      </c>
    </row>
    <row r="81" customFormat="false" ht="16.15" hidden="false" customHeight="false" outlineLevel="0" collapsed="false">
      <c r="O81" s="26" t="n">
        <v>46257</v>
      </c>
      <c r="P81" s="27" t="s">
        <v>1291</v>
      </c>
      <c r="Q81" s="27" t="s">
        <v>705</v>
      </c>
      <c r="R81" s="28" t="s">
        <v>22</v>
      </c>
      <c r="S81" s="27" t="n">
        <v>1.729</v>
      </c>
      <c r="T81" s="29" t="n">
        <v>3.78</v>
      </c>
      <c r="U81" s="28" t="s">
        <v>1337</v>
      </c>
      <c r="V81" s="20" t="n">
        <f aca="false">IF(U81="Loss",-T81,T81*S81-T81)</f>
        <v>-3.78</v>
      </c>
    </row>
    <row r="82" customFormat="false" ht="16.15" hidden="false" customHeight="false" outlineLevel="0" collapsed="false">
      <c r="O82" s="26" t="n">
        <v>46257</v>
      </c>
      <c r="P82" s="27" t="s">
        <v>1358</v>
      </c>
      <c r="Q82" s="27" t="s">
        <v>1359</v>
      </c>
      <c r="R82" s="28" t="s">
        <v>20</v>
      </c>
      <c r="S82" s="27" t="n">
        <v>2.37</v>
      </c>
      <c r="T82" s="29" t="n">
        <v>2.76</v>
      </c>
      <c r="U82" s="28" t="s">
        <v>1343</v>
      </c>
      <c r="V82" s="20" t="n">
        <f aca="false">IF(U82="Loss",-T82,T82*S82-T82)</f>
        <v>3.7812</v>
      </c>
    </row>
    <row r="83" customFormat="false" ht="16.15" hidden="false" customHeight="false" outlineLevel="0" collapsed="false">
      <c r="O83" s="26" t="n">
        <v>46257</v>
      </c>
      <c r="P83" s="27" t="s">
        <v>770</v>
      </c>
      <c r="Q83" s="27" t="s">
        <v>1360</v>
      </c>
      <c r="R83" s="28" t="s">
        <v>19</v>
      </c>
      <c r="S83" s="27" t="n">
        <v>1.84</v>
      </c>
      <c r="T83" s="29" t="n">
        <v>3.29</v>
      </c>
      <c r="U83" s="28" t="s">
        <v>1343</v>
      </c>
      <c r="V83" s="20" t="n">
        <f aca="false">IF(U83="Loss",-T83,T83*S83-T83)</f>
        <v>2.7636</v>
      </c>
    </row>
    <row r="84" customFormat="false" ht="16.15" hidden="false" customHeight="false" outlineLevel="0" collapsed="false">
      <c r="O84" s="26" t="n">
        <v>46257</v>
      </c>
      <c r="P84" s="27" t="s">
        <v>770</v>
      </c>
      <c r="Q84" s="27" t="s">
        <v>1360</v>
      </c>
      <c r="R84" s="28" t="s">
        <v>22</v>
      </c>
      <c r="S84" s="27" t="n">
        <v>1.862</v>
      </c>
      <c r="T84" s="29" t="n">
        <v>3.21</v>
      </c>
      <c r="U84" s="28" t="s">
        <v>1337</v>
      </c>
      <c r="V84" s="20" t="n">
        <f aca="false">IF(U84="Loss",-T84,T84*S84-T84)</f>
        <v>-3.21</v>
      </c>
    </row>
    <row r="85" customFormat="false" ht="16.15" hidden="false" customHeight="false" outlineLevel="0" collapsed="false">
      <c r="O85" s="26" t="n">
        <v>46257</v>
      </c>
      <c r="P85" s="27" t="s">
        <v>1361</v>
      </c>
      <c r="Q85" s="27" t="s">
        <v>1362</v>
      </c>
      <c r="R85" s="28" t="s">
        <v>20</v>
      </c>
      <c r="S85" s="27" t="n">
        <v>2.22</v>
      </c>
      <c r="T85" s="29" t="n">
        <v>2.76</v>
      </c>
      <c r="U85" s="28" t="s">
        <v>1343</v>
      </c>
      <c r="V85" s="20" t="n">
        <f aca="false">IF(U85="Loss",-T85,T85*S85-T85)</f>
        <v>3.3672</v>
      </c>
    </row>
    <row r="86" customFormat="false" ht="16.15" hidden="false" customHeight="false" outlineLevel="0" collapsed="false">
      <c r="O86" s="26" t="n">
        <v>46257</v>
      </c>
      <c r="P86" s="27" t="s">
        <v>1245</v>
      </c>
      <c r="Q86" s="27" t="s">
        <v>520</v>
      </c>
      <c r="R86" s="28" t="s">
        <v>20</v>
      </c>
      <c r="S86" s="27" t="n">
        <v>1.806</v>
      </c>
      <c r="T86" s="29" t="n">
        <v>3.43</v>
      </c>
      <c r="U86" s="28" t="s">
        <v>1343</v>
      </c>
      <c r="V86" s="20" t="n">
        <f aca="false">IF(U86="Loss",-T86,T86*S86-T86)</f>
        <v>2.76458</v>
      </c>
    </row>
    <row r="87" customFormat="false" ht="16.15" hidden="false" customHeight="false" outlineLevel="0" collapsed="false">
      <c r="O87" s="26" t="n">
        <v>46257</v>
      </c>
      <c r="P87" s="27" t="s">
        <v>662</v>
      </c>
      <c r="Q87" s="27" t="s">
        <v>1266</v>
      </c>
      <c r="R87" s="28" t="s">
        <v>20</v>
      </c>
      <c r="S87" s="27" t="n">
        <v>1.806</v>
      </c>
      <c r="T87" s="29" t="n">
        <v>3.43</v>
      </c>
      <c r="U87" s="28" t="s">
        <v>1343</v>
      </c>
      <c r="V87" s="20" t="n">
        <f aca="false">IF(U87="Loss",-T87,T87*S87-T87)</f>
        <v>2.76458</v>
      </c>
    </row>
    <row r="88" customFormat="false" ht="16.15" hidden="false" customHeight="false" outlineLevel="0" collapsed="false">
      <c r="O88" s="26" t="n">
        <v>46257</v>
      </c>
      <c r="P88" s="27" t="s">
        <v>662</v>
      </c>
      <c r="Q88" s="27" t="s">
        <v>1266</v>
      </c>
      <c r="R88" s="28" t="s">
        <v>317</v>
      </c>
      <c r="S88" s="27" t="n">
        <v>1.735</v>
      </c>
      <c r="T88" s="29" t="n">
        <v>3.76</v>
      </c>
      <c r="U88" s="28" t="s">
        <v>1343</v>
      </c>
      <c r="V88" s="20" t="n">
        <f aca="false">IF(U88="Loss",-T88,T88*S88-T88)</f>
        <v>2.7636</v>
      </c>
    </row>
    <row r="89" customFormat="false" ht="16.15" hidden="false" customHeight="false" outlineLevel="0" collapsed="false">
      <c r="O89" s="26" t="n">
        <v>46257</v>
      </c>
      <c r="P89" s="27" t="s">
        <v>1285</v>
      </c>
      <c r="Q89" s="27" t="s">
        <v>1311</v>
      </c>
      <c r="R89" s="28" t="s">
        <v>19</v>
      </c>
      <c r="S89" s="27" t="n">
        <v>1.854</v>
      </c>
      <c r="T89" s="29" t="n">
        <v>3.23</v>
      </c>
      <c r="U89" s="28" t="s">
        <v>1337</v>
      </c>
      <c r="V89" s="20" t="n">
        <f aca="false">IF(U89="Loss",-T89,T89*S89-T89)</f>
        <v>-3.23</v>
      </c>
    </row>
    <row r="90" customFormat="false" ht="16.15" hidden="false" customHeight="false" outlineLevel="0" collapsed="false">
      <c r="O90" s="26" t="n">
        <v>46257</v>
      </c>
      <c r="P90" s="27" t="s">
        <v>204</v>
      </c>
      <c r="Q90" s="27" t="s">
        <v>1188</v>
      </c>
      <c r="R90" s="28" t="s">
        <v>317</v>
      </c>
      <c r="S90" s="27" t="n">
        <v>2.95</v>
      </c>
      <c r="T90" s="29" t="n">
        <v>2.76</v>
      </c>
      <c r="U90" s="28" t="s">
        <v>1337</v>
      </c>
      <c r="V90" s="20" t="n">
        <f aca="false">IF(U90="Loss",-T90,T90*S90-T90)</f>
        <v>-2.76</v>
      </c>
    </row>
    <row r="91" customFormat="false" ht="16.15" hidden="false" customHeight="false" outlineLevel="0" collapsed="false">
      <c r="O91" s="26" t="n">
        <v>46258</v>
      </c>
      <c r="P91" s="27" t="s">
        <v>1342</v>
      </c>
      <c r="Q91" s="27" t="s">
        <v>91</v>
      </c>
      <c r="R91" s="28" t="s">
        <v>19</v>
      </c>
      <c r="S91" s="27" t="n">
        <v>2.21</v>
      </c>
      <c r="T91" s="29" t="n">
        <v>2.78</v>
      </c>
      <c r="U91" s="28" t="s">
        <v>1337</v>
      </c>
      <c r="V91" s="20" t="n">
        <f aca="false">IF(U91="Loss",-T91,T91*S91-T91)</f>
        <v>-2.78</v>
      </c>
    </row>
    <row r="92" customFormat="false" ht="16.15" hidden="false" customHeight="false" outlineLevel="0" collapsed="false">
      <c r="O92" s="26" t="n">
        <v>46258</v>
      </c>
      <c r="P92" s="27" t="s">
        <v>1342</v>
      </c>
      <c r="Q92" s="27" t="s">
        <v>91</v>
      </c>
      <c r="R92" s="28" t="s">
        <v>22</v>
      </c>
      <c r="S92" s="27" t="n">
        <v>2.19</v>
      </c>
      <c r="T92" s="29" t="n">
        <v>2.78</v>
      </c>
      <c r="U92" s="28" t="s">
        <v>1337</v>
      </c>
      <c r="V92" s="20" t="n">
        <f aca="false">IF(U92="Loss",-T92,T92*S92-T92)</f>
        <v>-2.78</v>
      </c>
    </row>
    <row r="93" customFormat="false" ht="16.15" hidden="false" customHeight="false" outlineLevel="0" collapsed="false">
      <c r="O93" s="26" t="n">
        <v>46258</v>
      </c>
      <c r="P93" s="27" t="s">
        <v>926</v>
      </c>
      <c r="Q93" s="27" t="s">
        <v>369</v>
      </c>
      <c r="R93" s="28" t="s">
        <v>19</v>
      </c>
      <c r="S93" s="27" t="n">
        <v>2.04</v>
      </c>
      <c r="T93" s="29" t="n">
        <v>2.78</v>
      </c>
      <c r="U93" s="28" t="s">
        <v>1337</v>
      </c>
      <c r="V93" s="20" t="n">
        <f aca="false">IF(U93="Loss",-T93,T93*S93-T93)</f>
        <v>-2.78</v>
      </c>
    </row>
    <row r="94" customFormat="false" ht="16.15" hidden="false" customHeight="false" outlineLevel="0" collapsed="false">
      <c r="O94" s="26" t="n">
        <v>46258</v>
      </c>
      <c r="P94" s="27" t="s">
        <v>385</v>
      </c>
      <c r="Q94" s="27" t="s">
        <v>56</v>
      </c>
      <c r="R94" s="28" t="s">
        <v>19</v>
      </c>
      <c r="S94" s="27" t="n">
        <v>2.13</v>
      </c>
      <c r="T94" s="29" t="n">
        <v>2.78</v>
      </c>
      <c r="U94" s="28" t="s">
        <v>1343</v>
      </c>
      <c r="V94" s="20" t="n">
        <f aca="false">IF(U94="Loss",-T94,T94*S94-T94)</f>
        <v>3.1414</v>
      </c>
    </row>
    <row r="95" customFormat="false" ht="16.15" hidden="false" customHeight="false" outlineLevel="0" collapsed="false">
      <c r="O95" s="26" t="n">
        <v>46258</v>
      </c>
      <c r="P95" s="27" t="s">
        <v>385</v>
      </c>
      <c r="Q95" s="27" t="s">
        <v>56</v>
      </c>
      <c r="R95" s="28" t="s">
        <v>22</v>
      </c>
      <c r="S95" s="27" t="n">
        <v>1.884</v>
      </c>
      <c r="T95" s="29" t="n">
        <v>3.14</v>
      </c>
      <c r="U95" s="28" t="s">
        <v>1343</v>
      </c>
      <c r="V95" s="20" t="n">
        <f aca="false">IF(U95="Loss",-T95,T95*S95-T95)</f>
        <v>2.77576</v>
      </c>
    </row>
    <row r="96" customFormat="false" ht="16.15" hidden="false" customHeight="false" outlineLevel="0" collapsed="false">
      <c r="O96" s="26" t="n">
        <v>46258</v>
      </c>
      <c r="P96" s="27" t="s">
        <v>1363</v>
      </c>
      <c r="Q96" s="27" t="s">
        <v>956</v>
      </c>
      <c r="R96" s="28" t="s">
        <v>317</v>
      </c>
      <c r="S96" s="27" t="n">
        <v>2.21</v>
      </c>
      <c r="T96" s="29" t="n">
        <v>2.78</v>
      </c>
      <c r="U96" s="28" t="s">
        <v>1343</v>
      </c>
      <c r="V96" s="20" t="n">
        <f aca="false">IF(U96="Loss",-T96,T96*S96-T96)</f>
        <v>3.3638</v>
      </c>
    </row>
    <row r="97" customFormat="false" ht="16.15" hidden="false" customHeight="false" outlineLevel="0" collapsed="false">
      <c r="O97" s="26" t="n">
        <v>46258</v>
      </c>
      <c r="P97" s="27" t="s">
        <v>424</v>
      </c>
      <c r="Q97" s="27" t="s">
        <v>421</v>
      </c>
      <c r="R97" s="28" t="s">
        <v>20</v>
      </c>
      <c r="S97" s="27" t="n">
        <v>2.6</v>
      </c>
      <c r="T97" s="29" t="n">
        <v>2.78</v>
      </c>
      <c r="U97" s="28" t="s">
        <v>1337</v>
      </c>
      <c r="V97" s="20" t="n">
        <f aca="false">IF(U97="Loss",-T97,T97*S97-T97)</f>
        <v>-2.78</v>
      </c>
    </row>
    <row r="98" customFormat="false" ht="16.15" hidden="false" customHeight="false" outlineLevel="0" collapsed="false">
      <c r="O98" s="26" t="n">
        <v>46258</v>
      </c>
      <c r="P98" s="27" t="s">
        <v>438</v>
      </c>
      <c r="Q98" s="27" t="s">
        <v>435</v>
      </c>
      <c r="R98" s="28" t="s">
        <v>19</v>
      </c>
      <c r="S98" s="27" t="n">
        <v>2.26</v>
      </c>
      <c r="T98" s="29" t="n">
        <v>2.78</v>
      </c>
      <c r="U98" s="28" t="s">
        <v>1337</v>
      </c>
      <c r="V98" s="20" t="n">
        <f aca="false">IF(U98="Loss",-T98,T98*S98-T98)</f>
        <v>-2.78</v>
      </c>
    </row>
    <row r="99" customFormat="false" ht="16.15" hidden="false" customHeight="false" outlineLevel="0" collapsed="false">
      <c r="O99" s="26" t="n">
        <v>46258</v>
      </c>
      <c r="P99" s="27" t="s">
        <v>438</v>
      </c>
      <c r="Q99" s="27" t="s">
        <v>435</v>
      </c>
      <c r="R99" s="28" t="s">
        <v>22</v>
      </c>
      <c r="S99" s="27" t="n">
        <v>1.952</v>
      </c>
      <c r="T99" s="29" t="n">
        <v>2.92</v>
      </c>
      <c r="U99" s="28" t="s">
        <v>1337</v>
      </c>
      <c r="V99" s="20" t="n">
        <f aca="false">IF(U99="Loss",-T99,T99*S99-T99)</f>
        <v>-2.92</v>
      </c>
    </row>
    <row r="100" customFormat="false" ht="16.15" hidden="false" customHeight="false" outlineLevel="0" collapsed="false">
      <c r="O100" s="26" t="n">
        <v>46258</v>
      </c>
      <c r="P100" s="27" t="s">
        <v>1089</v>
      </c>
      <c r="Q100" s="27" t="s">
        <v>58</v>
      </c>
      <c r="R100" s="28" t="s">
        <v>19</v>
      </c>
      <c r="S100" s="27" t="n">
        <v>1.793</v>
      </c>
      <c r="T100" s="29" t="n">
        <v>3.5</v>
      </c>
      <c r="U100" s="28" t="s">
        <v>1343</v>
      </c>
      <c r="V100" s="20" t="n">
        <f aca="false">IF(U100="Loss",-T100,T100*S100-T100)</f>
        <v>2.7755</v>
      </c>
    </row>
    <row r="101" customFormat="false" ht="16.15" hidden="false" customHeight="false" outlineLevel="0" collapsed="false">
      <c r="O101" s="26" t="n">
        <v>46258</v>
      </c>
      <c r="P101" s="27" t="s">
        <v>1089</v>
      </c>
      <c r="Q101" s="27" t="s">
        <v>58</v>
      </c>
      <c r="R101" s="28" t="s">
        <v>22</v>
      </c>
      <c r="S101" s="27" t="n">
        <v>2.81</v>
      </c>
      <c r="T101" s="29" t="n">
        <v>2.78</v>
      </c>
      <c r="U101" s="28" t="s">
        <v>1343</v>
      </c>
      <c r="V101" s="20" t="n">
        <f aca="false">IF(U101="Loss",-T101,T101*S101-T101)</f>
        <v>5.0318</v>
      </c>
    </row>
    <row r="102" customFormat="false" ht="16.15" hidden="false" customHeight="false" outlineLevel="0" collapsed="false">
      <c r="O102" s="26" t="n">
        <v>46258</v>
      </c>
      <c r="P102" s="27" t="s">
        <v>324</v>
      </c>
      <c r="Q102" s="27" t="s">
        <v>958</v>
      </c>
      <c r="R102" s="28" t="s">
        <v>22</v>
      </c>
      <c r="S102" s="27" t="n">
        <v>1.699</v>
      </c>
      <c r="T102" s="29" t="n">
        <v>3.97</v>
      </c>
      <c r="U102" s="28" t="s">
        <v>1343</v>
      </c>
      <c r="V102" s="20" t="n">
        <f aca="false">IF(U102="Loss",-T102,T102*S102-T102)</f>
        <v>2.77503</v>
      </c>
    </row>
    <row r="103" customFormat="false" ht="16.15" hidden="false" customHeight="false" outlineLevel="0" collapsed="false">
      <c r="O103" s="26" t="n">
        <v>46258</v>
      </c>
      <c r="P103" s="27" t="s">
        <v>69</v>
      </c>
      <c r="Q103" s="27" t="s">
        <v>492</v>
      </c>
      <c r="R103" s="28" t="s">
        <v>317</v>
      </c>
      <c r="S103" s="27" t="n">
        <v>1.769</v>
      </c>
      <c r="T103" s="29" t="n">
        <v>3.6</v>
      </c>
      <c r="U103" s="28" t="s">
        <v>1343</v>
      </c>
      <c r="V103" s="20" t="n">
        <f aca="false">IF(U103="Loss",-T103,T103*S103-T103)</f>
        <v>2.7684</v>
      </c>
    </row>
    <row r="104" customFormat="false" ht="16.15" hidden="false" customHeight="false" outlineLevel="0" collapsed="false">
      <c r="O104" s="26" t="n">
        <v>46258</v>
      </c>
      <c r="P104" s="27" t="s">
        <v>171</v>
      </c>
      <c r="Q104" s="27" t="s">
        <v>152</v>
      </c>
      <c r="R104" s="28" t="s">
        <v>19</v>
      </c>
      <c r="S104" s="27" t="n">
        <v>2.26</v>
      </c>
      <c r="T104" s="29" t="n">
        <v>2.78</v>
      </c>
      <c r="U104" s="28" t="s">
        <v>1337</v>
      </c>
      <c r="V104" s="20" t="n">
        <f aca="false">IF(U104="Loss",-T104,T104*S104-T104)</f>
        <v>-2.78</v>
      </c>
    </row>
    <row r="105" customFormat="false" ht="16.15" hidden="false" customHeight="false" outlineLevel="0" collapsed="false">
      <c r="O105" s="26" t="n">
        <v>46258</v>
      </c>
      <c r="P105" s="27" t="s">
        <v>171</v>
      </c>
      <c r="Q105" s="27" t="s">
        <v>152</v>
      </c>
      <c r="R105" s="28" t="s">
        <v>22</v>
      </c>
      <c r="S105" s="27" t="n">
        <v>2.03</v>
      </c>
      <c r="T105" s="29" t="n">
        <v>2.78</v>
      </c>
      <c r="U105" s="28" t="s">
        <v>1337</v>
      </c>
      <c r="V105" s="20" t="n">
        <f aca="false">IF(U105="Loss",-T105,T105*S105-T105)</f>
        <v>-2.78</v>
      </c>
    </row>
    <row r="106" customFormat="false" ht="16.15" hidden="false" customHeight="false" outlineLevel="0" collapsed="false">
      <c r="O106" s="26" t="n">
        <v>46258</v>
      </c>
      <c r="P106" s="27" t="s">
        <v>200</v>
      </c>
      <c r="Q106" s="27" t="s">
        <v>1150</v>
      </c>
      <c r="R106" s="28" t="s">
        <v>19</v>
      </c>
      <c r="S106" s="27" t="n">
        <v>2.05</v>
      </c>
      <c r="T106" s="29" t="n">
        <v>2.78</v>
      </c>
      <c r="U106" s="28" t="s">
        <v>1343</v>
      </c>
      <c r="V106" s="20" t="n">
        <f aca="false">IF(U106="Loss",-T106,T106*S106-T106)</f>
        <v>2.919</v>
      </c>
    </row>
    <row r="107" customFormat="false" ht="16.15" hidden="false" customHeight="false" outlineLevel="0" collapsed="false">
      <c r="O107" s="26" t="n">
        <v>46258</v>
      </c>
      <c r="P107" s="27" t="s">
        <v>200</v>
      </c>
      <c r="Q107" s="27" t="s">
        <v>1150</v>
      </c>
      <c r="R107" s="28" t="s">
        <v>22</v>
      </c>
      <c r="S107" s="27" t="n">
        <v>1.952</v>
      </c>
      <c r="T107" s="29" t="n">
        <v>2.92</v>
      </c>
      <c r="U107" s="28" t="s">
        <v>1337</v>
      </c>
      <c r="V107" s="20" t="n">
        <f aca="false">IF(U107="Loss",-T107,T107*S107-T107)</f>
        <v>-2.92</v>
      </c>
    </row>
    <row r="108" customFormat="false" ht="16.15" hidden="false" customHeight="false" outlineLevel="0" collapsed="false">
      <c r="O108" s="26" t="n">
        <v>46258</v>
      </c>
      <c r="P108" s="27" t="s">
        <v>676</v>
      </c>
      <c r="Q108" s="27" t="s">
        <v>1159</v>
      </c>
      <c r="R108" s="28" t="s">
        <v>20</v>
      </c>
      <c r="S108" s="27" t="n">
        <v>1.99</v>
      </c>
      <c r="T108" s="29" t="n">
        <v>2.81</v>
      </c>
      <c r="U108" s="28" t="s">
        <v>1337</v>
      </c>
      <c r="V108" s="20" t="n">
        <f aca="false">IF(U108="Loss",-T108,T108*S108-T108)</f>
        <v>-2.81</v>
      </c>
    </row>
    <row r="109" customFormat="false" ht="16.15" hidden="false" customHeight="false" outlineLevel="0" collapsed="false">
      <c r="O109" s="26" t="n">
        <v>46258</v>
      </c>
      <c r="P109" s="27" t="s">
        <v>1228</v>
      </c>
      <c r="Q109" s="27" t="s">
        <v>223</v>
      </c>
      <c r="R109" s="28" t="s">
        <v>19</v>
      </c>
      <c r="S109" s="27" t="n">
        <v>2.17</v>
      </c>
      <c r="T109" s="29" t="n">
        <v>2.78</v>
      </c>
      <c r="U109" s="28" t="s">
        <v>1337</v>
      </c>
      <c r="V109" s="20" t="n">
        <f aca="false">IF(U109="Loss",-T109,T109*S109-T109)</f>
        <v>-2.78</v>
      </c>
    </row>
    <row r="110" customFormat="false" ht="16.15" hidden="false" customHeight="false" outlineLevel="0" collapsed="false">
      <c r="O110" s="26" t="n">
        <v>46259</v>
      </c>
      <c r="P110" s="27" t="s">
        <v>877</v>
      </c>
      <c r="Q110" s="27" t="s">
        <v>97</v>
      </c>
      <c r="R110" s="28" t="s">
        <v>19</v>
      </c>
      <c r="S110" s="27" t="n">
        <v>1.751</v>
      </c>
      <c r="T110" s="29" t="n">
        <v>3.69</v>
      </c>
      <c r="U110" s="28" t="s">
        <v>1337</v>
      </c>
      <c r="V110" s="20" t="n">
        <f aca="false">IF(U110="Loss",-T110,T110*S110-T110)</f>
        <v>-3.69</v>
      </c>
    </row>
    <row r="111" customFormat="false" ht="16.15" hidden="false" customHeight="false" outlineLevel="0" collapsed="false">
      <c r="O111" s="26" t="n">
        <v>46259</v>
      </c>
      <c r="P111" s="27" t="s">
        <v>877</v>
      </c>
      <c r="Q111" s="27" t="s">
        <v>97</v>
      </c>
      <c r="R111" s="28" t="s">
        <v>22</v>
      </c>
      <c r="S111" s="27" t="n">
        <v>1.699</v>
      </c>
      <c r="T111" s="29" t="n">
        <v>3.97</v>
      </c>
      <c r="U111" s="28" t="s">
        <v>1337</v>
      </c>
      <c r="V111" s="20" t="n">
        <f aca="false">IF(U111="Loss",-T111,T111*S111-T111)</f>
        <v>-3.97</v>
      </c>
    </row>
    <row r="112" customFormat="false" ht="16.15" hidden="false" customHeight="false" outlineLevel="0" collapsed="false">
      <c r="O112" s="26" t="n">
        <v>46259</v>
      </c>
      <c r="P112" s="27" t="s">
        <v>884</v>
      </c>
      <c r="Q112" s="27" t="s">
        <v>100</v>
      </c>
      <c r="R112" s="28" t="s">
        <v>317</v>
      </c>
      <c r="S112" s="27" t="n">
        <v>2.63</v>
      </c>
      <c r="T112" s="29" t="n">
        <v>2.78</v>
      </c>
      <c r="U112" s="28" t="s">
        <v>1343</v>
      </c>
      <c r="V112" s="20" t="n">
        <f aca="false">IF(U112="Loss",-T112,T112*S112-T112)</f>
        <v>4.5314</v>
      </c>
    </row>
    <row r="113" customFormat="false" ht="16.15" hidden="false" customHeight="false" outlineLevel="0" collapsed="false">
      <c r="O113" s="26" t="n">
        <v>46259</v>
      </c>
      <c r="P113" s="27" t="s">
        <v>1364</v>
      </c>
      <c r="Q113" s="27" t="s">
        <v>1365</v>
      </c>
      <c r="R113" s="28" t="s">
        <v>20</v>
      </c>
      <c r="S113" s="27" t="n">
        <v>2.52</v>
      </c>
      <c r="T113" s="29" t="n">
        <v>2.78</v>
      </c>
      <c r="U113" s="28" t="s">
        <v>1337</v>
      </c>
      <c r="V113" s="20" t="n">
        <f aca="false">IF(U113="Loss",-T113,T113*S113-T113)</f>
        <v>-2.78</v>
      </c>
    </row>
    <row r="114" customFormat="false" ht="16.15" hidden="false" customHeight="false" outlineLevel="0" collapsed="false">
      <c r="O114" s="26" t="n">
        <v>46259</v>
      </c>
      <c r="P114" s="27" t="s">
        <v>614</v>
      </c>
      <c r="Q114" s="27" t="s">
        <v>1250</v>
      </c>
      <c r="R114" s="28" t="s">
        <v>19</v>
      </c>
      <c r="S114" s="27" t="n">
        <v>2.56</v>
      </c>
      <c r="T114" s="29" t="n">
        <v>2.78</v>
      </c>
      <c r="U114" s="28" t="s">
        <v>1337</v>
      </c>
      <c r="V114" s="20" t="n">
        <f aca="false">IF(U114="Loss",-T114,T114*S114-T114)</f>
        <v>-2.78</v>
      </c>
    </row>
    <row r="115" customFormat="false" ht="16.15" hidden="false" customHeight="false" outlineLevel="0" collapsed="false">
      <c r="O115" s="26" t="n">
        <v>46259</v>
      </c>
      <c r="P115" s="27" t="s">
        <v>1366</v>
      </c>
      <c r="Q115" s="27" t="s">
        <v>764</v>
      </c>
      <c r="R115" s="28" t="s">
        <v>19</v>
      </c>
      <c r="S115" s="27" t="n">
        <v>2.4</v>
      </c>
      <c r="T115" s="29" t="n">
        <v>2.78</v>
      </c>
      <c r="U115" s="28" t="s">
        <v>1337</v>
      </c>
      <c r="V115" s="20" t="n">
        <f aca="false">IF(U115="Loss",-T115,T115*S115-T115)</f>
        <v>-2.78</v>
      </c>
    </row>
    <row r="116" customFormat="false" ht="16.15" hidden="false" customHeight="false" outlineLevel="0" collapsed="false">
      <c r="O116" s="26" t="n">
        <v>46259</v>
      </c>
      <c r="P116" s="27" t="s">
        <v>1366</v>
      </c>
      <c r="Q116" s="27" t="s">
        <v>764</v>
      </c>
      <c r="R116" s="28" t="s">
        <v>22</v>
      </c>
      <c r="S116" s="27" t="n">
        <v>2.01</v>
      </c>
      <c r="T116" s="29" t="n">
        <v>2.78</v>
      </c>
      <c r="U116" s="28" t="s">
        <v>1337</v>
      </c>
      <c r="V116" s="20" t="n">
        <f aca="false">IF(U116="Loss",-T116,T116*S116-T116)</f>
        <v>-2.78</v>
      </c>
    </row>
    <row r="117" customFormat="false" ht="16.15" hidden="false" customHeight="false" outlineLevel="0" collapsed="false">
      <c r="O117" s="26" t="n">
        <v>46260</v>
      </c>
      <c r="P117" s="27" t="s">
        <v>839</v>
      </c>
      <c r="Q117" s="27" t="s">
        <v>287</v>
      </c>
      <c r="R117" s="28" t="s">
        <v>20</v>
      </c>
      <c r="S117" s="27" t="n">
        <v>1.961</v>
      </c>
      <c r="T117" s="29" t="n">
        <v>2.89</v>
      </c>
      <c r="U117" s="28" t="s">
        <v>1337</v>
      </c>
      <c r="V117" s="20" t="n">
        <f aca="false">IF(U117="Loss",-T117,T117*S117-T117)</f>
        <v>-2.89</v>
      </c>
    </row>
    <row r="118" customFormat="false" ht="16.15" hidden="false" customHeight="false" outlineLevel="0" collapsed="false">
      <c r="O118" s="26" t="n">
        <v>46260</v>
      </c>
      <c r="P118" s="27" t="s">
        <v>839</v>
      </c>
      <c r="Q118" s="27" t="s">
        <v>287</v>
      </c>
      <c r="R118" s="28" t="s">
        <v>317</v>
      </c>
      <c r="S118" s="27" t="n">
        <v>2.44</v>
      </c>
      <c r="T118" s="29" t="n">
        <v>2.78</v>
      </c>
      <c r="U118" s="28" t="s">
        <v>1337</v>
      </c>
      <c r="V118" s="20" t="n">
        <f aca="false">IF(U118="Loss",-T118,T118*S118-T118)</f>
        <v>-2.78</v>
      </c>
    </row>
    <row r="119" customFormat="false" ht="16.15" hidden="false" customHeight="false" outlineLevel="0" collapsed="false">
      <c r="O119" s="26" t="n">
        <v>46260</v>
      </c>
      <c r="P119" s="27" t="s">
        <v>286</v>
      </c>
      <c r="Q119" s="27" t="s">
        <v>835</v>
      </c>
      <c r="R119" s="28" t="s">
        <v>19</v>
      </c>
      <c r="S119" s="27" t="n">
        <v>2.22</v>
      </c>
      <c r="T119" s="29" t="n">
        <v>2.78</v>
      </c>
      <c r="U119" s="28" t="s">
        <v>1343</v>
      </c>
      <c r="V119" s="20" t="n">
        <f aca="false">IF(U119="Loss",-T119,T119*S119-T119)</f>
        <v>3.3916</v>
      </c>
    </row>
    <row r="120" customFormat="false" ht="16.15" hidden="false" customHeight="false" outlineLevel="0" collapsed="false">
      <c r="O120" s="26" t="n">
        <v>46260</v>
      </c>
      <c r="P120" s="27" t="s">
        <v>286</v>
      </c>
      <c r="Q120" s="27" t="s">
        <v>835</v>
      </c>
      <c r="R120" s="28" t="s">
        <v>22</v>
      </c>
      <c r="S120" s="27" t="n">
        <v>1.869</v>
      </c>
      <c r="T120" s="29" t="n">
        <v>3.18</v>
      </c>
      <c r="U120" s="28" t="s">
        <v>1343</v>
      </c>
      <c r="V120" s="20" t="n">
        <f aca="false">IF(U120="Loss",-T120,T120*S120-T120)</f>
        <v>2.76342</v>
      </c>
    </row>
    <row r="121" customFormat="false" ht="16.15" hidden="false" customHeight="false" outlineLevel="0" collapsed="false">
      <c r="O121" s="26" t="n">
        <v>46260</v>
      </c>
      <c r="P121" s="27" t="s">
        <v>829</v>
      </c>
      <c r="Q121" s="27" t="s">
        <v>832</v>
      </c>
      <c r="R121" s="28" t="s">
        <v>317</v>
      </c>
      <c r="S121" s="27" t="n">
        <v>1.74</v>
      </c>
      <c r="T121" s="29" t="n">
        <v>3.74</v>
      </c>
      <c r="U121" s="28" t="s">
        <v>1337</v>
      </c>
      <c r="V121" s="20" t="n">
        <f aca="false">IF(U121="Loss",-T121,T121*S121-T121)</f>
        <v>-3.74</v>
      </c>
    </row>
    <row r="122" customFormat="false" ht="16.15" hidden="false" customHeight="false" outlineLevel="0" collapsed="false">
      <c r="O122" s="26" t="n">
        <v>46260</v>
      </c>
      <c r="P122" s="27" t="s">
        <v>562</v>
      </c>
      <c r="Q122" s="27" t="s">
        <v>560</v>
      </c>
      <c r="R122" s="28" t="s">
        <v>19</v>
      </c>
      <c r="S122" s="27" t="n">
        <v>3.03</v>
      </c>
      <c r="T122" s="29" t="n">
        <v>2.78</v>
      </c>
      <c r="U122" s="28" t="s">
        <v>1337</v>
      </c>
      <c r="V122" s="20" t="n">
        <f aca="false">IF(U122="Loss",-T122,T122*S122-T122)</f>
        <v>-2.78</v>
      </c>
    </row>
    <row r="123" customFormat="false" ht="16.15" hidden="false" customHeight="false" outlineLevel="0" collapsed="false">
      <c r="O123" s="26" t="n">
        <v>46260</v>
      </c>
      <c r="P123" s="27" t="s">
        <v>1367</v>
      </c>
      <c r="Q123" s="27" t="s">
        <v>1368</v>
      </c>
      <c r="R123" s="28" t="s">
        <v>20</v>
      </c>
      <c r="S123" s="27" t="n">
        <v>2.61</v>
      </c>
      <c r="T123" s="29" t="n">
        <v>2.78</v>
      </c>
      <c r="U123" s="28" t="s">
        <v>1337</v>
      </c>
      <c r="V123" s="20" t="n">
        <f aca="false">IF(U123="Loss",-T123,T123*S123-T123)</f>
        <v>-2.78</v>
      </c>
    </row>
    <row r="124" customFormat="false" ht="16.15" hidden="false" customHeight="false" outlineLevel="0" collapsed="false">
      <c r="O124" s="26" t="n">
        <v>46260</v>
      </c>
      <c r="P124" s="27" t="s">
        <v>1166</v>
      </c>
      <c r="Q124" s="27" t="s">
        <v>584</v>
      </c>
      <c r="R124" s="28" t="s">
        <v>19</v>
      </c>
      <c r="S124" s="27" t="n">
        <v>2.55</v>
      </c>
      <c r="T124" s="29" t="n">
        <v>2.78</v>
      </c>
      <c r="U124" s="28" t="s">
        <v>1337</v>
      </c>
      <c r="V124" s="20" t="n">
        <f aca="false">IF(U124="Loss",-T124,T124*S124-T124)</f>
        <v>-2.78</v>
      </c>
    </row>
    <row r="125" customFormat="false" ht="16.15" hidden="false" customHeight="false" outlineLevel="0" collapsed="false">
      <c r="O125" s="26" t="n">
        <v>46260</v>
      </c>
      <c r="P125" s="27" t="s">
        <v>1166</v>
      </c>
      <c r="Q125" s="27" t="s">
        <v>584</v>
      </c>
      <c r="R125" s="28" t="s">
        <v>22</v>
      </c>
      <c r="S125" s="27" t="n">
        <v>2.06</v>
      </c>
      <c r="T125" s="29" t="n">
        <v>2.78</v>
      </c>
      <c r="U125" s="28" t="s">
        <v>1337</v>
      </c>
      <c r="V125" s="20" t="n">
        <f aca="false">IF(U125="Loss",-T125,T125*S125-T125)</f>
        <v>-2.78</v>
      </c>
    </row>
    <row r="126" customFormat="false" ht="16.15" hidden="false" customHeight="false" outlineLevel="0" collapsed="false">
      <c r="O126" s="26" t="n">
        <v>46260</v>
      </c>
      <c r="P126" s="27" t="s">
        <v>624</v>
      </c>
      <c r="Q126" s="27" t="s">
        <v>554</v>
      </c>
      <c r="R126" s="28" t="s">
        <v>19</v>
      </c>
      <c r="S126" s="27" t="n">
        <v>2.65</v>
      </c>
      <c r="T126" s="29" t="n">
        <v>2.78</v>
      </c>
      <c r="U126" s="28" t="s">
        <v>1343</v>
      </c>
      <c r="V126" s="20" t="n">
        <f aca="false">IF(U126="Loss",-T126,T126*S126-T126)</f>
        <v>4.587</v>
      </c>
    </row>
    <row r="127" customFormat="false" ht="16.15" hidden="false" customHeight="false" outlineLevel="0" collapsed="false">
      <c r="O127" s="26" t="n">
        <v>46260</v>
      </c>
      <c r="P127" s="27" t="s">
        <v>1297</v>
      </c>
      <c r="Q127" s="27" t="s">
        <v>1369</v>
      </c>
      <c r="R127" s="28" t="s">
        <v>19</v>
      </c>
      <c r="S127" s="27" t="n">
        <v>2.23</v>
      </c>
      <c r="T127" s="29" t="n">
        <v>2.78</v>
      </c>
      <c r="U127" s="28" t="s">
        <v>1343</v>
      </c>
      <c r="V127" s="20" t="n">
        <f aca="false">IF(U127="Loss",-T127,T127*S127-T127)</f>
        <v>3.4194</v>
      </c>
    </row>
    <row r="128" customFormat="false" ht="16.15" hidden="false" customHeight="false" outlineLevel="0" collapsed="false">
      <c r="O128" s="26" t="n">
        <v>46260</v>
      </c>
      <c r="P128" s="27" t="s">
        <v>1297</v>
      </c>
      <c r="Q128" s="27" t="s">
        <v>1369</v>
      </c>
      <c r="R128" s="28" t="s">
        <v>22</v>
      </c>
      <c r="S128" s="27" t="n">
        <v>1.943</v>
      </c>
      <c r="T128" s="29" t="n">
        <v>2.95</v>
      </c>
      <c r="U128" s="28" t="s">
        <v>1343</v>
      </c>
      <c r="V128" s="20" t="n">
        <f aca="false">IF(U128="Loss",-T128,T128*S128-T128)</f>
        <v>2.78185</v>
      </c>
    </row>
    <row r="129" customFormat="false" ht="16.15" hidden="false" customHeight="false" outlineLevel="0" collapsed="false">
      <c r="O129" s="26" t="n">
        <v>46260</v>
      </c>
      <c r="P129" s="27" t="s">
        <v>1370</v>
      </c>
      <c r="Q129" s="27" t="s">
        <v>1361</v>
      </c>
      <c r="R129" s="28" t="s">
        <v>20</v>
      </c>
      <c r="S129" s="27" t="n">
        <v>2.26</v>
      </c>
      <c r="T129" s="29" t="n">
        <v>2.78</v>
      </c>
      <c r="U129" s="28" t="s">
        <v>1343</v>
      </c>
      <c r="V129" s="20" t="n">
        <f aca="false">IF(U129="Loss",-T129,T129*S129-T129)</f>
        <v>3.5028</v>
      </c>
    </row>
    <row r="130" customFormat="false" ht="16.15" hidden="false" customHeight="false" outlineLevel="0" collapsed="false">
      <c r="O130" s="26" t="n">
        <v>46260</v>
      </c>
      <c r="P130" s="27" t="s">
        <v>669</v>
      </c>
      <c r="Q130" s="27" t="s">
        <v>707</v>
      </c>
      <c r="R130" s="28" t="s">
        <v>20</v>
      </c>
      <c r="S130" s="27" t="n">
        <v>1.819</v>
      </c>
      <c r="T130" s="29" t="n">
        <v>3.39</v>
      </c>
      <c r="U130" s="28" t="s">
        <v>1337</v>
      </c>
      <c r="V130" s="20" t="n">
        <f aca="false">IF(U130="Loss",-T130,T130*S130-T130)</f>
        <v>-3.39</v>
      </c>
    </row>
    <row r="131" customFormat="false" ht="16.15" hidden="false" customHeight="false" outlineLevel="0" collapsed="false">
      <c r="O131" s="26" t="n">
        <v>46260</v>
      </c>
      <c r="P131" s="27" t="s">
        <v>669</v>
      </c>
      <c r="Q131" s="27" t="s">
        <v>707</v>
      </c>
      <c r="R131" s="28" t="s">
        <v>317</v>
      </c>
      <c r="S131" s="27" t="n">
        <v>2</v>
      </c>
      <c r="T131" s="29" t="n">
        <v>2.78</v>
      </c>
      <c r="U131" s="28" t="s">
        <v>1337</v>
      </c>
      <c r="V131" s="20" t="n">
        <f aca="false">IF(U131="Loss",-T131,T131*S131-T131)</f>
        <v>-2.78</v>
      </c>
    </row>
    <row r="132" customFormat="false" ht="16.15" hidden="false" customHeight="false" outlineLevel="0" collapsed="false">
      <c r="O132" s="26" t="n">
        <v>46260</v>
      </c>
      <c r="P132" s="27" t="s">
        <v>765</v>
      </c>
      <c r="Q132" s="27" t="s">
        <v>1313</v>
      </c>
      <c r="R132" s="28" t="s">
        <v>20</v>
      </c>
      <c r="S132" s="27" t="n">
        <v>1.8</v>
      </c>
      <c r="T132" s="29" t="n">
        <v>3.48</v>
      </c>
      <c r="U132" s="28" t="s">
        <v>1337</v>
      </c>
      <c r="V132" s="20" t="n">
        <f aca="false">IF(U132="Loss",-T132,T132*S132-T132)</f>
        <v>-3.48</v>
      </c>
    </row>
    <row r="134" customFormat="false" ht="15" hidden="false" customHeight="false" outlineLevel="0" collapsed="false">
      <c r="S134" s="1"/>
    </row>
    <row r="135" customFormat="false" ht="15" hidden="false" customHeight="false" outlineLevel="0" collapsed="false">
      <c r="S135" s="1"/>
    </row>
  </sheetData>
  <autoFilter ref="O1:W149"/>
  <conditionalFormatting sqref="V2:V132">
    <cfRule type="cellIs" priority="2" operator="lessThan" aboveAverage="0" equalAverage="0" bottom="0" percent="0" rank="0" text="" dxfId="23">
      <formula>0</formula>
    </cfRule>
    <cfRule type="cellIs" priority="3" operator="greaterThan" aboveAverage="0" equalAverage="0" bottom="0" percent="0" rank="0" text="" dxfId="2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2026-08-26T15:30:25Z</dcterms:created>
  <dc:creator/>
  <dc:description/>
  <dc:language>en-US</dc:language>
  <cp:lastModifiedBy/>
  <dcterms:modified xsi:type="dcterms:W3CDTF">2026-08-30T00:01:23Z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